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wnloads\Power BI\"/>
    </mc:Choice>
  </mc:AlternateContent>
  <xr:revisionPtr revIDLastSave="0" documentId="13_ncr:1_{CFDEDB5A-96D9-47E2-967B-59A9DF8F1E6C}" xr6:coauthVersionLast="36" xr6:coauthVersionMax="47" xr10:uidLastSave="{00000000-0000-0000-0000-000000000000}"/>
  <bookViews>
    <workbookView xWindow="0" yWindow="0" windowWidth="28800" windowHeight="12105" activeTab="3" xr2:uid="{5AC1E5B5-B37E-48D6-ABCC-9C149DD903EA}"/>
  </bookViews>
  <sheets>
    <sheet name="Basic" sheetId="1" r:id="rId1"/>
    <sheet name="Pivot" sheetId="7" r:id="rId2"/>
    <sheet name="Range" sheetId="6" r:id="rId3"/>
    <sheet name="Report 2" sheetId="4" r:id="rId4"/>
  </sheets>
  <externalReferences>
    <externalReference r:id="rId5"/>
  </externalReferences>
  <definedNames>
    <definedName name="_xlnm._FilterDatabase" localSheetId="0" hidden="1">Basic!$A$1:$U$301</definedName>
    <definedName name="_xlnm._FilterDatabase" localSheetId="2" hidden="1">Range!$A$1:$U$301</definedName>
    <definedName name="_xlchart.v5.0" hidden="1">Pivot!$E$16</definedName>
    <definedName name="_xlchart.v5.1" hidden="1">Pivot!$E$17:$E$21</definedName>
    <definedName name="_xlchart.v5.2" hidden="1">Pivot!$F$16</definedName>
    <definedName name="_xlchart.v5.3" hidden="1">Pivot!$F$17:$F$21</definedName>
    <definedName name="ee" hidden="1">{"FirstQ",#N/A,FALSE,"Budget2000";"SecondQ",#N/A,FALSE,"Budget2000";"Summary",#N/A,FALSE,"Budget2000"}</definedName>
    <definedName name="k" hidden="1">{"FirstQ",#N/A,FALSE,"Budget2000";"SecondQ",#N/A,FALSE,"Budget2000";"Summary",#N/A,FALSE,"Budget2000"}</definedName>
    <definedName name="NativeTimeline_Hiring_Date">#N/A</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RRR" hidden="1">{"FirstQ",#N/A,FALSE,"Budget2000";"SecondQ",#N/A,FALSE,"Budget2000"}</definedName>
    <definedName name="Slicer_Country">#N/A</definedName>
    <definedName name="Slicer_Department">#N/A</definedName>
    <definedName name="Slicer_Work_Type">#N/A</definedName>
    <definedName name="t">INDEX(([1]Lookup!XEX24:XEX1048570,[1]Lookup!XEW24:XEW1048570,[1]Lookup!XEY24:XEY1048570),,,2)</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 i="7" l="1"/>
  <c r="F16" i="7"/>
  <c r="E17" i="7"/>
  <c r="F17" i="7"/>
  <c r="E18" i="7"/>
  <c r="F18" i="7"/>
  <c r="E19" i="7"/>
  <c r="F19" i="7"/>
  <c r="E20" i="7"/>
  <c r="F20" i="7"/>
  <c r="E21" i="7"/>
  <c r="F21" i="7"/>
  <c r="T301" i="6"/>
  <c r="U301" i="6" s="1"/>
  <c r="S301" i="6"/>
  <c r="P301" i="6"/>
  <c r="O301" i="6"/>
  <c r="D301" i="6"/>
  <c r="T300" i="6"/>
  <c r="S300" i="6"/>
  <c r="P300" i="6"/>
  <c r="O300" i="6"/>
  <c r="D300" i="6"/>
  <c r="T299" i="6"/>
  <c r="S299" i="6"/>
  <c r="U299" i="6" s="1"/>
  <c r="W299" i="6" s="1"/>
  <c r="P299" i="6"/>
  <c r="O299" i="6"/>
  <c r="D299" i="6"/>
  <c r="T298" i="6"/>
  <c r="S298" i="6"/>
  <c r="P298" i="6"/>
  <c r="O298" i="6"/>
  <c r="D298" i="6"/>
  <c r="T297" i="6"/>
  <c r="S297" i="6"/>
  <c r="P297" i="6"/>
  <c r="O297" i="6"/>
  <c r="D297" i="6"/>
  <c r="T296" i="6"/>
  <c r="S296" i="6"/>
  <c r="P296" i="6"/>
  <c r="O296" i="6"/>
  <c r="D296" i="6"/>
  <c r="T295" i="6"/>
  <c r="S295" i="6"/>
  <c r="P295" i="6"/>
  <c r="O295" i="6"/>
  <c r="D295" i="6"/>
  <c r="T294" i="6"/>
  <c r="S294" i="6"/>
  <c r="P294" i="6"/>
  <c r="O294" i="6"/>
  <c r="D294" i="6"/>
  <c r="T293" i="6"/>
  <c r="S293" i="6"/>
  <c r="P293" i="6"/>
  <c r="O293" i="6"/>
  <c r="D293" i="6"/>
  <c r="T292" i="6"/>
  <c r="S292" i="6"/>
  <c r="U292" i="6" s="1"/>
  <c r="P292" i="6"/>
  <c r="O292" i="6"/>
  <c r="D292" i="6"/>
  <c r="T291" i="6"/>
  <c r="S291" i="6"/>
  <c r="P291" i="6"/>
  <c r="O291" i="6"/>
  <c r="D291" i="6"/>
  <c r="T290" i="6"/>
  <c r="S290" i="6"/>
  <c r="U290" i="6" s="1"/>
  <c r="P290" i="6"/>
  <c r="O290" i="6"/>
  <c r="D290" i="6"/>
  <c r="T289" i="6"/>
  <c r="S289" i="6"/>
  <c r="P289" i="6"/>
  <c r="O289" i="6"/>
  <c r="D289" i="6"/>
  <c r="T288" i="6"/>
  <c r="S288" i="6"/>
  <c r="P288" i="6"/>
  <c r="O288" i="6"/>
  <c r="D288" i="6"/>
  <c r="T287" i="6"/>
  <c r="S287" i="6"/>
  <c r="P287" i="6"/>
  <c r="O287" i="6"/>
  <c r="D287" i="6"/>
  <c r="T286" i="6"/>
  <c r="S286" i="6"/>
  <c r="P286" i="6"/>
  <c r="O286" i="6"/>
  <c r="D286" i="6"/>
  <c r="T285" i="6"/>
  <c r="S285" i="6"/>
  <c r="U285" i="6" s="1"/>
  <c r="P285" i="6"/>
  <c r="O285" i="6"/>
  <c r="D285" i="6"/>
  <c r="T284" i="6"/>
  <c r="S284" i="6"/>
  <c r="U284" i="6" s="1"/>
  <c r="V284" i="6" s="1"/>
  <c r="P284" i="6"/>
  <c r="O284" i="6"/>
  <c r="D284" i="6"/>
  <c r="T283" i="6"/>
  <c r="S283" i="6"/>
  <c r="P283" i="6"/>
  <c r="Q283" i="6" s="1"/>
  <c r="O283" i="6"/>
  <c r="D283" i="6"/>
  <c r="T282" i="6"/>
  <c r="S282" i="6"/>
  <c r="P282" i="6"/>
  <c r="O282" i="6"/>
  <c r="D282" i="6"/>
  <c r="T281" i="6"/>
  <c r="S281" i="6"/>
  <c r="P281" i="6"/>
  <c r="Q281" i="6" s="1"/>
  <c r="O281" i="6"/>
  <c r="D281" i="6"/>
  <c r="T280" i="6"/>
  <c r="S280" i="6"/>
  <c r="P280" i="6"/>
  <c r="O280" i="6"/>
  <c r="D280" i="6"/>
  <c r="T279" i="6"/>
  <c r="S279" i="6"/>
  <c r="P279" i="6"/>
  <c r="O279" i="6"/>
  <c r="D279" i="6"/>
  <c r="T278" i="6"/>
  <c r="S278" i="6"/>
  <c r="U278" i="6" s="1"/>
  <c r="P278" i="6"/>
  <c r="O278" i="6"/>
  <c r="D278" i="6"/>
  <c r="T277" i="6"/>
  <c r="S277" i="6"/>
  <c r="P277" i="6"/>
  <c r="O277" i="6"/>
  <c r="D277" i="6"/>
  <c r="T276" i="6"/>
  <c r="S276" i="6"/>
  <c r="U276" i="6" s="1"/>
  <c r="P276" i="6"/>
  <c r="O276" i="6"/>
  <c r="D276" i="6"/>
  <c r="U275" i="6"/>
  <c r="V275" i="6" s="1"/>
  <c r="T275" i="6"/>
  <c r="S275" i="6"/>
  <c r="P275" i="6"/>
  <c r="O275" i="6"/>
  <c r="D275" i="6"/>
  <c r="T274" i="6"/>
  <c r="S274" i="6"/>
  <c r="P274" i="6"/>
  <c r="O274" i="6"/>
  <c r="D274" i="6"/>
  <c r="T273" i="6"/>
  <c r="S273" i="6"/>
  <c r="U273" i="6" s="1"/>
  <c r="P273" i="6"/>
  <c r="O273" i="6"/>
  <c r="D273" i="6"/>
  <c r="T272" i="6"/>
  <c r="S272" i="6"/>
  <c r="P272" i="6"/>
  <c r="Q272" i="6" s="1"/>
  <c r="O272" i="6"/>
  <c r="D272" i="6"/>
  <c r="T271" i="6"/>
  <c r="S271" i="6"/>
  <c r="U271" i="6" s="1"/>
  <c r="P271" i="6"/>
  <c r="O271" i="6"/>
  <c r="D271" i="6"/>
  <c r="T270" i="6"/>
  <c r="S270" i="6"/>
  <c r="P270" i="6"/>
  <c r="O270" i="6"/>
  <c r="D270" i="6"/>
  <c r="T269" i="6"/>
  <c r="S269" i="6"/>
  <c r="P269" i="6"/>
  <c r="O269" i="6"/>
  <c r="D269" i="6"/>
  <c r="T268" i="6"/>
  <c r="S268" i="6"/>
  <c r="P268" i="6"/>
  <c r="O268" i="6"/>
  <c r="D268" i="6"/>
  <c r="T267" i="6"/>
  <c r="S267" i="6"/>
  <c r="U267" i="6" s="1"/>
  <c r="W267" i="6" s="1"/>
  <c r="P267" i="6"/>
  <c r="O267" i="6"/>
  <c r="D267" i="6"/>
  <c r="T266" i="6"/>
  <c r="S266" i="6"/>
  <c r="P266" i="6"/>
  <c r="O266" i="6"/>
  <c r="D266" i="6"/>
  <c r="T265" i="6"/>
  <c r="S265" i="6"/>
  <c r="U265" i="6" s="1"/>
  <c r="P265" i="6"/>
  <c r="O265" i="6"/>
  <c r="D265" i="6"/>
  <c r="T264" i="6"/>
  <c r="U264" i="6" s="1"/>
  <c r="W264" i="6" s="1"/>
  <c r="S264" i="6"/>
  <c r="P264" i="6"/>
  <c r="O264" i="6"/>
  <c r="D264" i="6"/>
  <c r="T263" i="6"/>
  <c r="S263" i="6"/>
  <c r="P263" i="6"/>
  <c r="O263" i="6"/>
  <c r="D263" i="6"/>
  <c r="T262" i="6"/>
  <c r="S262" i="6"/>
  <c r="P262" i="6"/>
  <c r="O262" i="6"/>
  <c r="D262" i="6"/>
  <c r="T261" i="6"/>
  <c r="S261" i="6"/>
  <c r="P261" i="6"/>
  <c r="O261" i="6"/>
  <c r="D261" i="6"/>
  <c r="T260" i="6"/>
  <c r="S260" i="6"/>
  <c r="P260" i="6"/>
  <c r="O260" i="6"/>
  <c r="D260" i="6"/>
  <c r="T259" i="6"/>
  <c r="S259" i="6"/>
  <c r="P259" i="6"/>
  <c r="O259" i="6"/>
  <c r="D259" i="6"/>
  <c r="T258" i="6"/>
  <c r="S258" i="6"/>
  <c r="P258" i="6"/>
  <c r="O258" i="6"/>
  <c r="D258" i="6"/>
  <c r="T257" i="6"/>
  <c r="S257" i="6"/>
  <c r="U257" i="6" s="1"/>
  <c r="P257" i="6"/>
  <c r="O257" i="6"/>
  <c r="D257" i="6"/>
  <c r="T256" i="6"/>
  <c r="S256" i="6"/>
  <c r="P256" i="6"/>
  <c r="O256" i="6"/>
  <c r="D256" i="6"/>
  <c r="T255" i="6"/>
  <c r="S255" i="6"/>
  <c r="U255" i="6" s="1"/>
  <c r="P255" i="6"/>
  <c r="O255" i="6"/>
  <c r="D255" i="6"/>
  <c r="T254" i="6"/>
  <c r="S254" i="6"/>
  <c r="P254" i="6"/>
  <c r="Q254" i="6" s="1"/>
  <c r="O254" i="6"/>
  <c r="D254" i="6"/>
  <c r="T253" i="6"/>
  <c r="S253" i="6"/>
  <c r="P253" i="6"/>
  <c r="O253" i="6"/>
  <c r="D253" i="6"/>
  <c r="T252" i="6"/>
  <c r="S252" i="6"/>
  <c r="P252" i="6"/>
  <c r="O252" i="6"/>
  <c r="D252" i="6"/>
  <c r="T251" i="6"/>
  <c r="S251" i="6"/>
  <c r="U251" i="6" s="1"/>
  <c r="P251" i="6"/>
  <c r="O251" i="6"/>
  <c r="D251" i="6"/>
  <c r="T250" i="6"/>
  <c r="S250" i="6"/>
  <c r="U250" i="6" s="1"/>
  <c r="V250" i="6" s="1"/>
  <c r="P250" i="6"/>
  <c r="O250" i="6"/>
  <c r="D250" i="6"/>
  <c r="T249" i="6"/>
  <c r="S249" i="6"/>
  <c r="P249" i="6"/>
  <c r="O249" i="6"/>
  <c r="D249" i="6"/>
  <c r="T248" i="6"/>
  <c r="S248" i="6"/>
  <c r="P248" i="6"/>
  <c r="O248" i="6"/>
  <c r="D248" i="6"/>
  <c r="T247" i="6"/>
  <c r="U247" i="6" s="1"/>
  <c r="S247" i="6"/>
  <c r="P247" i="6"/>
  <c r="O247" i="6"/>
  <c r="D247" i="6"/>
  <c r="T246" i="6"/>
  <c r="S246" i="6"/>
  <c r="U246" i="6" s="1"/>
  <c r="V246" i="6" s="1"/>
  <c r="P246" i="6"/>
  <c r="O246" i="6"/>
  <c r="D246" i="6"/>
  <c r="T245" i="6"/>
  <c r="S245" i="6"/>
  <c r="P245" i="6"/>
  <c r="O245" i="6"/>
  <c r="D245" i="6"/>
  <c r="T244" i="6"/>
  <c r="S244" i="6"/>
  <c r="P244" i="6"/>
  <c r="O244" i="6"/>
  <c r="D244" i="6"/>
  <c r="T243" i="6"/>
  <c r="S243" i="6"/>
  <c r="P243" i="6"/>
  <c r="Q243" i="6" s="1"/>
  <c r="O243" i="6"/>
  <c r="D243" i="6"/>
  <c r="T242" i="6"/>
  <c r="S242" i="6"/>
  <c r="U242" i="6" s="1"/>
  <c r="V242" i="6" s="1"/>
  <c r="P242" i="6"/>
  <c r="O242" i="6"/>
  <c r="D242" i="6"/>
  <c r="T241" i="6"/>
  <c r="S241" i="6"/>
  <c r="P241" i="6"/>
  <c r="O241" i="6"/>
  <c r="D241" i="6"/>
  <c r="T240" i="6"/>
  <c r="S240" i="6"/>
  <c r="P240" i="6"/>
  <c r="O240" i="6"/>
  <c r="D240" i="6"/>
  <c r="T239" i="6"/>
  <c r="S239" i="6"/>
  <c r="P239" i="6"/>
  <c r="O239" i="6"/>
  <c r="D239" i="6"/>
  <c r="T238" i="6"/>
  <c r="S238" i="6"/>
  <c r="U238" i="6" s="1"/>
  <c r="P238" i="6"/>
  <c r="O238" i="6"/>
  <c r="D238" i="6"/>
  <c r="V237" i="6"/>
  <c r="T237" i="6"/>
  <c r="S237" i="6"/>
  <c r="U237" i="6" s="1"/>
  <c r="W237" i="6" s="1"/>
  <c r="P237" i="6"/>
  <c r="O237" i="6"/>
  <c r="D237" i="6"/>
  <c r="T236" i="6"/>
  <c r="S236" i="6"/>
  <c r="U236" i="6" s="1"/>
  <c r="V236" i="6" s="1"/>
  <c r="P236" i="6"/>
  <c r="O236" i="6"/>
  <c r="D236" i="6"/>
  <c r="T235" i="6"/>
  <c r="S235" i="6"/>
  <c r="U235" i="6" s="1"/>
  <c r="P235" i="6"/>
  <c r="O235" i="6"/>
  <c r="D235" i="6"/>
  <c r="T234" i="6"/>
  <c r="S234" i="6"/>
  <c r="P234" i="6"/>
  <c r="O234" i="6"/>
  <c r="D234" i="6"/>
  <c r="T233" i="6"/>
  <c r="S233" i="6"/>
  <c r="P233" i="6"/>
  <c r="O233" i="6"/>
  <c r="D233" i="6"/>
  <c r="T232" i="6"/>
  <c r="U232" i="6" s="1"/>
  <c r="W232" i="6" s="1"/>
  <c r="S232" i="6"/>
  <c r="P232" i="6"/>
  <c r="O232" i="6"/>
  <c r="D232" i="6"/>
  <c r="T231" i="6"/>
  <c r="S231" i="6"/>
  <c r="U231" i="6" s="1"/>
  <c r="P231" i="6"/>
  <c r="O231" i="6"/>
  <c r="D231" i="6"/>
  <c r="T230" i="6"/>
  <c r="S230" i="6"/>
  <c r="P230" i="6"/>
  <c r="O230" i="6"/>
  <c r="D230" i="6"/>
  <c r="T229" i="6"/>
  <c r="U229" i="6" s="1"/>
  <c r="S229" i="6"/>
  <c r="P229" i="6"/>
  <c r="O229" i="6"/>
  <c r="D229" i="6"/>
  <c r="T228" i="6"/>
  <c r="S228" i="6"/>
  <c r="P228" i="6"/>
  <c r="O228" i="6"/>
  <c r="D228" i="6"/>
  <c r="V227" i="6"/>
  <c r="T227" i="6"/>
  <c r="S227" i="6"/>
  <c r="U227" i="6" s="1"/>
  <c r="W227" i="6" s="1"/>
  <c r="P227" i="6"/>
  <c r="O227" i="6"/>
  <c r="D227" i="6"/>
  <c r="T226" i="6"/>
  <c r="S226" i="6"/>
  <c r="P226" i="6"/>
  <c r="O226" i="6"/>
  <c r="D226" i="6"/>
  <c r="T225" i="6"/>
  <c r="S225" i="6"/>
  <c r="U225" i="6" s="1"/>
  <c r="W225" i="6" s="1"/>
  <c r="P225" i="6"/>
  <c r="O225" i="6"/>
  <c r="D225" i="6"/>
  <c r="U224" i="6"/>
  <c r="W224" i="6" s="1"/>
  <c r="T224" i="6"/>
  <c r="S224" i="6"/>
  <c r="P224" i="6"/>
  <c r="O224" i="6"/>
  <c r="D224" i="6"/>
  <c r="T223" i="6"/>
  <c r="S223" i="6"/>
  <c r="P223" i="6"/>
  <c r="O223" i="6"/>
  <c r="D223" i="6"/>
  <c r="T222" i="6"/>
  <c r="S222" i="6"/>
  <c r="P222" i="6"/>
  <c r="Q222" i="6" s="1"/>
  <c r="O222" i="6"/>
  <c r="D222" i="6"/>
  <c r="U221" i="6"/>
  <c r="W221" i="6" s="1"/>
  <c r="T221" i="6"/>
  <c r="S221" i="6"/>
  <c r="P221" i="6"/>
  <c r="O221" i="6"/>
  <c r="D221" i="6"/>
  <c r="T220" i="6"/>
  <c r="S220" i="6"/>
  <c r="U220" i="6" s="1"/>
  <c r="P220" i="6"/>
  <c r="O220" i="6"/>
  <c r="D220" i="6"/>
  <c r="T219" i="6"/>
  <c r="S219" i="6"/>
  <c r="P219" i="6"/>
  <c r="O219" i="6"/>
  <c r="D219" i="6"/>
  <c r="T218" i="6"/>
  <c r="S218" i="6"/>
  <c r="P218" i="6"/>
  <c r="O218" i="6"/>
  <c r="D218" i="6"/>
  <c r="T217" i="6"/>
  <c r="S217" i="6"/>
  <c r="P217" i="6"/>
  <c r="O217" i="6"/>
  <c r="D217" i="6"/>
  <c r="T216" i="6"/>
  <c r="S216" i="6"/>
  <c r="P216" i="6"/>
  <c r="O216" i="6"/>
  <c r="D216" i="6"/>
  <c r="T215" i="6"/>
  <c r="S215" i="6"/>
  <c r="U215" i="6" s="1"/>
  <c r="W215" i="6" s="1"/>
  <c r="P215" i="6"/>
  <c r="O215" i="6"/>
  <c r="D215" i="6"/>
  <c r="T214" i="6"/>
  <c r="S214" i="6"/>
  <c r="P214" i="6"/>
  <c r="O214" i="6"/>
  <c r="D214" i="6"/>
  <c r="T213" i="6"/>
  <c r="S213" i="6"/>
  <c r="U213" i="6" s="1"/>
  <c r="V213" i="6" s="1"/>
  <c r="P213" i="6"/>
  <c r="O213" i="6"/>
  <c r="D213" i="6"/>
  <c r="T212" i="6"/>
  <c r="S212" i="6"/>
  <c r="U212" i="6" s="1"/>
  <c r="P212" i="6"/>
  <c r="Q212" i="6" s="1"/>
  <c r="O212" i="6"/>
  <c r="D212" i="6"/>
  <c r="T211" i="6"/>
  <c r="S211" i="6"/>
  <c r="P211" i="6"/>
  <c r="O211" i="6"/>
  <c r="D211" i="6"/>
  <c r="T210" i="6"/>
  <c r="S210" i="6"/>
  <c r="U210" i="6" s="1"/>
  <c r="P210" i="6"/>
  <c r="O210" i="6"/>
  <c r="D210" i="6"/>
  <c r="T209" i="6"/>
  <c r="S209" i="6"/>
  <c r="P209" i="6"/>
  <c r="O209" i="6"/>
  <c r="D209" i="6"/>
  <c r="T208" i="6"/>
  <c r="S208" i="6"/>
  <c r="U208" i="6" s="1"/>
  <c r="W208" i="6" s="1"/>
  <c r="P208" i="6"/>
  <c r="O208" i="6"/>
  <c r="D208" i="6"/>
  <c r="T207" i="6"/>
  <c r="S207" i="6"/>
  <c r="P207" i="6"/>
  <c r="O207" i="6"/>
  <c r="D207" i="6"/>
  <c r="T206" i="6"/>
  <c r="S206" i="6"/>
  <c r="P206" i="6"/>
  <c r="O206" i="6"/>
  <c r="D206" i="6"/>
  <c r="T205" i="6"/>
  <c r="S205" i="6"/>
  <c r="P205" i="6"/>
  <c r="O205" i="6"/>
  <c r="D205" i="6"/>
  <c r="T204" i="6"/>
  <c r="S204" i="6"/>
  <c r="U204" i="6" s="1"/>
  <c r="P204" i="6"/>
  <c r="O204" i="6"/>
  <c r="D204" i="6"/>
  <c r="U203" i="6"/>
  <c r="W203" i="6" s="1"/>
  <c r="T203" i="6"/>
  <c r="S203" i="6"/>
  <c r="P203" i="6"/>
  <c r="O203" i="6"/>
  <c r="D203" i="6"/>
  <c r="T202" i="6"/>
  <c r="S202" i="6"/>
  <c r="P202" i="6"/>
  <c r="O202" i="6"/>
  <c r="D202" i="6"/>
  <c r="T201" i="6"/>
  <c r="U201" i="6" s="1"/>
  <c r="S201" i="6"/>
  <c r="P201" i="6"/>
  <c r="O201" i="6"/>
  <c r="D201" i="6"/>
  <c r="T200" i="6"/>
  <c r="S200" i="6"/>
  <c r="P200" i="6"/>
  <c r="O200" i="6"/>
  <c r="D200" i="6"/>
  <c r="T199" i="6"/>
  <c r="S199" i="6"/>
  <c r="P199" i="6"/>
  <c r="Q199" i="6" s="1"/>
  <c r="O199" i="6"/>
  <c r="D199" i="6"/>
  <c r="T198" i="6"/>
  <c r="S198" i="6"/>
  <c r="P198" i="6"/>
  <c r="O198" i="6"/>
  <c r="D198" i="6"/>
  <c r="T197" i="6"/>
  <c r="S197" i="6"/>
  <c r="P197" i="6"/>
  <c r="O197" i="6"/>
  <c r="D197" i="6"/>
  <c r="T196" i="6"/>
  <c r="S196" i="6"/>
  <c r="U196" i="6" s="1"/>
  <c r="P196" i="6"/>
  <c r="O196" i="6"/>
  <c r="D196" i="6"/>
  <c r="T195" i="6"/>
  <c r="S195" i="6"/>
  <c r="U195" i="6" s="1"/>
  <c r="P195" i="6"/>
  <c r="Q195" i="6" s="1"/>
  <c r="O195" i="6"/>
  <c r="D195" i="6"/>
  <c r="T194" i="6"/>
  <c r="S194" i="6"/>
  <c r="U194" i="6" s="1"/>
  <c r="W194" i="6" s="1"/>
  <c r="P194" i="6"/>
  <c r="O194" i="6"/>
  <c r="D194" i="6"/>
  <c r="T193" i="6"/>
  <c r="S193" i="6"/>
  <c r="P193" i="6"/>
  <c r="O193" i="6"/>
  <c r="D193" i="6"/>
  <c r="T192" i="6"/>
  <c r="S192" i="6"/>
  <c r="P192" i="6"/>
  <c r="O192" i="6"/>
  <c r="D192" i="6"/>
  <c r="T191" i="6"/>
  <c r="S191" i="6"/>
  <c r="P191" i="6"/>
  <c r="O191" i="6"/>
  <c r="D191" i="6"/>
  <c r="T190" i="6"/>
  <c r="S190" i="6"/>
  <c r="P190" i="6"/>
  <c r="O190" i="6"/>
  <c r="D190" i="6"/>
  <c r="T189" i="6"/>
  <c r="S189" i="6"/>
  <c r="P189" i="6"/>
  <c r="O189" i="6"/>
  <c r="D189" i="6"/>
  <c r="T188" i="6"/>
  <c r="S188" i="6"/>
  <c r="U188" i="6" s="1"/>
  <c r="P188" i="6"/>
  <c r="O188" i="6"/>
  <c r="D188" i="6"/>
  <c r="T187" i="6"/>
  <c r="S187" i="6"/>
  <c r="P187" i="6"/>
  <c r="O187" i="6"/>
  <c r="D187" i="6"/>
  <c r="T186" i="6"/>
  <c r="S186" i="6"/>
  <c r="U186" i="6" s="1"/>
  <c r="V186" i="6" s="1"/>
  <c r="P186" i="6"/>
  <c r="O186" i="6"/>
  <c r="D186" i="6"/>
  <c r="T185" i="6"/>
  <c r="S185" i="6"/>
  <c r="P185" i="6"/>
  <c r="O185" i="6"/>
  <c r="D185" i="6"/>
  <c r="T184" i="6"/>
  <c r="S184" i="6"/>
  <c r="P184" i="6"/>
  <c r="O184" i="6"/>
  <c r="D184" i="6"/>
  <c r="T183" i="6"/>
  <c r="S183" i="6"/>
  <c r="P183" i="6"/>
  <c r="O183" i="6"/>
  <c r="D183" i="6"/>
  <c r="T182" i="6"/>
  <c r="S182" i="6"/>
  <c r="U182" i="6" s="1"/>
  <c r="W182" i="6" s="1"/>
  <c r="P182" i="6"/>
  <c r="O182" i="6"/>
  <c r="D182" i="6"/>
  <c r="T181" i="6"/>
  <c r="S181" i="6"/>
  <c r="P181" i="6"/>
  <c r="O181" i="6"/>
  <c r="D181" i="6"/>
  <c r="T180" i="6"/>
  <c r="S180" i="6"/>
  <c r="U180" i="6" s="1"/>
  <c r="W180" i="6" s="1"/>
  <c r="P180" i="6"/>
  <c r="O180" i="6"/>
  <c r="D180" i="6"/>
  <c r="T179" i="6"/>
  <c r="S179" i="6"/>
  <c r="P179" i="6"/>
  <c r="O179" i="6"/>
  <c r="D179" i="6"/>
  <c r="T178" i="6"/>
  <c r="S178" i="6"/>
  <c r="U178" i="6" s="1"/>
  <c r="P178" i="6"/>
  <c r="O178" i="6"/>
  <c r="D178" i="6"/>
  <c r="T177" i="6"/>
  <c r="S177" i="6"/>
  <c r="P177" i="6"/>
  <c r="O177" i="6"/>
  <c r="D177" i="6"/>
  <c r="T176" i="6"/>
  <c r="S176" i="6"/>
  <c r="P176" i="6"/>
  <c r="O176" i="6"/>
  <c r="D176" i="6"/>
  <c r="T175" i="6"/>
  <c r="S175" i="6"/>
  <c r="P175" i="6"/>
  <c r="O175" i="6"/>
  <c r="D175" i="6"/>
  <c r="T174" i="6"/>
  <c r="S174" i="6"/>
  <c r="P174" i="6"/>
  <c r="O174" i="6"/>
  <c r="D174" i="6"/>
  <c r="T173" i="6"/>
  <c r="S173" i="6"/>
  <c r="P173" i="6"/>
  <c r="O173" i="6"/>
  <c r="D173" i="6"/>
  <c r="T172" i="6"/>
  <c r="S172" i="6"/>
  <c r="U172" i="6" s="1"/>
  <c r="W172" i="6" s="1"/>
  <c r="P172" i="6"/>
  <c r="O172" i="6"/>
  <c r="D172" i="6"/>
  <c r="T171" i="6"/>
  <c r="S171" i="6"/>
  <c r="U171" i="6" s="1"/>
  <c r="P171" i="6"/>
  <c r="Q171" i="6" s="1"/>
  <c r="O171" i="6"/>
  <c r="D171" i="6"/>
  <c r="T170" i="6"/>
  <c r="S170" i="6"/>
  <c r="U170" i="6" s="1"/>
  <c r="P170" i="6"/>
  <c r="O170" i="6"/>
  <c r="D170" i="6"/>
  <c r="T169" i="6"/>
  <c r="S169" i="6"/>
  <c r="P169" i="6"/>
  <c r="Q169" i="6" s="1"/>
  <c r="O169" i="6"/>
  <c r="D169" i="6"/>
  <c r="T168" i="6"/>
  <c r="U168" i="6" s="1"/>
  <c r="S168" i="6"/>
  <c r="P168" i="6"/>
  <c r="O168" i="6"/>
  <c r="D168" i="6"/>
  <c r="T167" i="6"/>
  <c r="S167" i="6"/>
  <c r="P167" i="6"/>
  <c r="O167" i="6"/>
  <c r="D167" i="6"/>
  <c r="T166" i="6"/>
  <c r="S166" i="6"/>
  <c r="U166" i="6" s="1"/>
  <c r="P166" i="6"/>
  <c r="O166" i="6"/>
  <c r="D166" i="6"/>
  <c r="T165" i="6"/>
  <c r="S165" i="6"/>
  <c r="P165" i="6"/>
  <c r="O165" i="6"/>
  <c r="D165" i="6"/>
  <c r="T164" i="6"/>
  <c r="S164" i="6"/>
  <c r="P164" i="6"/>
  <c r="O164" i="6"/>
  <c r="D164" i="6"/>
  <c r="T163" i="6"/>
  <c r="S163" i="6"/>
  <c r="P163" i="6"/>
  <c r="O163" i="6"/>
  <c r="D163" i="6"/>
  <c r="T162" i="6"/>
  <c r="S162" i="6"/>
  <c r="P162" i="6"/>
  <c r="O162" i="6"/>
  <c r="D162" i="6"/>
  <c r="T161" i="6"/>
  <c r="S161" i="6"/>
  <c r="P161" i="6"/>
  <c r="O161" i="6"/>
  <c r="D161" i="6"/>
  <c r="T160" i="6"/>
  <c r="U160" i="6" s="1"/>
  <c r="V160" i="6" s="1"/>
  <c r="S160" i="6"/>
  <c r="P160" i="6"/>
  <c r="O160" i="6"/>
  <c r="D160" i="6"/>
  <c r="T159" i="6"/>
  <c r="S159" i="6"/>
  <c r="P159" i="6"/>
  <c r="O159" i="6"/>
  <c r="D159" i="6"/>
  <c r="T158" i="6"/>
  <c r="S158" i="6"/>
  <c r="P158" i="6"/>
  <c r="O158" i="6"/>
  <c r="D158" i="6"/>
  <c r="T157" i="6"/>
  <c r="S157" i="6"/>
  <c r="P157" i="6"/>
  <c r="O157" i="6"/>
  <c r="D157" i="6"/>
  <c r="T156" i="6"/>
  <c r="S156" i="6"/>
  <c r="P156" i="6"/>
  <c r="O156" i="6"/>
  <c r="D156" i="6"/>
  <c r="T155" i="6"/>
  <c r="S155" i="6"/>
  <c r="U155" i="6" s="1"/>
  <c r="W155" i="6" s="1"/>
  <c r="P155" i="6"/>
  <c r="O155" i="6"/>
  <c r="D155" i="6"/>
  <c r="T154" i="6"/>
  <c r="S154" i="6"/>
  <c r="U154" i="6" s="1"/>
  <c r="W154" i="6" s="1"/>
  <c r="P154" i="6"/>
  <c r="O154" i="6"/>
  <c r="D154" i="6"/>
  <c r="T153" i="6"/>
  <c r="S153" i="6"/>
  <c r="U153" i="6" s="1"/>
  <c r="V153" i="6" s="1"/>
  <c r="P153" i="6"/>
  <c r="O153" i="6"/>
  <c r="D153" i="6"/>
  <c r="T152" i="6"/>
  <c r="S152" i="6"/>
  <c r="P152" i="6"/>
  <c r="O152" i="6"/>
  <c r="D152" i="6"/>
  <c r="T151" i="6"/>
  <c r="S151" i="6"/>
  <c r="P151" i="6"/>
  <c r="O151" i="6"/>
  <c r="D151" i="6"/>
  <c r="T150" i="6"/>
  <c r="S150" i="6"/>
  <c r="P150" i="6"/>
  <c r="Q150" i="6" s="1"/>
  <c r="O150" i="6"/>
  <c r="D150" i="6"/>
  <c r="T149" i="6"/>
  <c r="S149" i="6"/>
  <c r="P149" i="6"/>
  <c r="O149" i="6"/>
  <c r="D149" i="6"/>
  <c r="T148" i="6"/>
  <c r="S148" i="6"/>
  <c r="P148" i="6"/>
  <c r="O148" i="6"/>
  <c r="D148" i="6"/>
  <c r="T147" i="6"/>
  <c r="S147" i="6"/>
  <c r="P147" i="6"/>
  <c r="O147" i="6"/>
  <c r="D147" i="6"/>
  <c r="T146" i="6"/>
  <c r="S146" i="6"/>
  <c r="U146" i="6" s="1"/>
  <c r="V146" i="6" s="1"/>
  <c r="P146" i="6"/>
  <c r="O146" i="6"/>
  <c r="D146" i="6"/>
  <c r="T145" i="6"/>
  <c r="S145" i="6"/>
  <c r="P145" i="6"/>
  <c r="O145" i="6"/>
  <c r="D145" i="6"/>
  <c r="T144" i="6"/>
  <c r="S144" i="6"/>
  <c r="P144" i="6"/>
  <c r="O144" i="6"/>
  <c r="D144" i="6"/>
  <c r="T143" i="6"/>
  <c r="S143" i="6"/>
  <c r="P143" i="6"/>
  <c r="O143" i="6"/>
  <c r="D143" i="6"/>
  <c r="T142" i="6"/>
  <c r="S142" i="6"/>
  <c r="P142" i="6"/>
  <c r="O142" i="6"/>
  <c r="D142" i="6"/>
  <c r="T141" i="6"/>
  <c r="U141" i="6" s="1"/>
  <c r="V141" i="6" s="1"/>
  <c r="S141" i="6"/>
  <c r="P141" i="6"/>
  <c r="O141" i="6"/>
  <c r="D141" i="6"/>
  <c r="T140" i="6"/>
  <c r="S140" i="6"/>
  <c r="P140" i="6"/>
  <c r="O140" i="6"/>
  <c r="D140" i="6"/>
  <c r="T139" i="6"/>
  <c r="S139" i="6"/>
  <c r="P139" i="6"/>
  <c r="O139" i="6"/>
  <c r="D139" i="6"/>
  <c r="T138" i="6"/>
  <c r="S138" i="6"/>
  <c r="U138" i="6" s="1"/>
  <c r="P138" i="6"/>
  <c r="O138" i="6"/>
  <c r="D138" i="6"/>
  <c r="T137" i="6"/>
  <c r="S137" i="6"/>
  <c r="P137" i="6"/>
  <c r="O137" i="6"/>
  <c r="D137" i="6"/>
  <c r="T136" i="6"/>
  <c r="S136" i="6"/>
  <c r="U136" i="6" s="1"/>
  <c r="P136" i="6"/>
  <c r="O136" i="6"/>
  <c r="D136" i="6"/>
  <c r="T135" i="6"/>
  <c r="S135" i="6"/>
  <c r="U135" i="6" s="1"/>
  <c r="P135" i="6"/>
  <c r="O135" i="6"/>
  <c r="D135" i="6"/>
  <c r="T134" i="6"/>
  <c r="S134" i="6"/>
  <c r="P134" i="6"/>
  <c r="O134" i="6"/>
  <c r="D134" i="6"/>
  <c r="T133" i="6"/>
  <c r="S133" i="6"/>
  <c r="P133" i="6"/>
  <c r="O133" i="6"/>
  <c r="D133" i="6"/>
  <c r="T132" i="6"/>
  <c r="S132" i="6"/>
  <c r="P132" i="6"/>
  <c r="O132" i="6"/>
  <c r="D132" i="6"/>
  <c r="T131" i="6"/>
  <c r="S131" i="6"/>
  <c r="P131" i="6"/>
  <c r="O131" i="6"/>
  <c r="D131" i="6"/>
  <c r="T130" i="6"/>
  <c r="S130" i="6"/>
  <c r="P130" i="6"/>
  <c r="O130" i="6"/>
  <c r="D130" i="6"/>
  <c r="T129" i="6"/>
  <c r="S129" i="6"/>
  <c r="P129" i="6"/>
  <c r="O129" i="6"/>
  <c r="D129" i="6"/>
  <c r="T128" i="6"/>
  <c r="S128" i="6"/>
  <c r="P128" i="6"/>
  <c r="O128" i="6"/>
  <c r="D128" i="6"/>
  <c r="T127" i="6"/>
  <c r="S127" i="6"/>
  <c r="U127" i="6" s="1"/>
  <c r="V127" i="6" s="1"/>
  <c r="P127" i="6"/>
  <c r="O127" i="6"/>
  <c r="D127" i="6"/>
  <c r="T126" i="6"/>
  <c r="S126" i="6"/>
  <c r="P126" i="6"/>
  <c r="O126" i="6"/>
  <c r="D126" i="6"/>
  <c r="T125" i="6"/>
  <c r="S125" i="6"/>
  <c r="U125" i="6" s="1"/>
  <c r="P125" i="6"/>
  <c r="O125" i="6"/>
  <c r="D125" i="6"/>
  <c r="T124" i="6"/>
  <c r="S124" i="6"/>
  <c r="U124" i="6" s="1"/>
  <c r="V124" i="6" s="1"/>
  <c r="P124" i="6"/>
  <c r="O124" i="6"/>
  <c r="D124" i="6"/>
  <c r="T123" i="6"/>
  <c r="S123" i="6"/>
  <c r="U123" i="6" s="1"/>
  <c r="P123" i="6"/>
  <c r="Q123" i="6" s="1"/>
  <c r="O123" i="6"/>
  <c r="D123" i="6"/>
  <c r="T122" i="6"/>
  <c r="S122" i="6"/>
  <c r="P122" i="6"/>
  <c r="O122" i="6"/>
  <c r="D122" i="6"/>
  <c r="T121" i="6"/>
  <c r="S121" i="6"/>
  <c r="P121" i="6"/>
  <c r="O121" i="6"/>
  <c r="D121" i="6"/>
  <c r="T120" i="6"/>
  <c r="S120" i="6"/>
  <c r="P120" i="6"/>
  <c r="O120" i="6"/>
  <c r="D120" i="6"/>
  <c r="T119" i="6"/>
  <c r="S119" i="6"/>
  <c r="P119" i="6"/>
  <c r="O119" i="6"/>
  <c r="D119" i="6"/>
  <c r="T118" i="6"/>
  <c r="S118" i="6"/>
  <c r="P118" i="6"/>
  <c r="O118" i="6"/>
  <c r="D118" i="6"/>
  <c r="T117" i="6"/>
  <c r="S117" i="6"/>
  <c r="P117" i="6"/>
  <c r="O117" i="6"/>
  <c r="D117" i="6"/>
  <c r="T116" i="6"/>
  <c r="S116" i="6"/>
  <c r="U116" i="6" s="1"/>
  <c r="W116" i="6" s="1"/>
  <c r="P116" i="6"/>
  <c r="O116" i="6"/>
  <c r="D116" i="6"/>
  <c r="T115" i="6"/>
  <c r="S115" i="6"/>
  <c r="P115" i="6"/>
  <c r="Q115" i="6" s="1"/>
  <c r="O115" i="6"/>
  <c r="D115" i="6"/>
  <c r="T114" i="6"/>
  <c r="U114" i="6" s="1"/>
  <c r="S114" i="6"/>
  <c r="P114" i="6"/>
  <c r="O114" i="6"/>
  <c r="D114" i="6"/>
  <c r="T113" i="6"/>
  <c r="S113" i="6"/>
  <c r="P113" i="6"/>
  <c r="O113" i="6"/>
  <c r="D113" i="6"/>
  <c r="T112" i="6"/>
  <c r="S112" i="6"/>
  <c r="P112" i="6"/>
  <c r="Q112" i="6" s="1"/>
  <c r="O112" i="6"/>
  <c r="D112" i="6"/>
  <c r="T111" i="6"/>
  <c r="S111" i="6"/>
  <c r="U111" i="6" s="1"/>
  <c r="P111" i="6"/>
  <c r="O111" i="6"/>
  <c r="D111" i="6"/>
  <c r="T110" i="6"/>
  <c r="S110" i="6"/>
  <c r="P110" i="6"/>
  <c r="O110" i="6"/>
  <c r="D110" i="6"/>
  <c r="T109" i="6"/>
  <c r="S109" i="6"/>
  <c r="P109" i="6"/>
  <c r="O109" i="6"/>
  <c r="D109" i="6"/>
  <c r="T108" i="6"/>
  <c r="S108" i="6"/>
  <c r="U108" i="6" s="1"/>
  <c r="P108" i="6"/>
  <c r="O108" i="6"/>
  <c r="D108" i="6"/>
  <c r="T107" i="6"/>
  <c r="S107" i="6"/>
  <c r="P107" i="6"/>
  <c r="O107" i="6"/>
  <c r="D107" i="6"/>
  <c r="T106" i="6"/>
  <c r="S106" i="6"/>
  <c r="P106" i="6"/>
  <c r="O106" i="6"/>
  <c r="D106" i="6"/>
  <c r="T105" i="6"/>
  <c r="S105" i="6"/>
  <c r="P105" i="6"/>
  <c r="O105" i="6"/>
  <c r="D105" i="6"/>
  <c r="T104" i="6"/>
  <c r="S104" i="6"/>
  <c r="P104" i="6"/>
  <c r="Q104" i="6" s="1"/>
  <c r="O104" i="6"/>
  <c r="D104" i="6"/>
  <c r="T103" i="6"/>
  <c r="S103" i="6"/>
  <c r="P103" i="6"/>
  <c r="O103" i="6"/>
  <c r="D103" i="6"/>
  <c r="T102" i="6"/>
  <c r="S102" i="6"/>
  <c r="P102" i="6"/>
  <c r="O102" i="6"/>
  <c r="D102" i="6"/>
  <c r="T101" i="6"/>
  <c r="S101" i="6"/>
  <c r="P101" i="6"/>
  <c r="O101" i="6"/>
  <c r="D101" i="6"/>
  <c r="T100" i="6"/>
  <c r="S100" i="6"/>
  <c r="U100" i="6" s="1"/>
  <c r="V100" i="6" s="1"/>
  <c r="P100" i="6"/>
  <c r="O100" i="6"/>
  <c r="D100" i="6"/>
  <c r="T99" i="6"/>
  <c r="S99" i="6"/>
  <c r="U99" i="6" s="1"/>
  <c r="V99" i="6" s="1"/>
  <c r="P99" i="6"/>
  <c r="O99" i="6"/>
  <c r="D99" i="6"/>
  <c r="T98" i="6"/>
  <c r="S98" i="6"/>
  <c r="P98" i="6"/>
  <c r="O98" i="6"/>
  <c r="D98" i="6"/>
  <c r="T97" i="6"/>
  <c r="S97" i="6"/>
  <c r="P97" i="6"/>
  <c r="O97" i="6"/>
  <c r="D97" i="6"/>
  <c r="T96" i="6"/>
  <c r="U96" i="6" s="1"/>
  <c r="V96" i="6" s="1"/>
  <c r="S96" i="6"/>
  <c r="P96" i="6"/>
  <c r="O96" i="6"/>
  <c r="D96" i="6"/>
  <c r="T95" i="6"/>
  <c r="S95" i="6"/>
  <c r="U95" i="6" s="1"/>
  <c r="P95" i="6"/>
  <c r="O95" i="6"/>
  <c r="D95" i="6"/>
  <c r="T94" i="6"/>
  <c r="S94" i="6"/>
  <c r="P94" i="6"/>
  <c r="O94" i="6"/>
  <c r="D94" i="6"/>
  <c r="T93" i="6"/>
  <c r="S93" i="6"/>
  <c r="P93" i="6"/>
  <c r="O93" i="6"/>
  <c r="D93" i="6"/>
  <c r="T92" i="6"/>
  <c r="S92" i="6"/>
  <c r="U92" i="6" s="1"/>
  <c r="V92" i="6" s="1"/>
  <c r="P92" i="6"/>
  <c r="O92" i="6"/>
  <c r="D92" i="6"/>
  <c r="T91" i="6"/>
  <c r="S91" i="6"/>
  <c r="U91" i="6" s="1"/>
  <c r="P91" i="6"/>
  <c r="O91" i="6"/>
  <c r="D91" i="6"/>
  <c r="T90" i="6"/>
  <c r="S90" i="6"/>
  <c r="P90" i="6"/>
  <c r="O90" i="6"/>
  <c r="D90" i="6"/>
  <c r="T89" i="6"/>
  <c r="S89" i="6"/>
  <c r="P89" i="6"/>
  <c r="O89" i="6"/>
  <c r="D89" i="6"/>
  <c r="T88" i="6"/>
  <c r="S88" i="6"/>
  <c r="P88" i="6"/>
  <c r="O88" i="6"/>
  <c r="D88" i="6"/>
  <c r="T87" i="6"/>
  <c r="S87" i="6"/>
  <c r="U87" i="6" s="1"/>
  <c r="P87" i="6"/>
  <c r="O87" i="6"/>
  <c r="D87" i="6"/>
  <c r="T86" i="6"/>
  <c r="S86" i="6"/>
  <c r="P86" i="6"/>
  <c r="O86" i="6"/>
  <c r="D86" i="6"/>
  <c r="T85" i="6"/>
  <c r="S85" i="6"/>
  <c r="U85" i="6" s="1"/>
  <c r="W85" i="6" s="1"/>
  <c r="P85" i="6"/>
  <c r="O85" i="6"/>
  <c r="D85" i="6"/>
  <c r="T84" i="6"/>
  <c r="S84" i="6"/>
  <c r="P84" i="6"/>
  <c r="O84" i="6"/>
  <c r="D84" i="6"/>
  <c r="T83" i="6"/>
  <c r="S83" i="6"/>
  <c r="U83" i="6" s="1"/>
  <c r="P83" i="6"/>
  <c r="O83" i="6"/>
  <c r="D83" i="6"/>
  <c r="T82" i="6"/>
  <c r="S82" i="6"/>
  <c r="P82" i="6"/>
  <c r="O82" i="6"/>
  <c r="D82" i="6"/>
  <c r="T81" i="6"/>
  <c r="S81" i="6"/>
  <c r="P81" i="6"/>
  <c r="O81" i="6"/>
  <c r="D81" i="6"/>
  <c r="T80" i="6"/>
  <c r="S80" i="6"/>
  <c r="P80" i="6"/>
  <c r="O80" i="6"/>
  <c r="D80" i="6"/>
  <c r="T79" i="6"/>
  <c r="S79" i="6"/>
  <c r="U79" i="6" s="1"/>
  <c r="P79" i="6"/>
  <c r="O79" i="6"/>
  <c r="D79" i="6"/>
  <c r="T78" i="6"/>
  <c r="S78" i="6"/>
  <c r="P78" i="6"/>
  <c r="O78" i="6"/>
  <c r="D78" i="6"/>
  <c r="T77" i="6"/>
  <c r="S77" i="6"/>
  <c r="P77" i="6"/>
  <c r="O77" i="6"/>
  <c r="D77" i="6"/>
  <c r="T76" i="6"/>
  <c r="S76" i="6"/>
  <c r="U76" i="6" s="1"/>
  <c r="P76" i="6"/>
  <c r="O76" i="6"/>
  <c r="D76" i="6"/>
  <c r="T75" i="6"/>
  <c r="S75" i="6"/>
  <c r="P75" i="6"/>
  <c r="O75" i="6"/>
  <c r="D75" i="6"/>
  <c r="T74" i="6"/>
  <c r="S74" i="6"/>
  <c r="P74" i="6"/>
  <c r="O74" i="6"/>
  <c r="D74" i="6"/>
  <c r="T73" i="6"/>
  <c r="S73" i="6"/>
  <c r="P73" i="6"/>
  <c r="O73" i="6"/>
  <c r="D73" i="6"/>
  <c r="T72" i="6"/>
  <c r="S72" i="6"/>
  <c r="P72" i="6"/>
  <c r="O72" i="6"/>
  <c r="D72" i="6"/>
  <c r="T71" i="6"/>
  <c r="S71" i="6"/>
  <c r="U71" i="6" s="1"/>
  <c r="P71" i="6"/>
  <c r="O71" i="6"/>
  <c r="D71" i="6"/>
  <c r="T70" i="6"/>
  <c r="S70" i="6"/>
  <c r="P70" i="6"/>
  <c r="O70" i="6"/>
  <c r="D70" i="6"/>
  <c r="T69" i="6"/>
  <c r="S69" i="6"/>
  <c r="P69" i="6"/>
  <c r="O69" i="6"/>
  <c r="D69" i="6"/>
  <c r="T68" i="6"/>
  <c r="S68" i="6"/>
  <c r="U68" i="6" s="1"/>
  <c r="P68" i="6"/>
  <c r="O68" i="6"/>
  <c r="D68" i="6"/>
  <c r="T67" i="6"/>
  <c r="S67" i="6"/>
  <c r="P67" i="6"/>
  <c r="O67" i="6"/>
  <c r="D67" i="6"/>
  <c r="T66" i="6"/>
  <c r="S66" i="6"/>
  <c r="P66" i="6"/>
  <c r="O66" i="6"/>
  <c r="D66" i="6"/>
  <c r="T65" i="6"/>
  <c r="S65" i="6"/>
  <c r="P65" i="6"/>
  <c r="O65" i="6"/>
  <c r="D65" i="6"/>
  <c r="T64" i="6"/>
  <c r="S64" i="6"/>
  <c r="P64" i="6"/>
  <c r="Q64" i="6" s="1"/>
  <c r="O64" i="6"/>
  <c r="D64" i="6"/>
  <c r="T63" i="6"/>
  <c r="S63" i="6"/>
  <c r="U63" i="6" s="1"/>
  <c r="P63" i="6"/>
  <c r="O63" i="6"/>
  <c r="D63" i="6"/>
  <c r="T62" i="6"/>
  <c r="S62" i="6"/>
  <c r="P62" i="6"/>
  <c r="O62" i="6"/>
  <c r="D62" i="6"/>
  <c r="T61" i="6"/>
  <c r="S61" i="6"/>
  <c r="P61" i="6"/>
  <c r="O61" i="6"/>
  <c r="D61" i="6"/>
  <c r="T60" i="6"/>
  <c r="S60" i="6"/>
  <c r="U60" i="6" s="1"/>
  <c r="P60" i="6"/>
  <c r="O60" i="6"/>
  <c r="D60" i="6"/>
  <c r="T59" i="6"/>
  <c r="S59" i="6"/>
  <c r="U59" i="6" s="1"/>
  <c r="V59" i="6" s="1"/>
  <c r="P59" i="6"/>
  <c r="Q59" i="6" s="1"/>
  <c r="O59" i="6"/>
  <c r="D59" i="6"/>
  <c r="T58" i="6"/>
  <c r="S58" i="6"/>
  <c r="P58" i="6"/>
  <c r="O58" i="6"/>
  <c r="D58" i="6"/>
  <c r="T57" i="6"/>
  <c r="S57" i="6"/>
  <c r="P57" i="6"/>
  <c r="O57" i="6"/>
  <c r="D57" i="6"/>
  <c r="T56" i="6"/>
  <c r="S56" i="6"/>
  <c r="P56" i="6"/>
  <c r="O56" i="6"/>
  <c r="D56" i="6"/>
  <c r="T55" i="6"/>
  <c r="S55" i="6"/>
  <c r="U55" i="6" s="1"/>
  <c r="P55" i="6"/>
  <c r="O55" i="6"/>
  <c r="D55" i="6"/>
  <c r="T54" i="6"/>
  <c r="S54" i="6"/>
  <c r="P54" i="6"/>
  <c r="O54" i="6"/>
  <c r="D54" i="6"/>
  <c r="T53" i="6"/>
  <c r="S53" i="6"/>
  <c r="U53" i="6" s="1"/>
  <c r="V53" i="6" s="1"/>
  <c r="P53" i="6"/>
  <c r="O53" i="6"/>
  <c r="D53" i="6"/>
  <c r="T52" i="6"/>
  <c r="S52" i="6"/>
  <c r="U52" i="6" s="1"/>
  <c r="P52" i="6"/>
  <c r="O52" i="6"/>
  <c r="D52" i="6"/>
  <c r="T51" i="6"/>
  <c r="S51" i="6"/>
  <c r="U51" i="6" s="1"/>
  <c r="W51" i="6" s="1"/>
  <c r="P51" i="6"/>
  <c r="O51" i="6"/>
  <c r="D51" i="6"/>
  <c r="T50" i="6"/>
  <c r="S50" i="6"/>
  <c r="P50" i="6"/>
  <c r="O50" i="6"/>
  <c r="D50" i="6"/>
  <c r="T49" i="6"/>
  <c r="S49" i="6"/>
  <c r="P49" i="6"/>
  <c r="O49" i="6"/>
  <c r="D49" i="6"/>
  <c r="T48" i="6"/>
  <c r="S48" i="6"/>
  <c r="P48" i="6"/>
  <c r="O48" i="6"/>
  <c r="D48" i="6"/>
  <c r="T47" i="6"/>
  <c r="S47" i="6"/>
  <c r="U47" i="6" s="1"/>
  <c r="W47" i="6" s="1"/>
  <c r="P47" i="6"/>
  <c r="O47" i="6"/>
  <c r="D47" i="6"/>
  <c r="T46" i="6"/>
  <c r="S46" i="6"/>
  <c r="U46" i="6" s="1"/>
  <c r="P46" i="6"/>
  <c r="O46" i="6"/>
  <c r="D46" i="6"/>
  <c r="T45" i="6"/>
  <c r="S45" i="6"/>
  <c r="U45" i="6" s="1"/>
  <c r="P45" i="6"/>
  <c r="O45" i="6"/>
  <c r="D45" i="6"/>
  <c r="T44" i="6"/>
  <c r="S44" i="6"/>
  <c r="P44" i="6"/>
  <c r="O44" i="6"/>
  <c r="D44" i="6"/>
  <c r="T43" i="6"/>
  <c r="S43" i="6"/>
  <c r="P43" i="6"/>
  <c r="O43" i="6"/>
  <c r="D43" i="6"/>
  <c r="T42" i="6"/>
  <c r="S42" i="6"/>
  <c r="P42" i="6"/>
  <c r="O42" i="6"/>
  <c r="D42" i="6"/>
  <c r="T41" i="6"/>
  <c r="S41" i="6"/>
  <c r="P41" i="6"/>
  <c r="O41" i="6"/>
  <c r="D41" i="6"/>
  <c r="U40" i="6"/>
  <c r="V40" i="6" s="1"/>
  <c r="T40" i="6"/>
  <c r="S40" i="6"/>
  <c r="P40" i="6"/>
  <c r="O40" i="6"/>
  <c r="D40" i="6"/>
  <c r="T39" i="6"/>
  <c r="S39" i="6"/>
  <c r="P39" i="6"/>
  <c r="O39" i="6"/>
  <c r="D39" i="6"/>
  <c r="T38" i="6"/>
  <c r="S38" i="6"/>
  <c r="P38" i="6"/>
  <c r="O38" i="6"/>
  <c r="D38" i="6"/>
  <c r="T37" i="6"/>
  <c r="S37" i="6"/>
  <c r="P37" i="6"/>
  <c r="O37" i="6"/>
  <c r="D37" i="6"/>
  <c r="T36" i="6"/>
  <c r="S36" i="6"/>
  <c r="P36" i="6"/>
  <c r="O36" i="6"/>
  <c r="D36" i="6"/>
  <c r="T35" i="6"/>
  <c r="S35" i="6"/>
  <c r="U35" i="6" s="1"/>
  <c r="P35" i="6"/>
  <c r="O35" i="6"/>
  <c r="D35" i="6"/>
  <c r="T34" i="6"/>
  <c r="S34" i="6"/>
  <c r="U34" i="6" s="1"/>
  <c r="P34" i="6"/>
  <c r="O34" i="6"/>
  <c r="D34" i="6"/>
  <c r="T33" i="6"/>
  <c r="S33" i="6"/>
  <c r="P33" i="6"/>
  <c r="O33" i="6"/>
  <c r="D33" i="6"/>
  <c r="T32" i="6"/>
  <c r="S32" i="6"/>
  <c r="P32" i="6"/>
  <c r="O32" i="6"/>
  <c r="D32" i="6"/>
  <c r="T31" i="6"/>
  <c r="S31" i="6"/>
  <c r="P31" i="6"/>
  <c r="Q31" i="6" s="1"/>
  <c r="O31" i="6"/>
  <c r="D31" i="6"/>
  <c r="T30" i="6"/>
  <c r="S30" i="6"/>
  <c r="P30" i="6"/>
  <c r="O30" i="6"/>
  <c r="D30" i="6"/>
  <c r="T29" i="6"/>
  <c r="S29" i="6"/>
  <c r="P29" i="6"/>
  <c r="O29" i="6"/>
  <c r="D29" i="6"/>
  <c r="T28" i="6"/>
  <c r="S28" i="6"/>
  <c r="U28" i="6" s="1"/>
  <c r="V28" i="6" s="1"/>
  <c r="P28" i="6"/>
  <c r="O28" i="6"/>
  <c r="D28" i="6"/>
  <c r="T27" i="6"/>
  <c r="S27" i="6"/>
  <c r="P27" i="6"/>
  <c r="O27" i="6"/>
  <c r="D27" i="6"/>
  <c r="T26" i="6"/>
  <c r="S26" i="6"/>
  <c r="U26" i="6" s="1"/>
  <c r="P26" i="6"/>
  <c r="O26" i="6"/>
  <c r="D26" i="6"/>
  <c r="T25" i="6"/>
  <c r="S25" i="6"/>
  <c r="P25" i="6"/>
  <c r="O25" i="6"/>
  <c r="D25" i="6"/>
  <c r="T24" i="6"/>
  <c r="S24" i="6"/>
  <c r="P24" i="6"/>
  <c r="O24" i="6"/>
  <c r="D24" i="6"/>
  <c r="T23" i="6"/>
  <c r="S23" i="6"/>
  <c r="P23" i="6"/>
  <c r="O23" i="6"/>
  <c r="D23" i="6"/>
  <c r="T22" i="6"/>
  <c r="S22" i="6"/>
  <c r="P22" i="6"/>
  <c r="O22" i="6"/>
  <c r="D22" i="6"/>
  <c r="T21" i="6"/>
  <c r="S21" i="6"/>
  <c r="P21" i="6"/>
  <c r="O21" i="6"/>
  <c r="D21" i="6"/>
  <c r="T20" i="6"/>
  <c r="S20" i="6"/>
  <c r="P20" i="6"/>
  <c r="O20" i="6"/>
  <c r="D20" i="6"/>
  <c r="T19" i="6"/>
  <c r="S19" i="6"/>
  <c r="U19" i="6" s="1"/>
  <c r="V19" i="6" s="1"/>
  <c r="P19" i="6"/>
  <c r="O19" i="6"/>
  <c r="D19" i="6"/>
  <c r="T18" i="6"/>
  <c r="S18" i="6"/>
  <c r="U18" i="6" s="1"/>
  <c r="V18" i="6" s="1"/>
  <c r="P18" i="6"/>
  <c r="O18" i="6"/>
  <c r="D18" i="6"/>
  <c r="T17" i="6"/>
  <c r="S17" i="6"/>
  <c r="P17" i="6"/>
  <c r="O17" i="6"/>
  <c r="D17" i="6"/>
  <c r="T16" i="6"/>
  <c r="S16" i="6"/>
  <c r="P16" i="6"/>
  <c r="O16" i="6"/>
  <c r="D16" i="6"/>
  <c r="T15" i="6"/>
  <c r="S15" i="6"/>
  <c r="P15" i="6"/>
  <c r="O15" i="6"/>
  <c r="D15" i="6"/>
  <c r="T14" i="6"/>
  <c r="S14" i="6"/>
  <c r="P14" i="6"/>
  <c r="O14" i="6"/>
  <c r="D14" i="6"/>
  <c r="T13" i="6"/>
  <c r="S13" i="6"/>
  <c r="P13" i="6"/>
  <c r="O13" i="6"/>
  <c r="D13" i="6"/>
  <c r="T12" i="6"/>
  <c r="S12" i="6"/>
  <c r="P12" i="6"/>
  <c r="O12" i="6"/>
  <c r="D12" i="6"/>
  <c r="T11" i="6"/>
  <c r="S11" i="6"/>
  <c r="U11" i="6" s="1"/>
  <c r="W11" i="6" s="1"/>
  <c r="P11" i="6"/>
  <c r="O11" i="6"/>
  <c r="D11" i="6"/>
  <c r="T10" i="6"/>
  <c r="S10" i="6"/>
  <c r="P10" i="6"/>
  <c r="O10" i="6"/>
  <c r="D10" i="6"/>
  <c r="T9" i="6"/>
  <c r="S9" i="6"/>
  <c r="P9" i="6"/>
  <c r="O9" i="6"/>
  <c r="D9" i="6"/>
  <c r="T8" i="6"/>
  <c r="S8" i="6"/>
  <c r="U8" i="6" s="1"/>
  <c r="P8" i="6"/>
  <c r="O8" i="6"/>
  <c r="D8" i="6"/>
  <c r="AA7" i="6"/>
  <c r="T7" i="6"/>
  <c r="S7" i="6"/>
  <c r="P7" i="6"/>
  <c r="O7" i="6"/>
  <c r="D7" i="6"/>
  <c r="AA6" i="6"/>
  <c r="T6" i="6"/>
  <c r="S6" i="6"/>
  <c r="U6" i="6" s="1"/>
  <c r="P6" i="6"/>
  <c r="O6" i="6"/>
  <c r="D6" i="6"/>
  <c r="AA5" i="6"/>
  <c r="T5" i="6"/>
  <c r="S5" i="6"/>
  <c r="P5" i="6"/>
  <c r="O5" i="6"/>
  <c r="D5" i="6"/>
  <c r="T4" i="6"/>
  <c r="S4" i="6"/>
  <c r="P4" i="6"/>
  <c r="O4" i="6"/>
  <c r="D4" i="6"/>
  <c r="T3" i="6"/>
  <c r="S3" i="6"/>
  <c r="U3" i="6" s="1"/>
  <c r="V3" i="6" s="1"/>
  <c r="P3" i="6"/>
  <c r="O3" i="6"/>
  <c r="D3" i="6"/>
  <c r="T2" i="6"/>
  <c r="S2" i="6"/>
  <c r="P2" i="6"/>
  <c r="O2" i="6"/>
  <c r="D2" i="6"/>
  <c r="AA5" i="1"/>
  <c r="AA6" i="1"/>
  <c r="AA7" i="1"/>
  <c r="K2" i="4"/>
  <c r="S2" i="4"/>
  <c r="N2" i="4"/>
  <c r="U5" i="6" l="1"/>
  <c r="U10" i="6"/>
  <c r="U21" i="6"/>
  <c r="U29" i="6"/>
  <c r="V29" i="6" s="1"/>
  <c r="U48" i="6"/>
  <c r="U54" i="6"/>
  <c r="U62" i="6"/>
  <c r="V62" i="6" s="1"/>
  <c r="U70" i="6"/>
  <c r="W70" i="6" s="1"/>
  <c r="U78" i="6"/>
  <c r="V78" i="6" s="1"/>
  <c r="U94" i="6"/>
  <c r="U102" i="6"/>
  <c r="V102" i="6" s="1"/>
  <c r="U110" i="6"/>
  <c r="U118" i="6"/>
  <c r="U137" i="6"/>
  <c r="V137" i="6" s="1"/>
  <c r="U156" i="6"/>
  <c r="W156" i="6" s="1"/>
  <c r="U181" i="6"/>
  <c r="W181" i="6" s="1"/>
  <c r="U211" i="6"/>
  <c r="U214" i="6"/>
  <c r="V214" i="6" s="1"/>
  <c r="U256" i="6"/>
  <c r="U272" i="6"/>
  <c r="U283" i="6"/>
  <c r="W283" i="6" s="1"/>
  <c r="Q296" i="6"/>
  <c r="U12" i="6"/>
  <c r="W12" i="6" s="1"/>
  <c r="U15" i="6"/>
  <c r="V15" i="6" s="1"/>
  <c r="U23" i="6"/>
  <c r="U31" i="6"/>
  <c r="W31" i="6" s="1"/>
  <c r="U39" i="6"/>
  <c r="U42" i="6"/>
  <c r="U56" i="6"/>
  <c r="W56" i="6" s="1"/>
  <c r="U64" i="6"/>
  <c r="U72" i="6"/>
  <c r="U80" i="6"/>
  <c r="V80" i="6" s="1"/>
  <c r="Q85" i="6"/>
  <c r="U107" i="6"/>
  <c r="W107" i="6" s="1"/>
  <c r="U112" i="6"/>
  <c r="V112" i="6" s="1"/>
  <c r="Q136" i="6"/>
  <c r="U145" i="6"/>
  <c r="U150" i="6"/>
  <c r="W150" i="6" s="1"/>
  <c r="U161" i="6"/>
  <c r="U164" i="6"/>
  <c r="W164" i="6" s="1"/>
  <c r="U167" i="6"/>
  <c r="U175" i="6"/>
  <c r="W175" i="6" s="1"/>
  <c r="U183" i="6"/>
  <c r="V183" i="6" s="1"/>
  <c r="U191" i="6"/>
  <c r="W191" i="6" s="1"/>
  <c r="Q196" i="6"/>
  <c r="U199" i="6"/>
  <c r="U202" i="6"/>
  <c r="U216" i="6"/>
  <c r="V216" i="6" s="1"/>
  <c r="U239" i="6"/>
  <c r="V239" i="6" s="1"/>
  <c r="U261" i="6"/>
  <c r="U266" i="6"/>
  <c r="U274" i="6"/>
  <c r="U9" i="6"/>
  <c r="W9" i="6" s="1"/>
  <c r="U14" i="6"/>
  <c r="U17" i="6"/>
  <c r="W17" i="6" s="1"/>
  <c r="U44" i="6"/>
  <c r="V44" i="6" s="1"/>
  <c r="U50" i="6"/>
  <c r="U58" i="6"/>
  <c r="U66" i="6"/>
  <c r="W66" i="6" s="1"/>
  <c r="U69" i="6"/>
  <c r="U74" i="6"/>
  <c r="V74" i="6" s="1"/>
  <c r="U106" i="6"/>
  <c r="U122" i="6"/>
  <c r="W122" i="6" s="1"/>
  <c r="U130" i="6"/>
  <c r="U133" i="6"/>
  <c r="U152" i="6"/>
  <c r="W152" i="6" s="1"/>
  <c r="U163" i="6"/>
  <c r="U169" i="6"/>
  <c r="U185" i="6"/>
  <c r="Q190" i="6"/>
  <c r="U207" i="6"/>
  <c r="U218" i="6"/>
  <c r="V218" i="6" s="1"/>
  <c r="U230" i="6"/>
  <c r="U241" i="6"/>
  <c r="U249" i="6"/>
  <c r="U252" i="6"/>
  <c r="U260" i="6"/>
  <c r="W260" i="6" s="1"/>
  <c r="U268" i="6"/>
  <c r="W268" i="6" s="1"/>
  <c r="U279" i="6"/>
  <c r="U287" i="6"/>
  <c r="W287" i="6" s="1"/>
  <c r="U22" i="6"/>
  <c r="U41" i="6"/>
  <c r="Q57" i="6"/>
  <c r="Q129" i="6"/>
  <c r="Q140" i="6"/>
  <c r="Q184" i="6"/>
  <c r="U223" i="6"/>
  <c r="U226" i="6"/>
  <c r="W226" i="6" s="1"/>
  <c r="Q240" i="6"/>
  <c r="U243" i="6"/>
  <c r="Q248" i="6"/>
  <c r="U254" i="6"/>
  <c r="Q259" i="6"/>
  <c r="U262" i="6"/>
  <c r="V262" i="6" s="1"/>
  <c r="U270" i="6"/>
  <c r="V270" i="6" s="1"/>
  <c r="U289" i="6"/>
  <c r="W289" i="6" s="1"/>
  <c r="U297" i="6"/>
  <c r="V297" i="6" s="1"/>
  <c r="U4" i="6"/>
  <c r="Q10" i="6"/>
  <c r="U13" i="6"/>
  <c r="U16" i="6"/>
  <c r="U24" i="6"/>
  <c r="U32" i="6"/>
  <c r="U49" i="6"/>
  <c r="V49" i="6" s="1"/>
  <c r="U57" i="6"/>
  <c r="Q70" i="6"/>
  <c r="U73" i="6"/>
  <c r="V73" i="6" s="1"/>
  <c r="U81" i="6"/>
  <c r="U97" i="6"/>
  <c r="U105" i="6"/>
  <c r="U113" i="6"/>
  <c r="U129" i="6"/>
  <c r="W129" i="6" s="1"/>
  <c r="U132" i="6"/>
  <c r="W132" i="6" s="1"/>
  <c r="Q137" i="6"/>
  <c r="U140" i="6"/>
  <c r="U143" i="6"/>
  <c r="U159" i="6"/>
  <c r="U162" i="6"/>
  <c r="V162" i="6" s="1"/>
  <c r="U165" i="6"/>
  <c r="U179" i="6"/>
  <c r="V179" i="6" s="1"/>
  <c r="U184" i="6"/>
  <c r="W184" i="6" s="1"/>
  <c r="U192" i="6"/>
  <c r="U200" i="6"/>
  <c r="U206" i="6"/>
  <c r="U209" i="6"/>
  <c r="U217" i="6"/>
  <c r="U240" i="6"/>
  <c r="U294" i="6"/>
  <c r="V294" i="6" s="1"/>
  <c r="Q76" i="6"/>
  <c r="Q154" i="6"/>
  <c r="Q187" i="6"/>
  <c r="Q209" i="6"/>
  <c r="Q297" i="6"/>
  <c r="Q5" i="6"/>
  <c r="Q74" i="6"/>
  <c r="Q234" i="6"/>
  <c r="Q92" i="6"/>
  <c r="Q120" i="6"/>
  <c r="Q175" i="6"/>
  <c r="Q68" i="6"/>
  <c r="Q146" i="6"/>
  <c r="Q179" i="6"/>
  <c r="Q223" i="6"/>
  <c r="Q163" i="6"/>
  <c r="Q245" i="6"/>
  <c r="Q127" i="6"/>
  <c r="Q194" i="6"/>
  <c r="Q276" i="6"/>
  <c r="Q93" i="6"/>
  <c r="Q132" i="6"/>
  <c r="Q165" i="6"/>
  <c r="Q286" i="6"/>
  <c r="Q71" i="6"/>
  <c r="Q266" i="6"/>
  <c r="Q50" i="6"/>
  <c r="Q106" i="6"/>
  <c r="Q156" i="6"/>
  <c r="Q249" i="6"/>
  <c r="Q228" i="6"/>
  <c r="Q13" i="6"/>
  <c r="Q24" i="6"/>
  <c r="Q4" i="6"/>
  <c r="Q81" i="6"/>
  <c r="Q109" i="6"/>
  <c r="Q159" i="6"/>
  <c r="Q192" i="6"/>
  <c r="Q203" i="6"/>
  <c r="Q88" i="6"/>
  <c r="Q105" i="6"/>
  <c r="Q206" i="6"/>
  <c r="Q233" i="6"/>
  <c r="Q181" i="6"/>
  <c r="Q291" i="6"/>
  <c r="Q139" i="6"/>
  <c r="Q183" i="6"/>
  <c r="Q232" i="6"/>
  <c r="Q89" i="6"/>
  <c r="Q172" i="6"/>
  <c r="Q47" i="6"/>
  <c r="Q69" i="6"/>
  <c r="Q97" i="6"/>
  <c r="Q221" i="6"/>
  <c r="Q264" i="6"/>
  <c r="Q67" i="6"/>
  <c r="Q95" i="6"/>
  <c r="Q244" i="6"/>
  <c r="Q300" i="6"/>
  <c r="Q118" i="6"/>
  <c r="Q8" i="6"/>
  <c r="Q19" i="6"/>
  <c r="Q202" i="6"/>
  <c r="Q301" i="6"/>
  <c r="Q40" i="6"/>
  <c r="Q58" i="6"/>
  <c r="Q197" i="6"/>
  <c r="Q44" i="6"/>
  <c r="Q144" i="6"/>
  <c r="Q287" i="6"/>
  <c r="Q41" i="6"/>
  <c r="Q273" i="6"/>
  <c r="Q75" i="6"/>
  <c r="Q186" i="6"/>
  <c r="Q208" i="6"/>
  <c r="W81" i="6"/>
  <c r="V81" i="6"/>
  <c r="W26" i="6"/>
  <c r="V26" i="6"/>
  <c r="V5" i="6"/>
  <c r="W5" i="6"/>
  <c r="V292" i="6"/>
  <c r="W292" i="6"/>
  <c r="W6" i="6"/>
  <c r="V6" i="6"/>
  <c r="V60" i="6"/>
  <c r="W60" i="6"/>
  <c r="Q15" i="6"/>
  <c r="U20" i="6"/>
  <c r="W20" i="6" s="1"/>
  <c r="Q26" i="6"/>
  <c r="Q62" i="6"/>
  <c r="U67" i="6"/>
  <c r="Q78" i="6"/>
  <c r="Q83" i="6"/>
  <c r="U88" i="6"/>
  <c r="Q99" i="6"/>
  <c r="U174" i="6"/>
  <c r="V174" i="6" s="1"/>
  <c r="Q180" i="6"/>
  <c r="Q238" i="6"/>
  <c r="U286" i="6"/>
  <c r="W286" i="6" s="1"/>
  <c r="W270" i="6"/>
  <c r="Q292" i="6"/>
  <c r="Q100" i="6"/>
  <c r="Q255" i="6"/>
  <c r="U37" i="6"/>
  <c r="Q53" i="6"/>
  <c r="Q63" i="6"/>
  <c r="U197" i="6"/>
  <c r="U244" i="6"/>
  <c r="Q48" i="6"/>
  <c r="U84" i="6"/>
  <c r="Q133" i="6"/>
  <c r="U149" i="6"/>
  <c r="Q224" i="6"/>
  <c r="Q229" i="6"/>
  <c r="Q250" i="6"/>
  <c r="Q2" i="6"/>
  <c r="V122" i="6"/>
  <c r="Q160" i="6"/>
  <c r="Q176" i="6"/>
  <c r="U234" i="6"/>
  <c r="W234" i="6" s="1"/>
  <c r="W239" i="6"/>
  <c r="Q288" i="6"/>
  <c r="Q293" i="6"/>
  <c r="U2" i="6"/>
  <c r="W2" i="6" s="1"/>
  <c r="U27" i="6"/>
  <c r="Q38" i="6"/>
  <c r="U43" i="6"/>
  <c r="W43" i="6" s="1"/>
  <c r="U90" i="6"/>
  <c r="W90" i="6" s="1"/>
  <c r="U117" i="6"/>
  <c r="W117" i="6" s="1"/>
  <c r="Q128" i="6"/>
  <c r="U144" i="6"/>
  <c r="U176" i="6"/>
  <c r="Q198" i="6"/>
  <c r="Q219" i="6"/>
  <c r="U277" i="6"/>
  <c r="V277" i="6" s="1"/>
  <c r="U288" i="6"/>
  <c r="U293" i="6"/>
  <c r="U298" i="6"/>
  <c r="V298" i="6" s="1"/>
  <c r="U126" i="6"/>
  <c r="Q138" i="6"/>
  <c r="Q32" i="6"/>
  <c r="Q79" i="6"/>
  <c r="Q12" i="6"/>
  <c r="Q17" i="6"/>
  <c r="U38" i="6"/>
  <c r="W38" i="6" s="1"/>
  <c r="Q54" i="6"/>
  <c r="U128" i="6"/>
  <c r="V128" i="6" s="1"/>
  <c r="U139" i="6"/>
  <c r="U187" i="6"/>
  <c r="U198" i="6"/>
  <c r="V198" i="6" s="1"/>
  <c r="U219" i="6"/>
  <c r="V219" i="6" s="1"/>
  <c r="U245" i="6"/>
  <c r="W245" i="6" s="1"/>
  <c r="U121" i="6"/>
  <c r="W121" i="6" s="1"/>
  <c r="U101" i="6"/>
  <c r="W101" i="6" s="1"/>
  <c r="Q145" i="6"/>
  <c r="Q193" i="6"/>
  <c r="U7" i="6"/>
  <c r="Q23" i="6"/>
  <c r="Q28" i="6"/>
  <c r="U75" i="6"/>
  <c r="V85" i="6"/>
  <c r="U134" i="6"/>
  <c r="W134" i="6" s="1"/>
  <c r="Q161" i="6"/>
  <c r="U193" i="6"/>
  <c r="V193" i="6" s="1"/>
  <c r="Q220" i="6"/>
  <c r="Q246" i="6"/>
  <c r="Q262" i="6"/>
  <c r="Q278" i="6"/>
  <c r="Q294" i="6"/>
  <c r="Q299" i="6"/>
  <c r="Q143" i="6"/>
  <c r="Q191" i="6"/>
  <c r="Q42" i="6"/>
  <c r="Q218" i="6"/>
  <c r="Q84" i="6"/>
  <c r="U33" i="6"/>
  <c r="W33" i="6" s="1"/>
  <c r="Q113" i="6"/>
  <c r="V225" i="6"/>
  <c r="Q210" i="6"/>
  <c r="Q108" i="6"/>
  <c r="Q231" i="6"/>
  <c r="Q252" i="6"/>
  <c r="Q45" i="6"/>
  <c r="Q162" i="6"/>
  <c r="Q200" i="6"/>
  <c r="Q226" i="6"/>
  <c r="Q290" i="6"/>
  <c r="Q103" i="6"/>
  <c r="U119" i="6"/>
  <c r="Q157" i="6"/>
  <c r="U205" i="6"/>
  <c r="U263" i="6"/>
  <c r="Q56" i="6"/>
  <c r="Q87" i="6"/>
  <c r="W92" i="6"/>
  <c r="U103" i="6"/>
  <c r="W103" i="6" s="1"/>
  <c r="U157" i="6"/>
  <c r="V157" i="6" s="1"/>
  <c r="U189" i="6"/>
  <c r="W189" i="6" s="1"/>
  <c r="Q211" i="6"/>
  <c r="Q237" i="6"/>
  <c r="U258" i="6"/>
  <c r="W258" i="6" s="1"/>
  <c r="Q269" i="6"/>
  <c r="Q285" i="6"/>
  <c r="U295" i="6"/>
  <c r="Q164" i="6"/>
  <c r="U177" i="6"/>
  <c r="Q86" i="6"/>
  <c r="Q215" i="6"/>
  <c r="Q284" i="6"/>
  <c r="W246" i="6"/>
  <c r="Q260" i="6"/>
  <c r="U228" i="6"/>
  <c r="W228" i="6" s="1"/>
  <c r="Q73" i="6"/>
  <c r="Q11" i="6"/>
  <c r="Q257" i="6"/>
  <c r="Q30" i="6"/>
  <c r="W40" i="6"/>
  <c r="Q82" i="6"/>
  <c r="Q147" i="6"/>
  <c r="Q168" i="6"/>
  <c r="Q253" i="6"/>
  <c r="Q280" i="6"/>
  <c r="U25" i="6"/>
  <c r="W25" i="6" s="1"/>
  <c r="U30" i="6"/>
  <c r="W30" i="6" s="1"/>
  <c r="Q51" i="6"/>
  <c r="U61" i="6"/>
  <c r="U77" i="6"/>
  <c r="U82" i="6"/>
  <c r="U98" i="6"/>
  <c r="V98" i="6" s="1"/>
  <c r="U109" i="6"/>
  <c r="V109" i="6" s="1"/>
  <c r="U120" i="6"/>
  <c r="U147" i="6"/>
  <c r="W147" i="6" s="1"/>
  <c r="Q227" i="6"/>
  <c r="W242" i="6"/>
  <c r="U253" i="6"/>
  <c r="W253" i="6" s="1"/>
  <c r="U269" i="6"/>
  <c r="V269" i="6" s="1"/>
  <c r="U280" i="6"/>
  <c r="W280" i="6" s="1"/>
  <c r="U148" i="6"/>
  <c r="W148" i="6" s="1"/>
  <c r="U281" i="6"/>
  <c r="V281" i="6" s="1"/>
  <c r="Q134" i="6"/>
  <c r="Q60" i="6"/>
  <c r="U65" i="6"/>
  <c r="V65" i="6" s="1"/>
  <c r="Q178" i="6"/>
  <c r="Q52" i="6"/>
  <c r="Q94" i="6"/>
  <c r="Q207" i="6"/>
  <c r="Q265" i="6"/>
  <c r="Q116" i="6"/>
  <c r="Q21" i="6"/>
  <c r="U233" i="6"/>
  <c r="W233" i="6" s="1"/>
  <c r="W73" i="6"/>
  <c r="U89" i="6"/>
  <c r="W89" i="6" s="1"/>
  <c r="Q7" i="6"/>
  <c r="Q188" i="6"/>
  <c r="Q55" i="6"/>
  <c r="Q29" i="6"/>
  <c r="U86" i="6"/>
  <c r="W86" i="6" s="1"/>
  <c r="Q167" i="6"/>
  <c r="Q20" i="6"/>
  <c r="U93" i="6"/>
  <c r="W93" i="6" s="1"/>
  <c r="U104" i="6"/>
  <c r="W104" i="6" s="1"/>
  <c r="U115" i="6"/>
  <c r="W115" i="6" s="1"/>
  <c r="U131" i="6"/>
  <c r="V131" i="6" s="1"/>
  <c r="U142" i="6"/>
  <c r="W142" i="6" s="1"/>
  <c r="U158" i="6"/>
  <c r="U190" i="6"/>
  <c r="V190" i="6" s="1"/>
  <c r="U222" i="6"/>
  <c r="W222" i="6" s="1"/>
  <c r="U248" i="6"/>
  <c r="U259" i="6"/>
  <c r="U291" i="6"/>
  <c r="U296" i="6"/>
  <c r="Q111" i="6"/>
  <c r="Q122" i="6"/>
  <c r="Q149" i="6"/>
  <c r="Q170" i="6"/>
  <c r="Q22" i="6"/>
  <c r="Q27" i="6"/>
  <c r="Q43" i="6"/>
  <c r="Q90" i="6"/>
  <c r="Q117" i="6"/>
  <c r="Q277" i="6"/>
  <c r="Q298" i="6"/>
  <c r="Q33" i="6"/>
  <c r="Q80" i="6"/>
  <c r="Q155" i="6"/>
  <c r="Q166" i="6"/>
  <c r="Q177" i="6"/>
  <c r="Q204" i="6"/>
  <c r="Q225" i="6"/>
  <c r="Q230" i="6"/>
  <c r="Q251" i="6"/>
  <c r="Q289" i="6"/>
  <c r="Q124" i="6"/>
  <c r="Q151" i="6"/>
  <c r="Q236" i="6"/>
  <c r="Q241" i="6"/>
  <c r="Q268" i="6"/>
  <c r="Q114" i="6"/>
  <c r="Q131" i="6"/>
  <c r="Q142" i="6"/>
  <c r="Q158" i="6"/>
  <c r="Q275" i="6"/>
  <c r="Q36" i="6"/>
  <c r="Q126" i="6"/>
  <c r="Q153" i="6"/>
  <c r="Q213" i="6"/>
  <c r="Q239" i="6"/>
  <c r="Q271" i="6"/>
  <c r="Q39" i="6"/>
  <c r="Q96" i="6"/>
  <c r="Q256" i="6"/>
  <c r="Q34" i="6"/>
  <c r="Q49" i="6"/>
  <c r="Q91" i="6"/>
  <c r="Q107" i="6"/>
  <c r="Q182" i="6"/>
  <c r="Q214" i="6"/>
  <c r="Q235" i="6"/>
  <c r="Q267" i="6"/>
  <c r="Q14" i="6"/>
  <c r="Q66" i="6"/>
  <c r="Q130" i="6"/>
  <c r="Q141" i="6"/>
  <c r="Q205" i="6"/>
  <c r="Q263" i="6"/>
  <c r="Q279" i="6"/>
  <c r="Q61" i="6"/>
  <c r="Q77" i="6"/>
  <c r="Q152" i="6"/>
  <c r="Q173" i="6"/>
  <c r="Q189" i="6"/>
  <c r="Q247" i="6"/>
  <c r="Q258" i="6"/>
  <c r="Q274" i="6"/>
  <c r="Q295" i="6"/>
  <c r="Q46" i="6"/>
  <c r="Q72" i="6"/>
  <c r="Q98" i="6"/>
  <c r="Q125" i="6"/>
  <c r="Q216" i="6"/>
  <c r="Q242" i="6"/>
  <c r="Q6" i="6"/>
  <c r="Q110" i="6"/>
  <c r="Q121" i="6"/>
  <c r="Q148" i="6"/>
  <c r="Q185" i="6"/>
  <c r="Q217" i="6"/>
  <c r="Q270" i="6"/>
  <c r="Q16" i="6"/>
  <c r="Q37" i="6"/>
  <c r="Q119" i="6"/>
  <c r="Q135" i="6"/>
  <c r="Q9" i="6"/>
  <c r="Q25" i="6"/>
  <c r="Q35" i="6"/>
  <c r="Q65" i="6"/>
  <c r="Q101" i="6"/>
  <c r="Q174" i="6"/>
  <c r="Q261" i="6"/>
  <c r="W138" i="6"/>
  <c r="V138" i="6"/>
  <c r="W45" i="6"/>
  <c r="V45" i="6"/>
  <c r="V30" i="6"/>
  <c r="W206" i="6"/>
  <c r="V206" i="6"/>
  <c r="W149" i="6"/>
  <c r="V149" i="6"/>
  <c r="W252" i="6"/>
  <c r="V252" i="6"/>
  <c r="V97" i="6"/>
  <c r="W97" i="6"/>
  <c r="W247" i="6"/>
  <c r="V247" i="6"/>
  <c r="W278" i="6"/>
  <c r="V278" i="6"/>
  <c r="W202" i="6"/>
  <c r="V202" i="6"/>
  <c r="W176" i="6"/>
  <c r="V176" i="6"/>
  <c r="V63" i="6"/>
  <c r="W63" i="6"/>
  <c r="W79" i="6"/>
  <c r="V79" i="6"/>
  <c r="W157" i="6"/>
  <c r="W162" i="6"/>
  <c r="W188" i="6"/>
  <c r="V188" i="6"/>
  <c r="V244" i="6"/>
  <c r="W244" i="6"/>
  <c r="W67" i="6"/>
  <c r="V67" i="6"/>
  <c r="W42" i="6"/>
  <c r="V42" i="6"/>
  <c r="W135" i="6"/>
  <c r="V135" i="6"/>
  <c r="W259" i="6"/>
  <c r="V259" i="6"/>
  <c r="V23" i="6"/>
  <c r="W23" i="6"/>
  <c r="V126" i="6"/>
  <c r="W126" i="6"/>
  <c r="V64" i="6"/>
  <c r="W64" i="6"/>
  <c r="V169" i="6"/>
  <c r="W169" i="6"/>
  <c r="W37" i="6"/>
  <c r="V37" i="6"/>
  <c r="W22" i="6"/>
  <c r="V22" i="6"/>
  <c r="W243" i="6"/>
  <c r="V243" i="6"/>
  <c r="V274" i="6"/>
  <c r="W274" i="6"/>
  <c r="W199" i="6"/>
  <c r="V199" i="6"/>
  <c r="W8" i="6"/>
  <c r="V8" i="6"/>
  <c r="V168" i="6"/>
  <c r="W168" i="6"/>
  <c r="W210" i="6"/>
  <c r="V210" i="6"/>
  <c r="W240" i="6"/>
  <c r="V240" i="6"/>
  <c r="W255" i="6"/>
  <c r="V255" i="6"/>
  <c r="W291" i="6"/>
  <c r="V291" i="6"/>
  <c r="W123" i="6"/>
  <c r="V123" i="6"/>
  <c r="W57" i="6"/>
  <c r="V57" i="6"/>
  <c r="W120" i="6"/>
  <c r="V120" i="6"/>
  <c r="W7" i="6"/>
  <c r="V7" i="6"/>
  <c r="W209" i="6"/>
  <c r="V209" i="6"/>
  <c r="W4" i="6"/>
  <c r="V4" i="6"/>
  <c r="W271" i="6"/>
  <c r="V271" i="6"/>
  <c r="V222" i="6"/>
  <c r="V108" i="6"/>
  <c r="W108" i="6"/>
  <c r="V257" i="6"/>
  <c r="W257" i="6"/>
  <c r="V2" i="6"/>
  <c r="W153" i="6"/>
  <c r="W293" i="6"/>
  <c r="V293" i="6"/>
  <c r="W74" i="6"/>
  <c r="W100" i="6"/>
  <c r="W54" i="6"/>
  <c r="V54" i="6"/>
  <c r="W96" i="6"/>
  <c r="W114" i="6"/>
  <c r="V114" i="6"/>
  <c r="V175" i="6"/>
  <c r="W275" i="6"/>
  <c r="W19" i="6"/>
  <c r="W41" i="6"/>
  <c r="V41" i="6"/>
  <c r="W127" i="6"/>
  <c r="W171" i="6"/>
  <c r="V171" i="6"/>
  <c r="V184" i="6"/>
  <c r="W193" i="6"/>
  <c r="W241" i="6"/>
  <c r="V241" i="6"/>
  <c r="V267" i="6"/>
  <c r="W298" i="6"/>
  <c r="V66" i="6"/>
  <c r="W88" i="6"/>
  <c r="V88" i="6"/>
  <c r="W119" i="6"/>
  <c r="V119" i="6"/>
  <c r="W285" i="6"/>
  <c r="V285" i="6"/>
  <c r="W261" i="6"/>
  <c r="V261" i="6"/>
  <c r="V31" i="6"/>
  <c r="V32" i="6"/>
  <c r="W32" i="6"/>
  <c r="W238" i="6"/>
  <c r="V238" i="6"/>
  <c r="W91" i="6"/>
  <c r="V91" i="6"/>
  <c r="V154" i="6"/>
  <c r="W161" i="6"/>
  <c r="V161" i="6"/>
  <c r="W18" i="6"/>
  <c r="W183" i="6"/>
  <c r="W10" i="6"/>
  <c r="V10" i="6"/>
  <c r="W263" i="6"/>
  <c r="V263" i="6"/>
  <c r="W290" i="6"/>
  <c r="V290" i="6"/>
  <c r="W128" i="6"/>
  <c r="W106" i="6"/>
  <c r="V106" i="6"/>
  <c r="W29" i="6"/>
  <c r="W111" i="6"/>
  <c r="V111" i="6"/>
  <c r="W59" i="6"/>
  <c r="W146" i="6"/>
  <c r="V172" i="6"/>
  <c r="V203" i="6"/>
  <c r="V38" i="6"/>
  <c r="W216" i="6"/>
  <c r="V264" i="6"/>
  <c r="W212" i="6"/>
  <c r="V212" i="6"/>
  <c r="V229" i="6"/>
  <c r="W229" i="6"/>
  <c r="W231" i="6"/>
  <c r="V231" i="6"/>
  <c r="W27" i="6"/>
  <c r="V27" i="6"/>
  <c r="W262" i="6"/>
  <c r="V11" i="6"/>
  <c r="V56" i="6"/>
  <c r="W160" i="6"/>
  <c r="W35" i="6"/>
  <c r="V35" i="6"/>
  <c r="W78" i="6"/>
  <c r="V113" i="6"/>
  <c r="W113" i="6"/>
  <c r="V69" i="6"/>
  <c r="W69" i="6"/>
  <c r="W279" i="6"/>
  <c r="V279" i="6"/>
  <c r="W53" i="6"/>
  <c r="V87" i="6"/>
  <c r="W87" i="6"/>
  <c r="W140" i="6"/>
  <c r="V140" i="6"/>
  <c r="V145" i="6"/>
  <c r="W145" i="6"/>
  <c r="V20" i="6"/>
  <c r="V46" i="6"/>
  <c r="W46" i="6"/>
  <c r="V84" i="6"/>
  <c r="W84" i="6"/>
  <c r="W159" i="6"/>
  <c r="V159" i="6"/>
  <c r="V150" i="6"/>
  <c r="W76" i="6"/>
  <c r="V76" i="6"/>
  <c r="W141" i="6"/>
  <c r="W16" i="6"/>
  <c r="V16" i="6"/>
  <c r="W34" i="6"/>
  <c r="V34" i="6"/>
  <c r="W204" i="6"/>
  <c r="V204" i="6"/>
  <c r="V221" i="6"/>
  <c r="V107" i="6"/>
  <c r="V116" i="6"/>
  <c r="W39" i="6"/>
  <c r="V39" i="6"/>
  <c r="U173" i="6"/>
  <c r="W230" i="6"/>
  <c r="V230" i="6"/>
  <c r="V260" i="6"/>
  <c r="W296" i="6"/>
  <c r="V296" i="6"/>
  <c r="V143" i="6"/>
  <c r="W143" i="6"/>
  <c r="V196" i="6"/>
  <c r="W196" i="6"/>
  <c r="V283" i="6"/>
  <c r="W213" i="6"/>
  <c r="W166" i="6"/>
  <c r="V166" i="6"/>
  <c r="W118" i="6"/>
  <c r="V118" i="6"/>
  <c r="W49" i="6"/>
  <c r="W236" i="6"/>
  <c r="V50" i="6"/>
  <c r="W50" i="6"/>
  <c r="V207" i="6"/>
  <c r="W207" i="6"/>
  <c r="V224" i="6"/>
  <c r="W137" i="6"/>
  <c r="V72" i="6"/>
  <c r="W72" i="6"/>
  <c r="V94" i="6"/>
  <c r="W94" i="6"/>
  <c r="W177" i="6"/>
  <c r="V177" i="6"/>
  <c r="V52" i="6"/>
  <c r="W52" i="6"/>
  <c r="W217" i="6"/>
  <c r="V217" i="6"/>
  <c r="W112" i="6"/>
  <c r="V134" i="6"/>
  <c r="W178" i="6"/>
  <c r="V178" i="6"/>
  <c r="V191" i="6"/>
  <c r="W265" i="6"/>
  <c r="V265" i="6"/>
  <c r="W288" i="6"/>
  <c r="V288" i="6"/>
  <c r="W192" i="6"/>
  <c r="V192" i="6"/>
  <c r="W144" i="6"/>
  <c r="V144" i="6"/>
  <c r="W197" i="6"/>
  <c r="V197" i="6"/>
  <c r="W214" i="6"/>
  <c r="V110" i="6"/>
  <c r="W110" i="6"/>
  <c r="W272" i="6"/>
  <c r="V272" i="6"/>
  <c r="W185" i="6"/>
  <c r="V185" i="6"/>
  <c r="W71" i="6"/>
  <c r="V71" i="6"/>
  <c r="V194" i="6"/>
  <c r="W195" i="6"/>
  <c r="V195" i="6"/>
  <c r="V12" i="6"/>
  <c r="V200" i="6"/>
  <c r="W200" i="6"/>
  <c r="W13" i="6"/>
  <c r="V13" i="6"/>
  <c r="W256" i="6"/>
  <c r="V256" i="6"/>
  <c r="W249" i="6"/>
  <c r="V249" i="6"/>
  <c r="W68" i="6"/>
  <c r="V68" i="6"/>
  <c r="V9" i="6"/>
  <c r="W28" i="6"/>
  <c r="V155" i="6"/>
  <c r="V132" i="6"/>
  <c r="W174" i="6"/>
  <c r="V215" i="6"/>
  <c r="W223" i="6"/>
  <c r="V223" i="6"/>
  <c r="Q3" i="6"/>
  <c r="U36" i="6"/>
  <c r="W58" i="6"/>
  <c r="V58" i="6"/>
  <c r="Q201" i="6"/>
  <c r="U300" i="6"/>
  <c r="W83" i="6"/>
  <c r="V83" i="6"/>
  <c r="W284" i="6"/>
  <c r="W125" i="6"/>
  <c r="V125" i="6"/>
  <c r="V268" i="6"/>
  <c r="V299" i="6"/>
  <c r="W124" i="6"/>
  <c r="U151" i="6"/>
  <c r="W276" i="6"/>
  <c r="V276" i="6"/>
  <c r="W254" i="6"/>
  <c r="V254" i="6"/>
  <c r="W250" i="6"/>
  <c r="V258" i="6"/>
  <c r="W3" i="6"/>
  <c r="W62" i="6"/>
  <c r="W99" i="6"/>
  <c r="V129" i="6"/>
  <c r="W133" i="6"/>
  <c r="V133" i="6"/>
  <c r="V182" i="6"/>
  <c r="V201" i="6"/>
  <c r="W201" i="6"/>
  <c r="W235" i="6"/>
  <c r="V235" i="6"/>
  <c r="V289" i="6"/>
  <c r="V226" i="6"/>
  <c r="W61" i="6"/>
  <c r="V61" i="6"/>
  <c r="V47" i="6"/>
  <c r="V17" i="6"/>
  <c r="V51" i="6"/>
  <c r="W77" i="6"/>
  <c r="V77" i="6"/>
  <c r="V152" i="6"/>
  <c r="W186" i="6"/>
  <c r="W98" i="6"/>
  <c r="W95" i="6"/>
  <c r="V95" i="6"/>
  <c r="V156" i="6"/>
  <c r="W266" i="6"/>
  <c r="V266" i="6"/>
  <c r="Q282" i="6"/>
  <c r="W80" i="6"/>
  <c r="W220" i="6"/>
  <c r="V220" i="6"/>
  <c r="W251" i="6"/>
  <c r="V251" i="6"/>
  <c r="U282" i="6"/>
  <c r="W24" i="6"/>
  <c r="V24" i="6"/>
  <c r="W105" i="6"/>
  <c r="V105" i="6"/>
  <c r="V139" i="6"/>
  <c r="W139" i="6"/>
  <c r="W170" i="6"/>
  <c r="V170" i="6"/>
  <c r="V180" i="6"/>
  <c r="W273" i="6"/>
  <c r="V273" i="6"/>
  <c r="Q102" i="6"/>
  <c r="W55" i="6"/>
  <c r="V55" i="6"/>
  <c r="W136" i="6"/>
  <c r="V136" i="6"/>
  <c r="W167" i="6"/>
  <c r="V167" i="6"/>
  <c r="V208" i="6"/>
  <c r="W297" i="6"/>
  <c r="V232" i="6"/>
  <c r="W21" i="6"/>
  <c r="V21" i="6"/>
  <c r="Q18" i="6"/>
  <c r="W102" i="6"/>
  <c r="W301" i="6"/>
  <c r="V301" i="6"/>
  <c r="V5" i="1"/>
  <c r="V134" i="1"/>
  <c r="V150" i="1"/>
  <c r="V283" i="1"/>
  <c r="V291" i="1"/>
  <c r="U4" i="1"/>
  <c r="U12" i="1"/>
  <c r="U34" i="1"/>
  <c r="U36" i="1"/>
  <c r="U44" i="1"/>
  <c r="U46" i="1"/>
  <c r="U69" i="1"/>
  <c r="W69" i="1" s="1"/>
  <c r="U93" i="1"/>
  <c r="U95" i="1"/>
  <c r="U117" i="1"/>
  <c r="V117" i="1" s="1"/>
  <c r="U138" i="1"/>
  <c r="U157" i="1"/>
  <c r="U159" i="1"/>
  <c r="U181" i="1"/>
  <c r="V181" i="1" s="1"/>
  <c r="U202" i="1"/>
  <c r="U221" i="1"/>
  <c r="U223" i="1"/>
  <c r="U245" i="1"/>
  <c r="V245" i="1" s="1"/>
  <c r="U266" i="1"/>
  <c r="U285" i="1"/>
  <c r="U287" i="1"/>
  <c r="S2" i="1"/>
  <c r="T2" i="1"/>
  <c r="U2" i="1" s="1"/>
  <c r="T3" i="1"/>
  <c r="T4" i="1"/>
  <c r="T5" i="1"/>
  <c r="T6" i="1"/>
  <c r="T7" i="1"/>
  <c r="T8" i="1"/>
  <c r="T9" i="1"/>
  <c r="T10" i="1"/>
  <c r="T11" i="1"/>
  <c r="T12" i="1"/>
  <c r="T13" i="1"/>
  <c r="T14" i="1"/>
  <c r="T15" i="1"/>
  <c r="T16" i="1"/>
  <c r="T17" i="1"/>
  <c r="T18" i="1"/>
  <c r="T19" i="1"/>
  <c r="T20" i="1"/>
  <c r="T21" i="1"/>
  <c r="T22" i="1"/>
  <c r="T23" i="1"/>
  <c r="T24" i="1"/>
  <c r="T25" i="1"/>
  <c r="T26" i="1"/>
  <c r="U26" i="1" s="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U114" i="1" s="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U178" i="1" s="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U242" i="1" s="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S3" i="1"/>
  <c r="U3" i="1" s="1"/>
  <c r="S4" i="1"/>
  <c r="S5" i="1"/>
  <c r="U5" i="1" s="1"/>
  <c r="W5" i="1" s="1"/>
  <c r="S6" i="1"/>
  <c r="U6" i="1" s="1"/>
  <c r="S7" i="1"/>
  <c r="U7" i="1" s="1"/>
  <c r="V7" i="1" s="1"/>
  <c r="S8" i="1"/>
  <c r="S9" i="1"/>
  <c r="U9" i="1" s="1"/>
  <c r="S10" i="1"/>
  <c r="S11" i="1"/>
  <c r="U11" i="1" s="1"/>
  <c r="S12" i="1"/>
  <c r="S13" i="1"/>
  <c r="U13" i="1" s="1"/>
  <c r="S14" i="1"/>
  <c r="U14" i="1" s="1"/>
  <c r="S15" i="1"/>
  <c r="U15" i="1" s="1"/>
  <c r="S16" i="1"/>
  <c r="S17" i="1"/>
  <c r="U17" i="1" s="1"/>
  <c r="S18" i="1"/>
  <c r="S19" i="1"/>
  <c r="U19" i="1" s="1"/>
  <c r="S20" i="1"/>
  <c r="U20" i="1" s="1"/>
  <c r="S21" i="1"/>
  <c r="U21" i="1" s="1"/>
  <c r="S22" i="1"/>
  <c r="U22" i="1" s="1"/>
  <c r="S23" i="1"/>
  <c r="U23" i="1" s="1"/>
  <c r="S24" i="1"/>
  <c r="S25" i="1"/>
  <c r="U25" i="1" s="1"/>
  <c r="S26" i="1"/>
  <c r="S27" i="1"/>
  <c r="U27" i="1" s="1"/>
  <c r="W27" i="1" s="1"/>
  <c r="S28" i="1"/>
  <c r="U28" i="1" s="1"/>
  <c r="S29" i="1"/>
  <c r="U29" i="1" s="1"/>
  <c r="S30" i="1"/>
  <c r="U30" i="1" s="1"/>
  <c r="S31" i="1"/>
  <c r="U31" i="1" s="1"/>
  <c r="S32" i="1"/>
  <c r="S33" i="1"/>
  <c r="U33" i="1" s="1"/>
  <c r="S34" i="1"/>
  <c r="S35" i="1"/>
  <c r="U35" i="1" s="1"/>
  <c r="S36" i="1"/>
  <c r="S37" i="1"/>
  <c r="U37" i="1" s="1"/>
  <c r="S38" i="1"/>
  <c r="U38" i="1" s="1"/>
  <c r="S39" i="1"/>
  <c r="U39" i="1" s="1"/>
  <c r="S40" i="1"/>
  <c r="S41" i="1"/>
  <c r="U41" i="1" s="1"/>
  <c r="S42" i="1"/>
  <c r="S43" i="1"/>
  <c r="U43" i="1" s="1"/>
  <c r="S44" i="1"/>
  <c r="S45" i="1"/>
  <c r="U45" i="1" s="1"/>
  <c r="S46" i="1"/>
  <c r="S47" i="1"/>
  <c r="U47" i="1" s="1"/>
  <c r="S48" i="1"/>
  <c r="S49" i="1"/>
  <c r="U49" i="1" s="1"/>
  <c r="W49" i="1" s="1"/>
  <c r="S50" i="1"/>
  <c r="S51" i="1"/>
  <c r="U51" i="1" s="1"/>
  <c r="S52" i="1"/>
  <c r="U52" i="1" s="1"/>
  <c r="S53" i="1"/>
  <c r="U53" i="1" s="1"/>
  <c r="S54" i="1"/>
  <c r="U54" i="1" s="1"/>
  <c r="S55" i="1"/>
  <c r="U55" i="1" s="1"/>
  <c r="S56" i="1"/>
  <c r="U56" i="1" s="1"/>
  <c r="S57" i="1"/>
  <c r="U57" i="1" s="1"/>
  <c r="S58" i="1"/>
  <c r="S59" i="1"/>
  <c r="U59" i="1" s="1"/>
  <c r="S60" i="1"/>
  <c r="U60" i="1" s="1"/>
  <c r="S61" i="1"/>
  <c r="U61" i="1" s="1"/>
  <c r="S62" i="1"/>
  <c r="U62" i="1" s="1"/>
  <c r="S63" i="1"/>
  <c r="U63" i="1" s="1"/>
  <c r="S64" i="1"/>
  <c r="U64" i="1" s="1"/>
  <c r="S65" i="1"/>
  <c r="U65" i="1" s="1"/>
  <c r="S66" i="1"/>
  <c r="S67" i="1"/>
  <c r="U67" i="1" s="1"/>
  <c r="S68" i="1"/>
  <c r="U68" i="1" s="1"/>
  <c r="S69" i="1"/>
  <c r="S70" i="1"/>
  <c r="U70" i="1" s="1"/>
  <c r="S71" i="1"/>
  <c r="U71" i="1" s="1"/>
  <c r="S72" i="1"/>
  <c r="U72" i="1" s="1"/>
  <c r="S73" i="1"/>
  <c r="U73" i="1" s="1"/>
  <c r="S74" i="1"/>
  <c r="S75" i="1"/>
  <c r="U75" i="1" s="1"/>
  <c r="S76" i="1"/>
  <c r="U76" i="1" s="1"/>
  <c r="S77" i="1"/>
  <c r="U77" i="1" s="1"/>
  <c r="S78" i="1"/>
  <c r="U78" i="1" s="1"/>
  <c r="S79" i="1"/>
  <c r="U79" i="1" s="1"/>
  <c r="S80" i="1"/>
  <c r="U80" i="1" s="1"/>
  <c r="S81" i="1"/>
  <c r="U81" i="1" s="1"/>
  <c r="S82" i="1"/>
  <c r="S83" i="1"/>
  <c r="U83" i="1" s="1"/>
  <c r="S84" i="1"/>
  <c r="U84" i="1" s="1"/>
  <c r="S85" i="1"/>
  <c r="U85" i="1" s="1"/>
  <c r="S86" i="1"/>
  <c r="U86" i="1" s="1"/>
  <c r="W86" i="1" s="1"/>
  <c r="S87" i="1"/>
  <c r="U87" i="1" s="1"/>
  <c r="S88" i="1"/>
  <c r="U88" i="1" s="1"/>
  <c r="S89" i="1"/>
  <c r="U89" i="1" s="1"/>
  <c r="S90" i="1"/>
  <c r="U90" i="1" s="1"/>
  <c r="S91" i="1"/>
  <c r="U91" i="1" s="1"/>
  <c r="S92" i="1"/>
  <c r="U92" i="1" s="1"/>
  <c r="S93" i="1"/>
  <c r="S94" i="1"/>
  <c r="U94" i="1" s="1"/>
  <c r="S95" i="1"/>
  <c r="S96" i="1"/>
  <c r="U96" i="1" s="1"/>
  <c r="S97" i="1"/>
  <c r="U97" i="1" s="1"/>
  <c r="S98" i="1"/>
  <c r="U98" i="1" s="1"/>
  <c r="S99" i="1"/>
  <c r="U99" i="1" s="1"/>
  <c r="S100" i="1"/>
  <c r="U100" i="1" s="1"/>
  <c r="S101" i="1"/>
  <c r="U101" i="1" s="1"/>
  <c r="S102" i="1"/>
  <c r="U102" i="1" s="1"/>
  <c r="W102" i="1" s="1"/>
  <c r="S103" i="1"/>
  <c r="U103" i="1" s="1"/>
  <c r="S104" i="1"/>
  <c r="U104" i="1" s="1"/>
  <c r="S105" i="1"/>
  <c r="U105" i="1" s="1"/>
  <c r="S106" i="1"/>
  <c r="U106" i="1" s="1"/>
  <c r="S107" i="1"/>
  <c r="U107" i="1" s="1"/>
  <c r="S108" i="1"/>
  <c r="U108" i="1" s="1"/>
  <c r="S109" i="1"/>
  <c r="U109" i="1" s="1"/>
  <c r="S110" i="1"/>
  <c r="U110" i="1" s="1"/>
  <c r="S111" i="1"/>
  <c r="U111" i="1" s="1"/>
  <c r="S112" i="1"/>
  <c r="U112" i="1" s="1"/>
  <c r="S113" i="1"/>
  <c r="U113" i="1" s="1"/>
  <c r="S114" i="1"/>
  <c r="S115" i="1"/>
  <c r="U115" i="1" s="1"/>
  <c r="S116" i="1"/>
  <c r="U116" i="1" s="1"/>
  <c r="S117" i="1"/>
  <c r="S118" i="1"/>
  <c r="U118" i="1" s="1"/>
  <c r="W118" i="1" s="1"/>
  <c r="S119" i="1"/>
  <c r="U119" i="1" s="1"/>
  <c r="S120" i="1"/>
  <c r="U120" i="1" s="1"/>
  <c r="S121" i="1"/>
  <c r="U121" i="1" s="1"/>
  <c r="S122" i="1"/>
  <c r="U122" i="1" s="1"/>
  <c r="S123" i="1"/>
  <c r="U123" i="1" s="1"/>
  <c r="S124" i="1"/>
  <c r="U124" i="1" s="1"/>
  <c r="S125" i="1"/>
  <c r="U125" i="1" s="1"/>
  <c r="S126" i="1"/>
  <c r="U126" i="1" s="1"/>
  <c r="S127" i="1"/>
  <c r="U127" i="1" s="1"/>
  <c r="S128" i="1"/>
  <c r="U128" i="1" s="1"/>
  <c r="S129" i="1"/>
  <c r="U129" i="1" s="1"/>
  <c r="S130" i="1"/>
  <c r="U130" i="1" s="1"/>
  <c r="S131" i="1"/>
  <c r="U131" i="1" s="1"/>
  <c r="S132" i="1"/>
  <c r="U132" i="1" s="1"/>
  <c r="S133" i="1"/>
  <c r="U133" i="1" s="1"/>
  <c r="S134" i="1"/>
  <c r="U134" i="1" s="1"/>
  <c r="W134" i="1" s="1"/>
  <c r="S135" i="1"/>
  <c r="U135" i="1" s="1"/>
  <c r="S136" i="1"/>
  <c r="U136" i="1" s="1"/>
  <c r="S137" i="1"/>
  <c r="U137" i="1" s="1"/>
  <c r="S138" i="1"/>
  <c r="S139" i="1"/>
  <c r="U139" i="1" s="1"/>
  <c r="S140" i="1"/>
  <c r="U140" i="1" s="1"/>
  <c r="S141" i="1"/>
  <c r="U141" i="1" s="1"/>
  <c r="S142" i="1"/>
  <c r="U142" i="1" s="1"/>
  <c r="S143" i="1"/>
  <c r="U143" i="1" s="1"/>
  <c r="S144" i="1"/>
  <c r="U144" i="1" s="1"/>
  <c r="S145" i="1"/>
  <c r="U145" i="1" s="1"/>
  <c r="S146" i="1"/>
  <c r="U146" i="1" s="1"/>
  <c r="S147" i="1"/>
  <c r="U147" i="1" s="1"/>
  <c r="S148" i="1"/>
  <c r="U148" i="1" s="1"/>
  <c r="S149" i="1"/>
  <c r="U149" i="1" s="1"/>
  <c r="S150" i="1"/>
  <c r="U150" i="1" s="1"/>
  <c r="W150" i="1" s="1"/>
  <c r="S151" i="1"/>
  <c r="U151" i="1" s="1"/>
  <c r="S152" i="1"/>
  <c r="U152" i="1" s="1"/>
  <c r="S153" i="1"/>
  <c r="U153" i="1" s="1"/>
  <c r="S154" i="1"/>
  <c r="U154" i="1" s="1"/>
  <c r="S155" i="1"/>
  <c r="U155" i="1" s="1"/>
  <c r="S156" i="1"/>
  <c r="U156" i="1" s="1"/>
  <c r="S157" i="1"/>
  <c r="S158" i="1"/>
  <c r="U158" i="1" s="1"/>
  <c r="S159" i="1"/>
  <c r="S160" i="1"/>
  <c r="U160" i="1" s="1"/>
  <c r="S161" i="1"/>
  <c r="U161" i="1" s="1"/>
  <c r="S162" i="1"/>
  <c r="U162" i="1" s="1"/>
  <c r="S163" i="1"/>
  <c r="U163" i="1" s="1"/>
  <c r="S164" i="1"/>
  <c r="U164" i="1" s="1"/>
  <c r="S165" i="1"/>
  <c r="U165" i="1" s="1"/>
  <c r="S166" i="1"/>
  <c r="U166" i="1" s="1"/>
  <c r="W166" i="1" s="1"/>
  <c r="S167" i="1"/>
  <c r="U167" i="1" s="1"/>
  <c r="S168" i="1"/>
  <c r="U168" i="1" s="1"/>
  <c r="S169" i="1"/>
  <c r="U169" i="1" s="1"/>
  <c r="S170" i="1"/>
  <c r="U170" i="1" s="1"/>
  <c r="S171" i="1"/>
  <c r="U171" i="1" s="1"/>
  <c r="S172" i="1"/>
  <c r="U172" i="1" s="1"/>
  <c r="S173" i="1"/>
  <c r="U173" i="1" s="1"/>
  <c r="S174" i="1"/>
  <c r="U174" i="1" s="1"/>
  <c r="S175" i="1"/>
  <c r="U175" i="1" s="1"/>
  <c r="S176" i="1"/>
  <c r="U176" i="1" s="1"/>
  <c r="S177" i="1"/>
  <c r="U177" i="1" s="1"/>
  <c r="S178" i="1"/>
  <c r="S179" i="1"/>
  <c r="U179" i="1" s="1"/>
  <c r="S180" i="1"/>
  <c r="U180" i="1" s="1"/>
  <c r="S181" i="1"/>
  <c r="S182" i="1"/>
  <c r="U182" i="1" s="1"/>
  <c r="W182" i="1" s="1"/>
  <c r="S183" i="1"/>
  <c r="U183" i="1" s="1"/>
  <c r="S184" i="1"/>
  <c r="U184" i="1" s="1"/>
  <c r="S185" i="1"/>
  <c r="U185" i="1" s="1"/>
  <c r="S186" i="1"/>
  <c r="U186" i="1" s="1"/>
  <c r="S187" i="1"/>
  <c r="U187" i="1" s="1"/>
  <c r="S188" i="1"/>
  <c r="U188" i="1" s="1"/>
  <c r="S189" i="1"/>
  <c r="U189" i="1" s="1"/>
  <c r="S190" i="1"/>
  <c r="U190" i="1" s="1"/>
  <c r="S191" i="1"/>
  <c r="U191" i="1" s="1"/>
  <c r="S192" i="1"/>
  <c r="U192" i="1" s="1"/>
  <c r="S193" i="1"/>
  <c r="U193" i="1" s="1"/>
  <c r="S194" i="1"/>
  <c r="U194" i="1" s="1"/>
  <c r="S195" i="1"/>
  <c r="U195" i="1" s="1"/>
  <c r="S196" i="1"/>
  <c r="U196" i="1" s="1"/>
  <c r="S197" i="1"/>
  <c r="U197" i="1" s="1"/>
  <c r="S198" i="1"/>
  <c r="U198" i="1" s="1"/>
  <c r="W198" i="1" s="1"/>
  <c r="S199" i="1"/>
  <c r="U199" i="1" s="1"/>
  <c r="S200" i="1"/>
  <c r="U200" i="1" s="1"/>
  <c r="S201" i="1"/>
  <c r="U201" i="1" s="1"/>
  <c r="S202" i="1"/>
  <c r="S203" i="1"/>
  <c r="U203" i="1" s="1"/>
  <c r="S204" i="1"/>
  <c r="U204" i="1" s="1"/>
  <c r="S205" i="1"/>
  <c r="U205" i="1" s="1"/>
  <c r="S206" i="1"/>
  <c r="U206" i="1" s="1"/>
  <c r="S207" i="1"/>
  <c r="U207" i="1" s="1"/>
  <c r="S208" i="1"/>
  <c r="U208" i="1" s="1"/>
  <c r="S209" i="1"/>
  <c r="U209" i="1" s="1"/>
  <c r="S210" i="1"/>
  <c r="U210" i="1" s="1"/>
  <c r="S211" i="1"/>
  <c r="U211" i="1" s="1"/>
  <c r="S212" i="1"/>
  <c r="U212" i="1" s="1"/>
  <c r="S213" i="1"/>
  <c r="U213" i="1" s="1"/>
  <c r="S214" i="1"/>
  <c r="U214" i="1" s="1"/>
  <c r="W214" i="1" s="1"/>
  <c r="S215" i="1"/>
  <c r="U215" i="1" s="1"/>
  <c r="S216" i="1"/>
  <c r="U216" i="1" s="1"/>
  <c r="S217" i="1"/>
  <c r="U217" i="1" s="1"/>
  <c r="S218" i="1"/>
  <c r="U218" i="1" s="1"/>
  <c r="S219" i="1"/>
  <c r="U219" i="1" s="1"/>
  <c r="S220" i="1"/>
  <c r="U220" i="1" s="1"/>
  <c r="S221" i="1"/>
  <c r="S222" i="1"/>
  <c r="U222" i="1" s="1"/>
  <c r="S223" i="1"/>
  <c r="S224" i="1"/>
  <c r="U224" i="1" s="1"/>
  <c r="S225" i="1"/>
  <c r="U225" i="1" s="1"/>
  <c r="S226" i="1"/>
  <c r="U226" i="1" s="1"/>
  <c r="S227" i="1"/>
  <c r="U227" i="1" s="1"/>
  <c r="S228" i="1"/>
  <c r="U228" i="1" s="1"/>
  <c r="S229" i="1"/>
  <c r="U229" i="1" s="1"/>
  <c r="S230" i="1"/>
  <c r="U230" i="1" s="1"/>
  <c r="W230" i="1" s="1"/>
  <c r="S231" i="1"/>
  <c r="U231" i="1" s="1"/>
  <c r="S232" i="1"/>
  <c r="U232" i="1" s="1"/>
  <c r="S233" i="1"/>
  <c r="U233" i="1" s="1"/>
  <c r="S234" i="1"/>
  <c r="U234" i="1" s="1"/>
  <c r="S235" i="1"/>
  <c r="U235" i="1" s="1"/>
  <c r="S236" i="1"/>
  <c r="U236" i="1" s="1"/>
  <c r="S237" i="1"/>
  <c r="U237" i="1" s="1"/>
  <c r="S238" i="1"/>
  <c r="U238" i="1" s="1"/>
  <c r="W238" i="1" s="1"/>
  <c r="S239" i="1"/>
  <c r="U239" i="1" s="1"/>
  <c r="S240" i="1"/>
  <c r="U240" i="1" s="1"/>
  <c r="W240" i="1" s="1"/>
  <c r="S241" i="1"/>
  <c r="U241" i="1" s="1"/>
  <c r="S242" i="1"/>
  <c r="S243" i="1"/>
  <c r="U243" i="1" s="1"/>
  <c r="S244" i="1"/>
  <c r="U244" i="1" s="1"/>
  <c r="S245" i="1"/>
  <c r="S246" i="1"/>
  <c r="U246" i="1" s="1"/>
  <c r="S247" i="1"/>
  <c r="U247" i="1" s="1"/>
  <c r="S248" i="1"/>
  <c r="U248" i="1" s="1"/>
  <c r="W248" i="1" s="1"/>
  <c r="S249" i="1"/>
  <c r="U249" i="1" s="1"/>
  <c r="S250" i="1"/>
  <c r="U250" i="1" s="1"/>
  <c r="S251" i="1"/>
  <c r="U251" i="1" s="1"/>
  <c r="W251" i="1" s="1"/>
  <c r="S252" i="1"/>
  <c r="U252" i="1" s="1"/>
  <c r="S253" i="1"/>
  <c r="U253" i="1" s="1"/>
  <c r="S254" i="1"/>
  <c r="U254" i="1" s="1"/>
  <c r="S255" i="1"/>
  <c r="U255" i="1" s="1"/>
  <c r="S256" i="1"/>
  <c r="U256" i="1" s="1"/>
  <c r="S257" i="1"/>
  <c r="U257" i="1" s="1"/>
  <c r="S258" i="1"/>
  <c r="U258" i="1" s="1"/>
  <c r="S259" i="1"/>
  <c r="U259" i="1" s="1"/>
  <c r="W259" i="1" s="1"/>
  <c r="S260" i="1"/>
  <c r="U260" i="1" s="1"/>
  <c r="S261" i="1"/>
  <c r="U261" i="1" s="1"/>
  <c r="S262" i="1"/>
  <c r="U262" i="1" s="1"/>
  <c r="W262" i="1" s="1"/>
  <c r="S263" i="1"/>
  <c r="U263" i="1" s="1"/>
  <c r="S264" i="1"/>
  <c r="U264" i="1" s="1"/>
  <c r="S265" i="1"/>
  <c r="U265" i="1" s="1"/>
  <c r="S266" i="1"/>
  <c r="S267" i="1"/>
  <c r="U267" i="1" s="1"/>
  <c r="S268" i="1"/>
  <c r="U268" i="1" s="1"/>
  <c r="S269" i="1"/>
  <c r="U269" i="1" s="1"/>
  <c r="S270" i="1"/>
  <c r="U270" i="1" s="1"/>
  <c r="W270" i="1" s="1"/>
  <c r="S271" i="1"/>
  <c r="U271" i="1" s="1"/>
  <c r="S272" i="1"/>
  <c r="U272" i="1" s="1"/>
  <c r="W272" i="1" s="1"/>
  <c r="S273" i="1"/>
  <c r="U273" i="1" s="1"/>
  <c r="S274" i="1"/>
  <c r="U274" i="1" s="1"/>
  <c r="S275" i="1"/>
  <c r="U275" i="1" s="1"/>
  <c r="S276" i="1"/>
  <c r="U276" i="1" s="1"/>
  <c r="S277" i="1"/>
  <c r="U277" i="1" s="1"/>
  <c r="S278" i="1"/>
  <c r="U278" i="1" s="1"/>
  <c r="S279" i="1"/>
  <c r="U279" i="1" s="1"/>
  <c r="S280" i="1"/>
  <c r="U280" i="1" s="1"/>
  <c r="W280" i="1" s="1"/>
  <c r="S281" i="1"/>
  <c r="U281" i="1" s="1"/>
  <c r="S282" i="1"/>
  <c r="U282" i="1" s="1"/>
  <c r="S283" i="1"/>
  <c r="U283" i="1" s="1"/>
  <c r="W283" i="1" s="1"/>
  <c r="S284" i="1"/>
  <c r="U284" i="1" s="1"/>
  <c r="S285" i="1"/>
  <c r="S286" i="1"/>
  <c r="U286" i="1" s="1"/>
  <c r="S287" i="1"/>
  <c r="S288" i="1"/>
  <c r="U288" i="1" s="1"/>
  <c r="S289" i="1"/>
  <c r="U289" i="1" s="1"/>
  <c r="S290" i="1"/>
  <c r="U290" i="1" s="1"/>
  <c r="S291" i="1"/>
  <c r="U291" i="1" s="1"/>
  <c r="W291" i="1" s="1"/>
  <c r="S292" i="1"/>
  <c r="U292" i="1" s="1"/>
  <c r="S293" i="1"/>
  <c r="U293" i="1" s="1"/>
  <c r="S294" i="1"/>
  <c r="U294" i="1" s="1"/>
  <c r="W294" i="1" s="1"/>
  <c r="S295" i="1"/>
  <c r="U295" i="1" s="1"/>
  <c r="S296" i="1"/>
  <c r="U296" i="1" s="1"/>
  <c r="S297" i="1"/>
  <c r="U297" i="1" s="1"/>
  <c r="S298" i="1"/>
  <c r="U298" i="1" s="1"/>
  <c r="S299" i="1"/>
  <c r="U299" i="1" s="1"/>
  <c r="S300" i="1"/>
  <c r="U300" i="1" s="1"/>
  <c r="S301" i="1"/>
  <c r="U301" i="1" s="1"/>
  <c r="P301" i="1"/>
  <c r="P300" i="1"/>
  <c r="Q300" i="1" s="1"/>
  <c r="P299" i="1"/>
  <c r="Q299" i="1" s="1"/>
  <c r="P298" i="1"/>
  <c r="P297" i="1"/>
  <c r="P296" i="1"/>
  <c r="P295" i="1"/>
  <c r="P294" i="1"/>
  <c r="P293" i="1"/>
  <c r="P292" i="1"/>
  <c r="Q292" i="1" s="1"/>
  <c r="P291" i="1"/>
  <c r="Q291" i="1" s="1"/>
  <c r="P290" i="1"/>
  <c r="P289" i="1"/>
  <c r="P288" i="1"/>
  <c r="P287" i="1"/>
  <c r="P286" i="1"/>
  <c r="P285" i="1"/>
  <c r="P284" i="1"/>
  <c r="Q284" i="1" s="1"/>
  <c r="P283" i="1"/>
  <c r="Q283" i="1" s="1"/>
  <c r="P282" i="1"/>
  <c r="P281" i="1"/>
  <c r="P280" i="1"/>
  <c r="P279" i="1"/>
  <c r="P278" i="1"/>
  <c r="P277" i="1"/>
  <c r="P276" i="1"/>
  <c r="Q276" i="1" s="1"/>
  <c r="P275" i="1"/>
  <c r="Q275" i="1" s="1"/>
  <c r="P274" i="1"/>
  <c r="P273" i="1"/>
  <c r="P272" i="1"/>
  <c r="P271" i="1"/>
  <c r="P270" i="1"/>
  <c r="P269" i="1"/>
  <c r="P268" i="1"/>
  <c r="Q268" i="1" s="1"/>
  <c r="P267" i="1"/>
  <c r="Q267" i="1" s="1"/>
  <c r="P266" i="1"/>
  <c r="P265" i="1"/>
  <c r="P264" i="1"/>
  <c r="P263" i="1"/>
  <c r="P262" i="1"/>
  <c r="P261" i="1"/>
  <c r="P260" i="1"/>
  <c r="Q260" i="1" s="1"/>
  <c r="P259" i="1"/>
  <c r="Q259" i="1" s="1"/>
  <c r="P258" i="1"/>
  <c r="P257" i="1"/>
  <c r="P256" i="1"/>
  <c r="P255" i="1"/>
  <c r="P254" i="1"/>
  <c r="P253" i="1"/>
  <c r="P252" i="1"/>
  <c r="Q252" i="1" s="1"/>
  <c r="P251" i="1"/>
  <c r="Q251" i="1" s="1"/>
  <c r="P250" i="1"/>
  <c r="P249" i="1"/>
  <c r="P248" i="1"/>
  <c r="P247" i="1"/>
  <c r="P246" i="1"/>
  <c r="P245" i="1"/>
  <c r="P244" i="1"/>
  <c r="Q244" i="1" s="1"/>
  <c r="P243" i="1"/>
  <c r="Q243" i="1" s="1"/>
  <c r="P242" i="1"/>
  <c r="P241" i="1"/>
  <c r="P240" i="1"/>
  <c r="P239" i="1"/>
  <c r="P238" i="1"/>
  <c r="P237" i="1"/>
  <c r="P236" i="1"/>
  <c r="Q236" i="1" s="1"/>
  <c r="P235" i="1"/>
  <c r="Q235" i="1" s="1"/>
  <c r="P234" i="1"/>
  <c r="P233" i="1"/>
  <c r="P232" i="1"/>
  <c r="P231" i="1"/>
  <c r="P230" i="1"/>
  <c r="P229" i="1"/>
  <c r="P228" i="1"/>
  <c r="Q228" i="1" s="1"/>
  <c r="P227" i="1"/>
  <c r="Q227" i="1" s="1"/>
  <c r="P226" i="1"/>
  <c r="P225" i="1"/>
  <c r="P224" i="1"/>
  <c r="P223" i="1"/>
  <c r="P222" i="1"/>
  <c r="P221" i="1"/>
  <c r="P220" i="1"/>
  <c r="Q220" i="1" s="1"/>
  <c r="P219" i="1"/>
  <c r="Q219" i="1" s="1"/>
  <c r="P218" i="1"/>
  <c r="P217" i="1"/>
  <c r="P216" i="1"/>
  <c r="P215" i="1"/>
  <c r="P214" i="1"/>
  <c r="P213" i="1"/>
  <c r="P212" i="1"/>
  <c r="Q212" i="1" s="1"/>
  <c r="P211" i="1"/>
  <c r="Q211" i="1" s="1"/>
  <c r="P210" i="1"/>
  <c r="P209" i="1"/>
  <c r="P208" i="1"/>
  <c r="P207" i="1"/>
  <c r="P206" i="1"/>
  <c r="P205" i="1"/>
  <c r="P204" i="1"/>
  <c r="Q204" i="1" s="1"/>
  <c r="P203" i="1"/>
  <c r="Q203" i="1" s="1"/>
  <c r="P202" i="1"/>
  <c r="P201" i="1"/>
  <c r="P200" i="1"/>
  <c r="P199" i="1"/>
  <c r="P198" i="1"/>
  <c r="P197" i="1"/>
  <c r="P196" i="1"/>
  <c r="Q196" i="1" s="1"/>
  <c r="P195" i="1"/>
  <c r="Q195" i="1" s="1"/>
  <c r="P194" i="1"/>
  <c r="P193" i="1"/>
  <c r="P192" i="1"/>
  <c r="P191" i="1"/>
  <c r="P190" i="1"/>
  <c r="P189" i="1"/>
  <c r="P188" i="1"/>
  <c r="Q188" i="1" s="1"/>
  <c r="P187" i="1"/>
  <c r="Q187" i="1" s="1"/>
  <c r="P186" i="1"/>
  <c r="P185" i="1"/>
  <c r="P184" i="1"/>
  <c r="P183" i="1"/>
  <c r="P182" i="1"/>
  <c r="P181" i="1"/>
  <c r="P180" i="1"/>
  <c r="Q180" i="1" s="1"/>
  <c r="P179" i="1"/>
  <c r="Q179" i="1" s="1"/>
  <c r="P178" i="1"/>
  <c r="P177" i="1"/>
  <c r="P176" i="1"/>
  <c r="P175" i="1"/>
  <c r="P174" i="1"/>
  <c r="P173" i="1"/>
  <c r="P172" i="1"/>
  <c r="Q172" i="1" s="1"/>
  <c r="P171" i="1"/>
  <c r="Q171" i="1" s="1"/>
  <c r="P170" i="1"/>
  <c r="P169" i="1"/>
  <c r="P168" i="1"/>
  <c r="P167" i="1"/>
  <c r="P166" i="1"/>
  <c r="P165" i="1"/>
  <c r="P164" i="1"/>
  <c r="Q164" i="1" s="1"/>
  <c r="P163" i="1"/>
  <c r="Q163" i="1" s="1"/>
  <c r="P162" i="1"/>
  <c r="P161" i="1"/>
  <c r="P160" i="1"/>
  <c r="P159" i="1"/>
  <c r="P158" i="1"/>
  <c r="P157" i="1"/>
  <c r="P156" i="1"/>
  <c r="Q156" i="1" s="1"/>
  <c r="P155" i="1"/>
  <c r="Q155" i="1" s="1"/>
  <c r="P154" i="1"/>
  <c r="P153" i="1"/>
  <c r="P152" i="1"/>
  <c r="P151" i="1"/>
  <c r="P150" i="1"/>
  <c r="P149" i="1"/>
  <c r="P148" i="1"/>
  <c r="Q148" i="1" s="1"/>
  <c r="P147" i="1"/>
  <c r="Q147" i="1" s="1"/>
  <c r="P146" i="1"/>
  <c r="P145" i="1"/>
  <c r="P144" i="1"/>
  <c r="P143" i="1"/>
  <c r="P142" i="1"/>
  <c r="P141" i="1"/>
  <c r="P140" i="1"/>
  <c r="Q140" i="1" s="1"/>
  <c r="P139" i="1"/>
  <c r="Q139" i="1" s="1"/>
  <c r="P138" i="1"/>
  <c r="P137" i="1"/>
  <c r="P136" i="1"/>
  <c r="P135" i="1"/>
  <c r="P134" i="1"/>
  <c r="P133" i="1"/>
  <c r="P132" i="1"/>
  <c r="Q132" i="1" s="1"/>
  <c r="P131" i="1"/>
  <c r="Q131" i="1" s="1"/>
  <c r="P130" i="1"/>
  <c r="P129" i="1"/>
  <c r="P128" i="1"/>
  <c r="P127" i="1"/>
  <c r="P126" i="1"/>
  <c r="P125" i="1"/>
  <c r="P124" i="1"/>
  <c r="Q124" i="1" s="1"/>
  <c r="P123" i="1"/>
  <c r="Q123" i="1" s="1"/>
  <c r="P122" i="1"/>
  <c r="P121" i="1"/>
  <c r="P120" i="1"/>
  <c r="P119" i="1"/>
  <c r="P118" i="1"/>
  <c r="P117" i="1"/>
  <c r="P116" i="1"/>
  <c r="Q116" i="1" s="1"/>
  <c r="P115" i="1"/>
  <c r="Q115" i="1" s="1"/>
  <c r="P114" i="1"/>
  <c r="P113" i="1"/>
  <c r="P112" i="1"/>
  <c r="P111" i="1"/>
  <c r="P110" i="1"/>
  <c r="P109" i="1"/>
  <c r="P108" i="1"/>
  <c r="Q108" i="1" s="1"/>
  <c r="P107" i="1"/>
  <c r="Q107" i="1" s="1"/>
  <c r="P106" i="1"/>
  <c r="P105" i="1"/>
  <c r="P104" i="1"/>
  <c r="P103" i="1"/>
  <c r="P102" i="1"/>
  <c r="P101" i="1"/>
  <c r="P100" i="1"/>
  <c r="Q100" i="1" s="1"/>
  <c r="P99" i="1"/>
  <c r="Q99" i="1" s="1"/>
  <c r="P98" i="1"/>
  <c r="P97" i="1"/>
  <c r="Q97" i="1" s="1"/>
  <c r="P96" i="1"/>
  <c r="P95" i="1"/>
  <c r="P94" i="1"/>
  <c r="P93" i="1"/>
  <c r="P92" i="1"/>
  <c r="Q92" i="1" s="1"/>
  <c r="P91" i="1"/>
  <c r="Q91" i="1" s="1"/>
  <c r="P90" i="1"/>
  <c r="P89" i="1"/>
  <c r="Q89" i="1" s="1"/>
  <c r="P88" i="1"/>
  <c r="P87" i="1"/>
  <c r="P86" i="1"/>
  <c r="P85" i="1"/>
  <c r="P84" i="1"/>
  <c r="Q84" i="1" s="1"/>
  <c r="P83" i="1"/>
  <c r="Q83" i="1" s="1"/>
  <c r="P82" i="1"/>
  <c r="P81" i="1"/>
  <c r="Q81" i="1" s="1"/>
  <c r="P80" i="1"/>
  <c r="P79" i="1"/>
  <c r="P78" i="1"/>
  <c r="P77" i="1"/>
  <c r="P76" i="1"/>
  <c r="Q76" i="1" s="1"/>
  <c r="P75" i="1"/>
  <c r="Q75" i="1" s="1"/>
  <c r="P74" i="1"/>
  <c r="P73" i="1"/>
  <c r="Q73" i="1" s="1"/>
  <c r="P72" i="1"/>
  <c r="P71" i="1"/>
  <c r="P70" i="1"/>
  <c r="P69" i="1"/>
  <c r="P68" i="1"/>
  <c r="Q68" i="1" s="1"/>
  <c r="P67" i="1"/>
  <c r="Q67" i="1" s="1"/>
  <c r="P66" i="1"/>
  <c r="P65" i="1"/>
  <c r="Q65" i="1" s="1"/>
  <c r="P64" i="1"/>
  <c r="P63" i="1"/>
  <c r="P62" i="1"/>
  <c r="P61" i="1"/>
  <c r="P60" i="1"/>
  <c r="Q60" i="1" s="1"/>
  <c r="P59" i="1"/>
  <c r="Q59" i="1" s="1"/>
  <c r="P58" i="1"/>
  <c r="P57" i="1"/>
  <c r="Q57" i="1" s="1"/>
  <c r="P56" i="1"/>
  <c r="P55" i="1"/>
  <c r="P54" i="1"/>
  <c r="P53" i="1"/>
  <c r="P52" i="1"/>
  <c r="Q52" i="1" s="1"/>
  <c r="P51" i="1"/>
  <c r="Q51" i="1" s="1"/>
  <c r="P50" i="1"/>
  <c r="P49" i="1"/>
  <c r="Q49" i="1" s="1"/>
  <c r="P48" i="1"/>
  <c r="P47" i="1"/>
  <c r="P46" i="1"/>
  <c r="P45" i="1"/>
  <c r="P44" i="1"/>
  <c r="Q44" i="1" s="1"/>
  <c r="P43" i="1"/>
  <c r="Q43" i="1" s="1"/>
  <c r="P42" i="1"/>
  <c r="P41" i="1"/>
  <c r="Q41" i="1" s="1"/>
  <c r="P40" i="1"/>
  <c r="P39" i="1"/>
  <c r="P38" i="1"/>
  <c r="P37" i="1"/>
  <c r="P36" i="1"/>
  <c r="Q36" i="1" s="1"/>
  <c r="P35" i="1"/>
  <c r="Q35" i="1" s="1"/>
  <c r="P34" i="1"/>
  <c r="P33" i="1"/>
  <c r="Q33" i="1" s="1"/>
  <c r="P32" i="1"/>
  <c r="P31" i="1"/>
  <c r="P30" i="1"/>
  <c r="P29" i="1"/>
  <c r="P28" i="1"/>
  <c r="Q28" i="1" s="1"/>
  <c r="P27" i="1"/>
  <c r="Q27" i="1" s="1"/>
  <c r="P26" i="1"/>
  <c r="P25" i="1"/>
  <c r="Q25" i="1" s="1"/>
  <c r="P24" i="1"/>
  <c r="P23" i="1"/>
  <c r="P22" i="1"/>
  <c r="P21" i="1"/>
  <c r="Q21" i="1" s="1"/>
  <c r="P20" i="1"/>
  <c r="Q20" i="1" s="1"/>
  <c r="P19" i="1"/>
  <c r="Q19" i="1" s="1"/>
  <c r="P18" i="1"/>
  <c r="P17" i="1"/>
  <c r="Q17" i="1" s="1"/>
  <c r="P16" i="1"/>
  <c r="P15" i="1"/>
  <c r="P14" i="1"/>
  <c r="P13" i="1"/>
  <c r="Q13" i="1" s="1"/>
  <c r="P12" i="1"/>
  <c r="Q12" i="1" s="1"/>
  <c r="P11" i="1"/>
  <c r="Q11" i="1" s="1"/>
  <c r="P10" i="1"/>
  <c r="P9" i="1"/>
  <c r="Q9" i="1" s="1"/>
  <c r="P8" i="1"/>
  <c r="P7" i="1"/>
  <c r="P6" i="1"/>
  <c r="P5" i="1"/>
  <c r="Q5" i="1" s="1"/>
  <c r="P4" i="1"/>
  <c r="Q4" i="1" s="1"/>
  <c r="P3" i="1"/>
  <c r="Q3" i="1" s="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V301" i="1" l="1"/>
  <c r="W301" i="1"/>
  <c r="V269" i="1"/>
  <c r="W269" i="1"/>
  <c r="V173" i="1"/>
  <c r="W173" i="1"/>
  <c r="W101" i="1"/>
  <c r="V101" i="1"/>
  <c r="V237" i="1"/>
  <c r="W237" i="1"/>
  <c r="W189" i="1"/>
  <c r="V189" i="1"/>
  <c r="W133" i="1"/>
  <c r="V133" i="1"/>
  <c r="V77" i="1"/>
  <c r="W77" i="1"/>
  <c r="W290" i="1"/>
  <c r="V290" i="1"/>
  <c r="W274" i="1"/>
  <c r="V274" i="1"/>
  <c r="W250" i="1"/>
  <c r="V250" i="1"/>
  <c r="W218" i="1"/>
  <c r="V218" i="1"/>
  <c r="W194" i="1"/>
  <c r="V194" i="1"/>
  <c r="W170" i="1"/>
  <c r="V170" i="1"/>
  <c r="W162" i="1"/>
  <c r="V162" i="1"/>
  <c r="W154" i="1"/>
  <c r="V154" i="1"/>
  <c r="W146" i="1"/>
  <c r="V146" i="1"/>
  <c r="W130" i="1"/>
  <c r="V130" i="1"/>
  <c r="W122" i="1"/>
  <c r="V122" i="1"/>
  <c r="W106" i="1"/>
  <c r="V106" i="1"/>
  <c r="W90" i="1"/>
  <c r="V90" i="1"/>
  <c r="W293" i="1"/>
  <c r="V293" i="1"/>
  <c r="W229" i="1"/>
  <c r="V229" i="1"/>
  <c r="V205" i="1"/>
  <c r="W205" i="1"/>
  <c r="V109" i="1"/>
  <c r="W109" i="1"/>
  <c r="V53" i="1"/>
  <c r="W53" i="1"/>
  <c r="W298" i="1"/>
  <c r="V298" i="1"/>
  <c r="W282" i="1"/>
  <c r="V282" i="1"/>
  <c r="W258" i="1"/>
  <c r="V258" i="1"/>
  <c r="W234" i="1"/>
  <c r="V234" i="1"/>
  <c r="W210" i="1"/>
  <c r="V210" i="1"/>
  <c r="W186" i="1"/>
  <c r="V186" i="1"/>
  <c r="W98" i="1"/>
  <c r="V98" i="1"/>
  <c r="W261" i="1"/>
  <c r="V261" i="1"/>
  <c r="W197" i="1"/>
  <c r="V197" i="1"/>
  <c r="V141" i="1"/>
  <c r="W141" i="1"/>
  <c r="W61" i="1"/>
  <c r="V61" i="1"/>
  <c r="W226" i="1"/>
  <c r="V226" i="1"/>
  <c r="V253" i="1"/>
  <c r="W253" i="1"/>
  <c r="V149" i="1"/>
  <c r="W149" i="1"/>
  <c r="V295" i="1"/>
  <c r="W295" i="1"/>
  <c r="W271" i="1"/>
  <c r="V271" i="1"/>
  <c r="W255" i="1"/>
  <c r="V255" i="1"/>
  <c r="V231" i="1"/>
  <c r="W231" i="1"/>
  <c r="V207" i="1"/>
  <c r="W207" i="1"/>
  <c r="V191" i="1"/>
  <c r="W191" i="1"/>
  <c r="V183" i="1"/>
  <c r="W183" i="1"/>
  <c r="V167" i="1"/>
  <c r="W167" i="1"/>
  <c r="V143" i="1"/>
  <c r="W143" i="1"/>
  <c r="V127" i="1"/>
  <c r="W127" i="1"/>
  <c r="V111" i="1"/>
  <c r="W111" i="1"/>
  <c r="V87" i="1"/>
  <c r="W87" i="1"/>
  <c r="V79" i="1"/>
  <c r="W79" i="1"/>
  <c r="V63" i="1"/>
  <c r="W63" i="1"/>
  <c r="V55" i="1"/>
  <c r="W55" i="1"/>
  <c r="V23" i="1"/>
  <c r="W23" i="1"/>
  <c r="V15" i="1"/>
  <c r="W15" i="1"/>
  <c r="W242" i="1"/>
  <c r="V242" i="1"/>
  <c r="W178" i="1"/>
  <c r="V178" i="1"/>
  <c r="W114" i="1"/>
  <c r="V114" i="1"/>
  <c r="W26" i="1"/>
  <c r="V26" i="1"/>
  <c r="W2" i="1"/>
  <c r="V2" i="1"/>
  <c r="V277" i="1"/>
  <c r="W277" i="1"/>
  <c r="V213" i="1"/>
  <c r="W213" i="1"/>
  <c r="W165" i="1"/>
  <c r="V165" i="1"/>
  <c r="W125" i="1"/>
  <c r="V125" i="1"/>
  <c r="V85" i="1"/>
  <c r="W85" i="1"/>
  <c r="W279" i="1"/>
  <c r="V279" i="1"/>
  <c r="V263" i="1"/>
  <c r="W263" i="1"/>
  <c r="W247" i="1"/>
  <c r="V247" i="1"/>
  <c r="W239" i="1"/>
  <c r="V239" i="1"/>
  <c r="V215" i="1"/>
  <c r="W215" i="1"/>
  <c r="V199" i="1"/>
  <c r="W199" i="1"/>
  <c r="V175" i="1"/>
  <c r="W175" i="1"/>
  <c r="V151" i="1"/>
  <c r="W151" i="1"/>
  <c r="V135" i="1"/>
  <c r="W135" i="1"/>
  <c r="V119" i="1"/>
  <c r="W119" i="1"/>
  <c r="V103" i="1"/>
  <c r="W103" i="1"/>
  <c r="V71" i="1"/>
  <c r="W71" i="1"/>
  <c r="W200" i="1"/>
  <c r="V200" i="1"/>
  <c r="W152" i="1"/>
  <c r="V152" i="1"/>
  <c r="W104" i="1"/>
  <c r="V104" i="1"/>
  <c r="W56" i="1"/>
  <c r="V56" i="1"/>
  <c r="V95" i="1"/>
  <c r="W95" i="1"/>
  <c r="W157" i="1"/>
  <c r="V157" i="1"/>
  <c r="Q29" i="1"/>
  <c r="Q37" i="1"/>
  <c r="Q45" i="1"/>
  <c r="Q53" i="1"/>
  <c r="Q61" i="1"/>
  <c r="Q69" i="1"/>
  <c r="Q77" i="1"/>
  <c r="Q85" i="1"/>
  <c r="Q93" i="1"/>
  <c r="Q101" i="1"/>
  <c r="Q109" i="1"/>
  <c r="Q117" i="1"/>
  <c r="Q125" i="1"/>
  <c r="Q133" i="1"/>
  <c r="Q141" i="1"/>
  <c r="Q149" i="1"/>
  <c r="Q157" i="1"/>
  <c r="Q165" i="1"/>
  <c r="Q173" i="1"/>
  <c r="Q181" i="1"/>
  <c r="Q189" i="1"/>
  <c r="Q197" i="1"/>
  <c r="Q205" i="1"/>
  <c r="Q213" i="1"/>
  <c r="Q221" i="1"/>
  <c r="Q229" i="1"/>
  <c r="Q237" i="1"/>
  <c r="W286" i="1"/>
  <c r="V286" i="1"/>
  <c r="W278" i="1"/>
  <c r="V278" i="1"/>
  <c r="W254" i="1"/>
  <c r="V254" i="1"/>
  <c r="W246" i="1"/>
  <c r="V246" i="1"/>
  <c r="W222" i="1"/>
  <c r="V222" i="1"/>
  <c r="W206" i="1"/>
  <c r="V206" i="1"/>
  <c r="W190" i="1"/>
  <c r="V190" i="1"/>
  <c r="W174" i="1"/>
  <c r="V174" i="1"/>
  <c r="W158" i="1"/>
  <c r="V158" i="1"/>
  <c r="W142" i="1"/>
  <c r="V142" i="1"/>
  <c r="W126" i="1"/>
  <c r="V126" i="1"/>
  <c r="W110" i="1"/>
  <c r="V110" i="1"/>
  <c r="W94" i="1"/>
  <c r="V94" i="1"/>
  <c r="W78" i="1"/>
  <c r="V78" i="1"/>
  <c r="V70" i="1"/>
  <c r="W70" i="1"/>
  <c r="V62" i="1"/>
  <c r="W62" i="1"/>
  <c r="V54" i="1"/>
  <c r="W54" i="1"/>
  <c r="V280" i="1"/>
  <c r="V238" i="1"/>
  <c r="V118" i="1"/>
  <c r="W245" i="1"/>
  <c r="W264" i="1"/>
  <c r="V264" i="1"/>
  <c r="W208" i="1"/>
  <c r="V208" i="1"/>
  <c r="W160" i="1"/>
  <c r="V160" i="1"/>
  <c r="W120" i="1"/>
  <c r="V120" i="1"/>
  <c r="W80" i="1"/>
  <c r="V80" i="1"/>
  <c r="W287" i="1"/>
  <c r="V287" i="1"/>
  <c r="W34" i="1"/>
  <c r="V34" i="1"/>
  <c r="W221" i="1"/>
  <c r="V221" i="1"/>
  <c r="W93" i="1"/>
  <c r="V93" i="1"/>
  <c r="Q6" i="1"/>
  <c r="Q14" i="1"/>
  <c r="Q22" i="1"/>
  <c r="Q30" i="1"/>
  <c r="Q38" i="1"/>
  <c r="Q46" i="1"/>
  <c r="Q54" i="1"/>
  <c r="Q62" i="1"/>
  <c r="Q70" i="1"/>
  <c r="Q78" i="1"/>
  <c r="Q86" i="1"/>
  <c r="Q94" i="1"/>
  <c r="Q102" i="1"/>
  <c r="Q110" i="1"/>
  <c r="Q118" i="1"/>
  <c r="Q126" i="1"/>
  <c r="Q134" i="1"/>
  <c r="Q142" i="1"/>
  <c r="Q150" i="1"/>
  <c r="Q158" i="1"/>
  <c r="Q166" i="1"/>
  <c r="Q174" i="1"/>
  <c r="Q182" i="1"/>
  <c r="Q190" i="1"/>
  <c r="Q198" i="1"/>
  <c r="Q206" i="1"/>
  <c r="Q214" i="1"/>
  <c r="Q222" i="1"/>
  <c r="Q230" i="1"/>
  <c r="Q238" i="1"/>
  <c r="Q246" i="1"/>
  <c r="Q254" i="1"/>
  <c r="Q262" i="1"/>
  <c r="Q270" i="1"/>
  <c r="Q278" i="1"/>
  <c r="Q286" i="1"/>
  <c r="Q294" i="1"/>
  <c r="W45" i="1"/>
  <c r="V45" i="1"/>
  <c r="W37" i="1"/>
  <c r="V37" i="1"/>
  <c r="W29" i="1"/>
  <c r="V29" i="1"/>
  <c r="W21" i="1"/>
  <c r="V21" i="1"/>
  <c r="W13" i="1"/>
  <c r="V13" i="1"/>
  <c r="V272" i="1"/>
  <c r="V230" i="1"/>
  <c r="V102" i="1"/>
  <c r="W296" i="1"/>
  <c r="V296" i="1"/>
  <c r="W184" i="1"/>
  <c r="V184" i="1"/>
  <c r="W136" i="1"/>
  <c r="V136" i="1"/>
  <c r="W72" i="1"/>
  <c r="V72" i="1"/>
  <c r="W138" i="1"/>
  <c r="V138" i="1"/>
  <c r="V47" i="1"/>
  <c r="W47" i="1"/>
  <c r="Q7" i="1"/>
  <c r="Q15" i="1"/>
  <c r="Q23" i="1"/>
  <c r="Q31" i="1"/>
  <c r="Q39" i="1"/>
  <c r="Q47" i="1"/>
  <c r="Q55" i="1"/>
  <c r="Q63" i="1"/>
  <c r="Q71" i="1"/>
  <c r="Q79" i="1"/>
  <c r="Q87" i="1"/>
  <c r="Q95" i="1"/>
  <c r="Q103" i="1"/>
  <c r="Q111" i="1"/>
  <c r="Q119" i="1"/>
  <c r="Q127" i="1"/>
  <c r="Q135" i="1"/>
  <c r="Q143" i="1"/>
  <c r="Q151" i="1"/>
  <c r="Q159" i="1"/>
  <c r="Q167" i="1"/>
  <c r="Q175" i="1"/>
  <c r="Q183" i="1"/>
  <c r="Q191" i="1"/>
  <c r="Q199" i="1"/>
  <c r="Q207" i="1"/>
  <c r="Q215" i="1"/>
  <c r="Q223" i="1"/>
  <c r="Q231" i="1"/>
  <c r="Q239" i="1"/>
  <c r="Q247" i="1"/>
  <c r="Q255" i="1"/>
  <c r="Q263" i="1"/>
  <c r="Q271" i="1"/>
  <c r="Q279" i="1"/>
  <c r="Q287" i="1"/>
  <c r="Q295" i="1"/>
  <c r="V300" i="1"/>
  <c r="W300" i="1"/>
  <c r="V292" i="1"/>
  <c r="W292" i="1"/>
  <c r="V284" i="1"/>
  <c r="W284" i="1"/>
  <c r="V276" i="1"/>
  <c r="W276" i="1"/>
  <c r="V268" i="1"/>
  <c r="W268" i="1"/>
  <c r="V260" i="1"/>
  <c r="W260" i="1"/>
  <c r="V252" i="1"/>
  <c r="W252" i="1"/>
  <c r="V244" i="1"/>
  <c r="W244" i="1"/>
  <c r="V236" i="1"/>
  <c r="W236" i="1"/>
  <c r="V228" i="1"/>
  <c r="W228" i="1"/>
  <c r="V220" i="1"/>
  <c r="W220" i="1"/>
  <c r="V212" i="1"/>
  <c r="W212" i="1"/>
  <c r="V204" i="1"/>
  <c r="W204" i="1"/>
  <c r="V196" i="1"/>
  <c r="W196" i="1"/>
  <c r="V188" i="1"/>
  <c r="W188" i="1"/>
  <c r="V180" i="1"/>
  <c r="W180" i="1"/>
  <c r="V172" i="1"/>
  <c r="W172" i="1"/>
  <c r="V164" i="1"/>
  <c r="W164" i="1"/>
  <c r="V156" i="1"/>
  <c r="W156" i="1"/>
  <c r="V148" i="1"/>
  <c r="W148" i="1"/>
  <c r="V140" i="1"/>
  <c r="W140" i="1"/>
  <c r="V132" i="1"/>
  <c r="W132" i="1"/>
  <c r="V124" i="1"/>
  <c r="W124" i="1"/>
  <c r="V116" i="1"/>
  <c r="W116" i="1"/>
  <c r="V108" i="1"/>
  <c r="W108" i="1"/>
  <c r="V100" i="1"/>
  <c r="W100" i="1"/>
  <c r="V92" i="1"/>
  <c r="W92" i="1"/>
  <c r="V84" i="1"/>
  <c r="W84" i="1"/>
  <c r="V76" i="1"/>
  <c r="W76" i="1"/>
  <c r="V68" i="1"/>
  <c r="W68" i="1"/>
  <c r="V60" i="1"/>
  <c r="W60" i="1"/>
  <c r="V52" i="1"/>
  <c r="W52" i="1"/>
  <c r="V28" i="1"/>
  <c r="W28" i="1"/>
  <c r="V20" i="1"/>
  <c r="W20" i="1"/>
  <c r="V12" i="1"/>
  <c r="W12" i="1"/>
  <c r="V270" i="1"/>
  <c r="V214" i="1"/>
  <c r="V86" i="1"/>
  <c r="W181" i="1"/>
  <c r="W224" i="1"/>
  <c r="V224" i="1"/>
  <c r="W176" i="1"/>
  <c r="V176" i="1"/>
  <c r="W128" i="1"/>
  <c r="V128" i="1"/>
  <c r="W88" i="1"/>
  <c r="V88" i="1"/>
  <c r="V223" i="1"/>
  <c r="W223" i="1"/>
  <c r="V31" i="1"/>
  <c r="W31" i="1"/>
  <c r="W7" i="1"/>
  <c r="Q8" i="1"/>
  <c r="Q16" i="1"/>
  <c r="Q24" i="1"/>
  <c r="Q32" i="1"/>
  <c r="Q40" i="1"/>
  <c r="Q48" i="1"/>
  <c r="Q56" i="1"/>
  <c r="Q64" i="1"/>
  <c r="Q72" i="1"/>
  <c r="Q80" i="1"/>
  <c r="Q88" i="1"/>
  <c r="Q96" i="1"/>
  <c r="Q104" i="1"/>
  <c r="Q112" i="1"/>
  <c r="Q120" i="1"/>
  <c r="Q128" i="1"/>
  <c r="Q136" i="1"/>
  <c r="Q144" i="1"/>
  <c r="Q152" i="1"/>
  <c r="Q160" i="1"/>
  <c r="Q168" i="1"/>
  <c r="Q176" i="1"/>
  <c r="Q184" i="1"/>
  <c r="Q192" i="1"/>
  <c r="Q200" i="1"/>
  <c r="Q208" i="1"/>
  <c r="Q216" i="1"/>
  <c r="Q224" i="1"/>
  <c r="Q232" i="1"/>
  <c r="W299" i="1"/>
  <c r="V299" i="1"/>
  <c r="W275" i="1"/>
  <c r="V275" i="1"/>
  <c r="W267" i="1"/>
  <c r="V267" i="1"/>
  <c r="W243" i="1"/>
  <c r="V243" i="1"/>
  <c r="W235" i="1"/>
  <c r="V235" i="1"/>
  <c r="W227" i="1"/>
  <c r="V227" i="1"/>
  <c r="W219" i="1"/>
  <c r="V219" i="1"/>
  <c r="W211" i="1"/>
  <c r="V211" i="1"/>
  <c r="W203" i="1"/>
  <c r="V203" i="1"/>
  <c r="W195" i="1"/>
  <c r="V195" i="1"/>
  <c r="W187" i="1"/>
  <c r="V187" i="1"/>
  <c r="W179" i="1"/>
  <c r="V179" i="1"/>
  <c r="W171" i="1"/>
  <c r="V171" i="1"/>
  <c r="W163" i="1"/>
  <c r="V163" i="1"/>
  <c r="W155" i="1"/>
  <c r="V155" i="1"/>
  <c r="W147" i="1"/>
  <c r="V147" i="1"/>
  <c r="W139" i="1"/>
  <c r="V139" i="1"/>
  <c r="W131" i="1"/>
  <c r="V131" i="1"/>
  <c r="W123" i="1"/>
  <c r="V123" i="1"/>
  <c r="W115" i="1"/>
  <c r="V115" i="1"/>
  <c r="W107" i="1"/>
  <c r="V107" i="1"/>
  <c r="W99" i="1"/>
  <c r="V99" i="1"/>
  <c r="W91" i="1"/>
  <c r="V91" i="1"/>
  <c r="W83" i="1"/>
  <c r="V83" i="1"/>
  <c r="W75" i="1"/>
  <c r="V75" i="1"/>
  <c r="W67" i="1"/>
  <c r="V67" i="1"/>
  <c r="W59" i="1"/>
  <c r="V59" i="1"/>
  <c r="W51" i="1"/>
  <c r="V51" i="1"/>
  <c r="W43" i="1"/>
  <c r="V43" i="1"/>
  <c r="W35" i="1"/>
  <c r="V35" i="1"/>
  <c r="W19" i="1"/>
  <c r="V19" i="1"/>
  <c r="W11" i="1"/>
  <c r="V11" i="1"/>
  <c r="W3" i="1"/>
  <c r="V3" i="1"/>
  <c r="V46" i="1"/>
  <c r="W46" i="1"/>
  <c r="V4" i="1"/>
  <c r="W4" i="1"/>
  <c r="V262" i="1"/>
  <c r="V198" i="1"/>
  <c r="V69" i="1"/>
  <c r="W232" i="1"/>
  <c r="V232" i="1"/>
  <c r="W192" i="1"/>
  <c r="V192" i="1"/>
  <c r="W144" i="1"/>
  <c r="V144" i="1"/>
  <c r="W96" i="1"/>
  <c r="V96" i="1"/>
  <c r="W266" i="1"/>
  <c r="V266" i="1"/>
  <c r="V159" i="1"/>
  <c r="W159" i="1"/>
  <c r="V39" i="1"/>
  <c r="W39" i="1"/>
  <c r="V240" i="1"/>
  <c r="Q105" i="1"/>
  <c r="Q113" i="1"/>
  <c r="Q121" i="1"/>
  <c r="Q129" i="1"/>
  <c r="Q137" i="1"/>
  <c r="Q145" i="1"/>
  <c r="Q153" i="1"/>
  <c r="Q161" i="1"/>
  <c r="Q169" i="1"/>
  <c r="Q177" i="1"/>
  <c r="Q185" i="1"/>
  <c r="Q193" i="1"/>
  <c r="Q201" i="1"/>
  <c r="Q209" i="1"/>
  <c r="Q217" i="1"/>
  <c r="Q225" i="1"/>
  <c r="Q233" i="1"/>
  <c r="Q241" i="1"/>
  <c r="Q249" i="1"/>
  <c r="Q257" i="1"/>
  <c r="Q265" i="1"/>
  <c r="Q273" i="1"/>
  <c r="Q281" i="1"/>
  <c r="Q289" i="1"/>
  <c r="Q297" i="1"/>
  <c r="U82" i="1"/>
  <c r="U74" i="1"/>
  <c r="U66" i="1"/>
  <c r="U58" i="1"/>
  <c r="U50" i="1"/>
  <c r="U42" i="1"/>
  <c r="U18" i="1"/>
  <c r="U10" i="1"/>
  <c r="V44" i="1"/>
  <c r="W44" i="1"/>
  <c r="V259" i="1"/>
  <c r="V182" i="1"/>
  <c r="V49" i="1"/>
  <c r="W117" i="1"/>
  <c r="W288" i="1"/>
  <c r="V288" i="1"/>
  <c r="W256" i="1"/>
  <c r="V256" i="1"/>
  <c r="W216" i="1"/>
  <c r="V216" i="1"/>
  <c r="W168" i="1"/>
  <c r="V168" i="1"/>
  <c r="W112" i="1"/>
  <c r="V112" i="1"/>
  <c r="W64" i="1"/>
  <c r="V64" i="1"/>
  <c r="W202" i="1"/>
  <c r="V202" i="1"/>
  <c r="V248" i="1"/>
  <c r="V285" i="1"/>
  <c r="W285" i="1"/>
  <c r="Q10" i="1"/>
  <c r="Q18" i="1"/>
  <c r="Q26" i="1"/>
  <c r="Q34" i="1"/>
  <c r="Q42" i="1"/>
  <c r="Q50" i="1"/>
  <c r="Q58" i="1"/>
  <c r="Q66" i="1"/>
  <c r="Q74" i="1"/>
  <c r="Q82" i="1"/>
  <c r="Q90" i="1"/>
  <c r="Q98" i="1"/>
  <c r="Q106" i="1"/>
  <c r="Q114" i="1"/>
  <c r="Q122" i="1"/>
  <c r="Q130" i="1"/>
  <c r="Q138" i="1"/>
  <c r="W297" i="1"/>
  <c r="V297" i="1"/>
  <c r="W289" i="1"/>
  <c r="V289" i="1"/>
  <c r="W281" i="1"/>
  <c r="V281" i="1"/>
  <c r="W273" i="1"/>
  <c r="V273" i="1"/>
  <c r="W265" i="1"/>
  <c r="V265" i="1"/>
  <c r="W257" i="1"/>
  <c r="V257" i="1"/>
  <c r="W249" i="1"/>
  <c r="V249" i="1"/>
  <c r="W241" i="1"/>
  <c r="V241" i="1"/>
  <c r="W233" i="1"/>
  <c r="V233" i="1"/>
  <c r="W225" i="1"/>
  <c r="V225" i="1"/>
  <c r="W217" i="1"/>
  <c r="V217" i="1"/>
  <c r="W209" i="1"/>
  <c r="V209" i="1"/>
  <c r="W201" i="1"/>
  <c r="V201" i="1"/>
  <c r="W193" i="1"/>
  <c r="V193" i="1"/>
  <c r="W185" i="1"/>
  <c r="V185" i="1"/>
  <c r="W177" i="1"/>
  <c r="V177" i="1"/>
  <c r="W169" i="1"/>
  <c r="V169" i="1"/>
  <c r="W161" i="1"/>
  <c r="V161" i="1"/>
  <c r="W153" i="1"/>
  <c r="V153" i="1"/>
  <c r="W145" i="1"/>
  <c r="V145" i="1"/>
  <c r="W137" i="1"/>
  <c r="V137" i="1"/>
  <c r="W129" i="1"/>
  <c r="V129" i="1"/>
  <c r="W121" i="1"/>
  <c r="V121" i="1"/>
  <c r="W113" i="1"/>
  <c r="V113" i="1"/>
  <c r="W105" i="1"/>
  <c r="V105" i="1"/>
  <c r="W97" i="1"/>
  <c r="V97" i="1"/>
  <c r="W89" i="1"/>
  <c r="V89" i="1"/>
  <c r="W81" i="1"/>
  <c r="V81" i="1"/>
  <c r="W73" i="1"/>
  <c r="V73" i="1"/>
  <c r="W65" i="1"/>
  <c r="V65" i="1"/>
  <c r="W57" i="1"/>
  <c r="V57" i="1"/>
  <c r="W41" i="1"/>
  <c r="V41" i="1"/>
  <c r="W33" i="1"/>
  <c r="V33" i="1"/>
  <c r="W25" i="1"/>
  <c r="V25" i="1"/>
  <c r="W17" i="1"/>
  <c r="V17" i="1"/>
  <c r="W9" i="1"/>
  <c r="V9" i="1"/>
  <c r="V36" i="1"/>
  <c r="W36" i="1"/>
  <c r="V294" i="1"/>
  <c r="V251" i="1"/>
  <c r="V166" i="1"/>
  <c r="V27" i="1"/>
  <c r="Q245" i="1"/>
  <c r="Q253" i="1"/>
  <c r="Q261" i="1"/>
  <c r="Q269" i="1"/>
  <c r="Q277" i="1"/>
  <c r="Q285" i="1"/>
  <c r="Q293" i="1"/>
  <c r="Q301" i="1"/>
  <c r="V38" i="1"/>
  <c r="W38" i="1"/>
  <c r="V30" i="1"/>
  <c r="W30" i="1"/>
  <c r="V22" i="1"/>
  <c r="W22" i="1"/>
  <c r="V14" i="1"/>
  <c r="W14" i="1"/>
  <c r="V6" i="1"/>
  <c r="W6" i="1"/>
  <c r="V248" i="6"/>
  <c r="W248" i="6"/>
  <c r="V82" i="6"/>
  <c r="W82" i="6"/>
  <c r="W295" i="6"/>
  <c r="V295" i="6"/>
  <c r="Q240" i="1"/>
  <c r="Q248" i="1"/>
  <c r="Q256" i="1"/>
  <c r="Q264" i="1"/>
  <c r="Q272" i="1"/>
  <c r="Q280" i="1"/>
  <c r="Q288" i="1"/>
  <c r="Q296" i="1"/>
  <c r="V89" i="6"/>
  <c r="Q146" i="1"/>
  <c r="Q154" i="1"/>
  <c r="Q162" i="1"/>
  <c r="Q170" i="1"/>
  <c r="Q178" i="1"/>
  <c r="Q186" i="1"/>
  <c r="Q194" i="1"/>
  <c r="Q202" i="1"/>
  <c r="Q210" i="1"/>
  <c r="Q218" i="1"/>
  <c r="Q226" i="1"/>
  <c r="Q234" i="1"/>
  <c r="Q242" i="1"/>
  <c r="Q250" i="1"/>
  <c r="Q258" i="1"/>
  <c r="Q266" i="1"/>
  <c r="Q274" i="1"/>
  <c r="Q282" i="1"/>
  <c r="Q290" i="1"/>
  <c r="Q298" i="1"/>
  <c r="U48" i="1"/>
  <c r="U40" i="1"/>
  <c r="U32" i="1"/>
  <c r="U24" i="1"/>
  <c r="U16" i="1"/>
  <c r="U8" i="1"/>
  <c r="V130" i="6"/>
  <c r="W130" i="6"/>
  <c r="W65" i="6"/>
  <c r="V165" i="6"/>
  <c r="W165" i="6"/>
  <c r="V43" i="6"/>
  <c r="W179" i="6"/>
  <c r="V14" i="6"/>
  <c r="W14" i="6"/>
  <c r="W44" i="6"/>
  <c r="W294" i="6"/>
  <c r="W15" i="6"/>
  <c r="W48" i="6"/>
  <c r="V48" i="6"/>
  <c r="V181" i="6"/>
  <c r="V164" i="6"/>
  <c r="W218" i="6"/>
  <c r="V70" i="6"/>
  <c r="V287" i="6"/>
  <c r="W163" i="6"/>
  <c r="V163" i="6"/>
  <c r="W277" i="6"/>
  <c r="V211" i="6"/>
  <c r="W211" i="6"/>
  <c r="V234" i="6"/>
  <c r="V158" i="6"/>
  <c r="W158" i="6"/>
  <c r="V142" i="6"/>
  <c r="V86" i="6"/>
  <c r="V253" i="6"/>
  <c r="W187" i="6"/>
  <c r="V187" i="6"/>
  <c r="V286" i="6"/>
  <c r="V245" i="6"/>
  <c r="V280" i="6"/>
  <c r="V103" i="6"/>
  <c r="W131" i="6"/>
  <c r="V101" i="6"/>
  <c r="V117" i="6"/>
  <c r="V115" i="6"/>
  <c r="W269" i="6"/>
  <c r="W190" i="6"/>
  <c r="V121" i="6"/>
  <c r="V205" i="6"/>
  <c r="W205" i="6"/>
  <c r="V189" i="6"/>
  <c r="W281" i="6"/>
  <c r="V233" i="6"/>
  <c r="V90" i="6"/>
  <c r="V104" i="6"/>
  <c r="W219" i="6"/>
  <c r="V148" i="6"/>
  <c r="V25" i="6"/>
  <c r="V228" i="6"/>
  <c r="V93" i="6"/>
  <c r="W198" i="6"/>
  <c r="V147" i="6"/>
  <c r="W109" i="6"/>
  <c r="V75" i="6"/>
  <c r="W75" i="6"/>
  <c r="V33" i="6"/>
  <c r="W36" i="6"/>
  <c r="V36" i="6"/>
  <c r="W282" i="6"/>
  <c r="V282" i="6"/>
  <c r="V151" i="6"/>
  <c r="W151" i="6"/>
  <c r="AA4" i="6"/>
  <c r="AA3" i="6"/>
  <c r="V173" i="6"/>
  <c r="W173" i="6"/>
  <c r="W300" i="6"/>
  <c r="V300" i="6"/>
  <c r="Q2" i="1"/>
  <c r="W24" i="1" l="1"/>
  <c r="V24" i="1"/>
  <c r="W18" i="1"/>
  <c r="V18" i="1"/>
  <c r="W8" i="1"/>
  <c r="V8" i="1"/>
  <c r="W16" i="1"/>
  <c r="V16" i="1"/>
  <c r="W10" i="1"/>
  <c r="V10" i="1"/>
  <c r="W32" i="1"/>
  <c r="V32" i="1"/>
  <c r="W42" i="1"/>
  <c r="V42" i="1"/>
  <c r="W82" i="1"/>
  <c r="V82" i="1"/>
  <c r="W40" i="1"/>
  <c r="V40" i="1"/>
  <c r="W50" i="1"/>
  <c r="V50" i="1"/>
  <c r="AA4" i="1"/>
  <c r="W48" i="1"/>
  <c r="V48" i="1"/>
  <c r="W58" i="1"/>
  <c r="V58" i="1"/>
  <c r="AA3" i="1"/>
  <c r="W66" i="1"/>
  <c r="V66" i="1"/>
  <c r="W74" i="1"/>
  <c r="V74" i="1"/>
</calcChain>
</file>

<file path=xl/sharedStrings.xml><?xml version="1.0" encoding="utf-8"?>
<sst xmlns="http://schemas.openxmlformats.org/spreadsheetml/2006/main" count="5511" uniqueCount="1110">
  <si>
    <t>ID</t>
  </si>
  <si>
    <t>Phone</t>
  </si>
  <si>
    <t>Country</t>
  </si>
  <si>
    <t>Department</t>
  </si>
  <si>
    <t>MonyTransfere</t>
  </si>
  <si>
    <t>Email</t>
  </si>
  <si>
    <t>Salary</t>
  </si>
  <si>
    <t>Syria</t>
  </si>
  <si>
    <t>Full Time</t>
  </si>
  <si>
    <t>Manufacturing</t>
  </si>
  <si>
    <t>Debt Card</t>
  </si>
  <si>
    <t>Contract</t>
  </si>
  <si>
    <t>Hawala</t>
  </si>
  <si>
    <t>Saudi Arabia</t>
  </si>
  <si>
    <t>Half-Time</t>
  </si>
  <si>
    <t>Account Management</t>
  </si>
  <si>
    <t>Total Net</t>
  </si>
  <si>
    <t>Egypt</t>
  </si>
  <si>
    <t>Quality Control</t>
  </si>
  <si>
    <t>Iraq</t>
  </si>
  <si>
    <t>Master Card</t>
  </si>
  <si>
    <t>Max Salary</t>
  </si>
  <si>
    <t>Hourly</t>
  </si>
  <si>
    <t>Western Union</t>
  </si>
  <si>
    <t>Min Salary</t>
  </si>
  <si>
    <t>Marketing</t>
  </si>
  <si>
    <t>IT</t>
  </si>
  <si>
    <t>Product Development</t>
  </si>
  <si>
    <t>Creative</t>
  </si>
  <si>
    <t>Sales</t>
  </si>
  <si>
    <t>Ali</t>
  </si>
  <si>
    <t>Salary Status</t>
  </si>
  <si>
    <t>Count of Emp.</t>
  </si>
  <si>
    <t>012  2910-2426</t>
  </si>
  <si>
    <t>011  2304-6179</t>
  </si>
  <si>
    <t>012  4071-7821</t>
  </si>
  <si>
    <t>010  5618-2492</t>
  </si>
  <si>
    <t>011  7329-6122</t>
  </si>
  <si>
    <t>011  2527-4512</t>
  </si>
  <si>
    <t>012  2640-9521</t>
  </si>
  <si>
    <t>010  8241-1311</t>
  </si>
  <si>
    <t>012  1039-8810</t>
  </si>
  <si>
    <t>010  7467-7662</t>
  </si>
  <si>
    <t>011  8317-7634</t>
  </si>
  <si>
    <t>011  6548-2919</t>
  </si>
  <si>
    <t>010  6241-6559</t>
  </si>
  <si>
    <t>012  0080-0351</t>
  </si>
  <si>
    <t>011  5953-5296</t>
  </si>
  <si>
    <t>010  5319-7669</t>
  </si>
  <si>
    <t>011  2332-0982</t>
  </si>
  <si>
    <t>010  1442-5932</t>
  </si>
  <si>
    <t>011  6732-2351</t>
  </si>
  <si>
    <t>011  8295-8045</t>
  </si>
  <si>
    <t>010  8655-8298</t>
  </si>
  <si>
    <t>010  2145-8500</t>
  </si>
  <si>
    <t>010  3436-0371</t>
  </si>
  <si>
    <t>011  2766-3217</t>
  </si>
  <si>
    <t>012  3389-6143</t>
  </si>
  <si>
    <t>012  8625-1136</t>
  </si>
  <si>
    <t>012  4625-1433</t>
  </si>
  <si>
    <t>012  0257-2928</t>
  </si>
  <si>
    <t>012  4501-4254</t>
  </si>
  <si>
    <t>012  3910-3574</t>
  </si>
  <si>
    <t>011  8626-6402</t>
  </si>
  <si>
    <t>011  9168-5404</t>
  </si>
  <si>
    <t>011  2668-9895</t>
  </si>
  <si>
    <t>010  6953-9820</t>
  </si>
  <si>
    <t>010  4964-9184</t>
  </si>
  <si>
    <t>010  4140-8892</t>
  </si>
  <si>
    <t>010  8208-5862</t>
  </si>
  <si>
    <t>011  7361-0501</t>
  </si>
  <si>
    <t>011  1741-5520</t>
  </si>
  <si>
    <t>010  3478-7173</t>
  </si>
  <si>
    <t>011  0193-2313</t>
  </si>
  <si>
    <t>010  4618-3103</t>
  </si>
  <si>
    <t>011  2489-3299</t>
  </si>
  <si>
    <t>010  1138-0035</t>
  </si>
  <si>
    <t>010  2588-7176</t>
  </si>
  <si>
    <t>011  9617-0308</t>
  </si>
  <si>
    <t>010  2952-2470</t>
  </si>
  <si>
    <t>012  4800-6218</t>
  </si>
  <si>
    <t>012  5827-0039</t>
  </si>
  <si>
    <t>010  6343-6964</t>
  </si>
  <si>
    <t>011  7467-7667</t>
  </si>
  <si>
    <t>011  8317-7630</t>
  </si>
  <si>
    <t>011  6548-2913</t>
  </si>
  <si>
    <t>012  6241-6555</t>
  </si>
  <si>
    <t>012  0080-0358</t>
  </si>
  <si>
    <t>011  5953-5298</t>
  </si>
  <si>
    <t>011  5319-7666</t>
  </si>
  <si>
    <t>012  2332-0986</t>
  </si>
  <si>
    <t>012  1442-5931</t>
  </si>
  <si>
    <t>010  6732-2354</t>
  </si>
  <si>
    <t>012  8295-8040</t>
  </si>
  <si>
    <t>010  8655-8296</t>
  </si>
  <si>
    <t>Dima</t>
  </si>
  <si>
    <t>Ruba</t>
  </si>
  <si>
    <t>Ibrahim</t>
  </si>
  <si>
    <t>Sarah</t>
  </si>
  <si>
    <t>Female</t>
  </si>
  <si>
    <t>Male</t>
  </si>
  <si>
    <t>Qbany</t>
  </si>
  <si>
    <t>Ahmad</t>
  </si>
  <si>
    <t>Muhamad</t>
  </si>
  <si>
    <t>Zueitr</t>
  </si>
  <si>
    <t>Iin</t>
  </si>
  <si>
    <t>Alhalaliu</t>
  </si>
  <si>
    <t>Alaya</t>
  </si>
  <si>
    <t>Susin</t>
  </si>
  <si>
    <t>Almilat</t>
  </si>
  <si>
    <t>Alrifaei</t>
  </si>
  <si>
    <t>Alqadah</t>
  </si>
  <si>
    <t>Iad</t>
  </si>
  <si>
    <t>Razaan</t>
  </si>
  <si>
    <t>Nasif</t>
  </si>
  <si>
    <t>Iilian</t>
  </si>
  <si>
    <t>Dbs</t>
  </si>
  <si>
    <t>Bayan</t>
  </si>
  <si>
    <t>Alaa</t>
  </si>
  <si>
    <t>Sandra</t>
  </si>
  <si>
    <t>Farahad</t>
  </si>
  <si>
    <t>Husayn</t>
  </si>
  <si>
    <t>Ahed</t>
  </si>
  <si>
    <t>Salim</t>
  </si>
  <si>
    <t>Ayham</t>
  </si>
  <si>
    <t>Tutwnji</t>
  </si>
  <si>
    <t>Samir</t>
  </si>
  <si>
    <t>Alsafdi</t>
  </si>
  <si>
    <t>Bilal</t>
  </si>
  <si>
    <t>Jalal</t>
  </si>
  <si>
    <t>Riad</t>
  </si>
  <si>
    <t>Sahalul</t>
  </si>
  <si>
    <t>Altarah</t>
  </si>
  <si>
    <t>Lwna</t>
  </si>
  <si>
    <t>Abu</t>
  </si>
  <si>
    <t>Almuluhi</t>
  </si>
  <si>
    <t>Rana</t>
  </si>
  <si>
    <t>Mius</t>
  </si>
  <si>
    <t>Lina</t>
  </si>
  <si>
    <t>Aljabaan</t>
  </si>
  <si>
    <t>Rami</t>
  </si>
  <si>
    <t>Shanan</t>
  </si>
  <si>
    <t>Eala</t>
  </si>
  <si>
    <t>Alhaj</t>
  </si>
  <si>
    <t>Ghalib</t>
  </si>
  <si>
    <t>Zakianiin</t>
  </si>
  <si>
    <t>Eurul</t>
  </si>
  <si>
    <t>Eizat</t>
  </si>
  <si>
    <t>Ghanim</t>
  </si>
  <si>
    <t>Swyd</t>
  </si>
  <si>
    <t>Aleass</t>
  </si>
  <si>
    <t>Rima</t>
  </si>
  <si>
    <t>AlAsfar</t>
  </si>
  <si>
    <t>Zayn</t>
  </si>
  <si>
    <t>Hazim</t>
  </si>
  <si>
    <t>Alshshatim</t>
  </si>
  <si>
    <t>Dia</t>
  </si>
  <si>
    <t>Alshahf</t>
  </si>
  <si>
    <t>Almusaa</t>
  </si>
  <si>
    <t>Abd Allatif</t>
  </si>
  <si>
    <t>Mabrukh</t>
  </si>
  <si>
    <t>Abumaeun</t>
  </si>
  <si>
    <t>Rafat</t>
  </si>
  <si>
    <t>Hamza</t>
  </si>
  <si>
    <t>Laylana</t>
  </si>
  <si>
    <t>Lobnaa</t>
  </si>
  <si>
    <t>Khalifih</t>
  </si>
  <si>
    <t>Sami</t>
  </si>
  <si>
    <t>Alkhujih</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</si>
  <si>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</si>
  <si>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</si>
  <si>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</si>
  <si>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</si>
  <si>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</si>
  <si>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</si>
  <si>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</si>
  <si>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</si>
  <si>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</si>
  <si>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</si>
  <si>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</si>
  <si>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</si>
  <si>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</si>
  <si>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</si>
  <si>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</si>
  <si>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</si>
  <si>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</si>
  <si>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</si>
  <si>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</si>
  <si>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</si>
  <si>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</si>
  <si>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</si>
  <si>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</si>
  <si>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</si>
  <si>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</si>
  <si>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First Name</t>
  </si>
  <si>
    <t>Last Name</t>
  </si>
  <si>
    <t>Gender</t>
  </si>
  <si>
    <t xml:space="preserve">    Ghadir</t>
  </si>
  <si>
    <t xml:space="preserve">    Ailya</t>
  </si>
  <si>
    <t xml:space="preserve">       Lwiy</t>
  </si>
  <si>
    <t xml:space="preserve">     Ahmad</t>
  </si>
  <si>
    <t>AhmeD</t>
  </si>
  <si>
    <t xml:space="preserve">OmAr    </t>
  </si>
  <si>
    <t>ShaRaf</t>
  </si>
  <si>
    <t>Tax 10%</t>
  </si>
  <si>
    <t>g.ahmed@email.com</t>
  </si>
  <si>
    <t>o.hishan@email.com</t>
  </si>
  <si>
    <t>a.sharaf@email.com</t>
  </si>
  <si>
    <t>l.qbany@email.com</t>
  </si>
  <si>
    <t>a.bikri@email.com</t>
  </si>
  <si>
    <t>m.zueitr@email.com</t>
  </si>
  <si>
    <t>i.alhalaliu@email.com</t>
  </si>
  <si>
    <t>m.alaya@email.com</t>
  </si>
  <si>
    <t>s.almilat@email.com</t>
  </si>
  <si>
    <t>m.alrifaei@email.com</t>
  </si>
  <si>
    <t>m.alqadah@email.com</t>
  </si>
  <si>
    <t>m.iad@email.com</t>
  </si>
  <si>
    <t>r.nasif@email.com</t>
  </si>
  <si>
    <t>i.dbs@email.com</t>
  </si>
  <si>
    <t>b.qdw@email.com</t>
  </si>
  <si>
    <t>a.muhamad@email.com</t>
  </si>
  <si>
    <t>f.husayn@email.com</t>
  </si>
  <si>
    <t>a.salim@email.com</t>
  </si>
  <si>
    <t>a.tutwnji@email.com</t>
  </si>
  <si>
    <t>s.alsafdi@email.com</t>
  </si>
  <si>
    <t>b.jalal@email.com</t>
  </si>
  <si>
    <t>r.sahalul@email.com</t>
  </si>
  <si>
    <t>a.ahmad@email.com</t>
  </si>
  <si>
    <t>m.altarah@email.com</t>
  </si>
  <si>
    <t>l.abu@email.com</t>
  </si>
  <si>
    <t>j.almuluhi@email.com</t>
  </si>
  <si>
    <t>r.mius@email.com</t>
  </si>
  <si>
    <t>l.aljabaan@email.com</t>
  </si>
  <si>
    <t>r.shanan@email.com</t>
  </si>
  <si>
    <t>e.alhaj@email.com</t>
  </si>
  <si>
    <t>g.zakianiin@email.com</t>
  </si>
  <si>
    <t>m.eurul@email.com</t>
  </si>
  <si>
    <t>e.ghanim@email.com</t>
  </si>
  <si>
    <t>a.swyd@email.com</t>
  </si>
  <si>
    <t>m.aleass@email.com</t>
  </si>
  <si>
    <t>r.alasfar@email.com</t>
  </si>
  <si>
    <t>h.alshshatim@email.com</t>
  </si>
  <si>
    <t>d.alshahf@email.com</t>
  </si>
  <si>
    <t>a.almusaa@email.com</t>
  </si>
  <si>
    <t>a.mabrukh@email.com</t>
  </si>
  <si>
    <t>s.abumaeun@email.com</t>
  </si>
  <si>
    <t>r.hamza@email.com</t>
  </si>
  <si>
    <t>a.laylana@email.com</t>
  </si>
  <si>
    <t>l.khalifih@email.com</t>
  </si>
  <si>
    <t>s.alkhujih@email.com</t>
  </si>
  <si>
    <t>s.alealbi@email.com</t>
  </si>
  <si>
    <t>r.almusaa@email.com</t>
  </si>
  <si>
    <t>g.aleasimii@email.com</t>
  </si>
  <si>
    <t>a.eubayd@email.com</t>
  </si>
  <si>
    <t>f.karim@email.com</t>
  </si>
  <si>
    <t>s.salayk@email.com</t>
  </si>
  <si>
    <t>e.alttahir@email.com</t>
  </si>
  <si>
    <t>a.alzzahir@email.com</t>
  </si>
  <si>
    <t>m.ashbrh@email.com</t>
  </si>
  <si>
    <t>a.dahadal@email.com</t>
  </si>
  <si>
    <t>t.tuish@email.com</t>
  </si>
  <si>
    <t>m.qarh@email.com</t>
  </si>
  <si>
    <t>e.almisri@email.com</t>
  </si>
  <si>
    <t>m.alzaybq@email.com</t>
  </si>
  <si>
    <t>Engineering</t>
  </si>
  <si>
    <t>Experience Year</t>
  </si>
  <si>
    <t>=</t>
  </si>
  <si>
    <t>Full Name</t>
  </si>
  <si>
    <t xml:space="preserve">       bikri</t>
  </si>
  <si>
    <t>mohamed</t>
  </si>
  <si>
    <t xml:space="preserve">   mostafa</t>
  </si>
  <si>
    <t>Hire Day</t>
  </si>
  <si>
    <t>Hire Month</t>
  </si>
  <si>
    <t>Hire Year</t>
  </si>
  <si>
    <t>Atef</t>
  </si>
  <si>
    <t>z.atef@email.com</t>
  </si>
  <si>
    <t>Alkhatib</t>
  </si>
  <si>
    <t>Salah</t>
  </si>
  <si>
    <t>Rajab</t>
  </si>
  <si>
    <t>Ghadir</t>
  </si>
  <si>
    <t>Hmshw</t>
  </si>
  <si>
    <t>Ailya</t>
  </si>
  <si>
    <t>Sharaf</t>
  </si>
  <si>
    <t>Bikri</t>
  </si>
  <si>
    <t>Hamdah</t>
  </si>
  <si>
    <t>Alkhalifa</t>
  </si>
  <si>
    <t>Ramadan</t>
  </si>
  <si>
    <t>Amira</t>
  </si>
  <si>
    <t>Akrym</t>
  </si>
  <si>
    <t>Samah</t>
  </si>
  <si>
    <t>Almaydanii</t>
  </si>
  <si>
    <t>Alhamid</t>
  </si>
  <si>
    <t>Zaydun</t>
  </si>
  <si>
    <t>Jabir</t>
  </si>
  <si>
    <t>Ruyda</t>
  </si>
  <si>
    <t>Alhamadii</t>
  </si>
  <si>
    <t>Karam</t>
  </si>
  <si>
    <t>Kiali</t>
  </si>
  <si>
    <t>Iilyas</t>
  </si>
  <si>
    <t>Qisi</t>
  </si>
  <si>
    <t>Dahbur</t>
  </si>
  <si>
    <t>Khalil</t>
  </si>
  <si>
    <t>Alzaebii</t>
  </si>
  <si>
    <t>Rahaf</t>
  </si>
  <si>
    <t>Alaleppoy</t>
  </si>
  <si>
    <t>Isam</t>
  </si>
  <si>
    <t>Jadid</t>
  </si>
  <si>
    <t>Rybal</t>
  </si>
  <si>
    <t>Sabagh</t>
  </si>
  <si>
    <t>Ihsan</t>
  </si>
  <si>
    <t>Eazu</t>
  </si>
  <si>
    <t>Abdalrahmin</t>
  </si>
  <si>
    <t>Turkmany</t>
  </si>
  <si>
    <t>Lama</t>
  </si>
  <si>
    <t>Sabiq</t>
  </si>
  <si>
    <t>Shaykh</t>
  </si>
  <si>
    <t>Khaldun</t>
  </si>
  <si>
    <t>Suqbani</t>
  </si>
  <si>
    <t>Kawkab</t>
  </si>
  <si>
    <t>Qarqazan</t>
  </si>
  <si>
    <t>Alsaeid</t>
  </si>
  <si>
    <t>Amir</t>
  </si>
  <si>
    <t>Alhifar</t>
  </si>
  <si>
    <t>Amjad</t>
  </si>
  <si>
    <t>Alrz</t>
  </si>
  <si>
    <t>Daniah</t>
  </si>
  <si>
    <t>Alhariri</t>
  </si>
  <si>
    <t>Sana</t>
  </si>
  <si>
    <t>Alhusayn</t>
  </si>
  <si>
    <t>Alqasir</t>
  </si>
  <si>
    <t>Abd Alruhmin</t>
  </si>
  <si>
    <t>Salih</t>
  </si>
  <si>
    <t>Alhumwi</t>
  </si>
  <si>
    <t>Saed</t>
  </si>
  <si>
    <t>Safa</t>
  </si>
  <si>
    <t>AlAhmar</t>
  </si>
  <si>
    <t>Afra</t>
  </si>
  <si>
    <t>Sharabi</t>
  </si>
  <si>
    <t>Rawan</t>
  </si>
  <si>
    <t>Durkzili</t>
  </si>
  <si>
    <t>Dijwar</t>
  </si>
  <si>
    <t>Husu</t>
  </si>
  <si>
    <t>Asama</t>
  </si>
  <si>
    <t>Eilwan</t>
  </si>
  <si>
    <t>Zyny</t>
  </si>
  <si>
    <t>Iidlibi</t>
  </si>
  <si>
    <t>Zynu</t>
  </si>
  <si>
    <t>Eijluni</t>
  </si>
  <si>
    <t>Marwan</t>
  </si>
  <si>
    <t>Sayban</t>
  </si>
  <si>
    <t>Musur</t>
  </si>
  <si>
    <t>Alnuwri</t>
  </si>
  <si>
    <t>Shakir</t>
  </si>
  <si>
    <t>Kharbutli</t>
  </si>
  <si>
    <t>Sahar</t>
  </si>
  <si>
    <t>Jaridiun</t>
  </si>
  <si>
    <t>Abdalrhim</t>
  </si>
  <si>
    <t>Eimaruh</t>
  </si>
  <si>
    <t>Baha Aldiyn</t>
  </si>
  <si>
    <t>Marzuq</t>
  </si>
  <si>
    <t>Hamj</t>
  </si>
  <si>
    <t>Bradey</t>
  </si>
  <si>
    <t>Bakr</t>
  </si>
  <si>
    <t>Eubdallah</t>
  </si>
  <si>
    <t>Alnajar</t>
  </si>
  <si>
    <t>Raghid</t>
  </si>
  <si>
    <t>Hutayniun</t>
  </si>
  <si>
    <t>Khalid</t>
  </si>
  <si>
    <t>Siriul</t>
  </si>
  <si>
    <t>Bashshar</t>
  </si>
  <si>
    <t>Mareiun</t>
  </si>
  <si>
    <t>Akram</t>
  </si>
  <si>
    <t>Alhulwanii</t>
  </si>
  <si>
    <t>Alhasan</t>
  </si>
  <si>
    <t>Abdallah</t>
  </si>
  <si>
    <t>Zakariaa</t>
  </si>
  <si>
    <t>Aywbi</t>
  </si>
  <si>
    <t>Madlin</t>
  </si>
  <si>
    <t>Alsaed</t>
  </si>
  <si>
    <t>Adnan</t>
  </si>
  <si>
    <t>Aleaqla</t>
  </si>
  <si>
    <t>Haydar</t>
  </si>
  <si>
    <t>Abdalkarim</t>
  </si>
  <si>
    <t>Shueayb</t>
  </si>
  <si>
    <t>Dahman</t>
  </si>
  <si>
    <t>Zaynab</t>
  </si>
  <si>
    <t>Eirat</t>
  </si>
  <si>
    <t>Badran</t>
  </si>
  <si>
    <t>Zahir</t>
  </si>
  <si>
    <t>Aleitar</t>
  </si>
  <si>
    <t>Hamzaa</t>
  </si>
  <si>
    <t>Astitih</t>
  </si>
  <si>
    <t>Omar</t>
  </si>
  <si>
    <t>Shawqi</t>
  </si>
  <si>
    <t>Zaqzuq</t>
  </si>
  <si>
    <t>Yasmin</t>
  </si>
  <si>
    <t>Eamir</t>
  </si>
  <si>
    <t>Muayid</t>
  </si>
  <si>
    <t>Siedih</t>
  </si>
  <si>
    <t>Qisam</t>
  </si>
  <si>
    <t>Hind</t>
  </si>
  <si>
    <t>Almueasaeas</t>
  </si>
  <si>
    <t>Ghassan</t>
  </si>
  <si>
    <t>Aljamal</t>
  </si>
  <si>
    <t>Kahulus</t>
  </si>
  <si>
    <t>Alysia</t>
  </si>
  <si>
    <t>Alyaghshiu</t>
  </si>
  <si>
    <t>Zayd</t>
  </si>
  <si>
    <t>Darin</t>
  </si>
  <si>
    <t>Ghunum</t>
  </si>
  <si>
    <t>Tariq</t>
  </si>
  <si>
    <t>Bryghl</t>
  </si>
  <si>
    <t>Abu Adhan</t>
  </si>
  <si>
    <t>Ehab</t>
  </si>
  <si>
    <t>Alkhibaz</t>
  </si>
  <si>
    <t>Rym</t>
  </si>
  <si>
    <t>Alsydawi</t>
  </si>
  <si>
    <t>Almunzilijiu</t>
  </si>
  <si>
    <t>Milatu</t>
  </si>
  <si>
    <t>Zunar</t>
  </si>
  <si>
    <t>Eali</t>
  </si>
  <si>
    <t>Ghazal</t>
  </si>
  <si>
    <t>Hisan</t>
  </si>
  <si>
    <t>Majd</t>
  </si>
  <si>
    <t>Yasin</t>
  </si>
  <si>
    <t>Muwmin</t>
  </si>
  <si>
    <t>Ewad</t>
  </si>
  <si>
    <t>Samiah</t>
  </si>
  <si>
    <t>Alsaedi</t>
  </si>
  <si>
    <t>Bisam</t>
  </si>
  <si>
    <t>Alnasar</t>
  </si>
  <si>
    <t>Dwalyby</t>
  </si>
  <si>
    <t>Rashad</t>
  </si>
  <si>
    <t>Iidris</t>
  </si>
  <si>
    <t>Fuad</t>
  </si>
  <si>
    <t>Alsyqly</t>
  </si>
  <si>
    <t>Alyasin</t>
  </si>
  <si>
    <t>Mulaliyun</t>
  </si>
  <si>
    <t>Khadijah</t>
  </si>
  <si>
    <t>Abu Taqih</t>
  </si>
  <si>
    <t>Sandurana</t>
  </si>
  <si>
    <t>Antun</t>
  </si>
  <si>
    <t>Alkinaya</t>
  </si>
  <si>
    <t>Qareush</t>
  </si>
  <si>
    <t>Kholoud</t>
  </si>
  <si>
    <t>Khayti</t>
  </si>
  <si>
    <t>Kinda</t>
  </si>
  <si>
    <t>Alaqre</t>
  </si>
  <si>
    <t>Eurman</t>
  </si>
  <si>
    <t>Abdalhadi</t>
  </si>
  <si>
    <t>Altahhan</t>
  </si>
  <si>
    <t>Fadi</t>
  </si>
  <si>
    <t>Shakur</t>
  </si>
  <si>
    <t>Anas</t>
  </si>
  <si>
    <t>Eabidin</t>
  </si>
  <si>
    <t>Asma</t>
  </si>
  <si>
    <t>Sadqawi</t>
  </si>
  <si>
    <t>Altaynawi</t>
  </si>
  <si>
    <t>Lbyb</t>
  </si>
  <si>
    <t>Fahd</t>
  </si>
  <si>
    <t>Aleabd</t>
  </si>
  <si>
    <t>Allaham</t>
  </si>
  <si>
    <t>Emar</t>
  </si>
  <si>
    <t>Eisaf</t>
  </si>
  <si>
    <t>Sabah</t>
  </si>
  <si>
    <t>Qadish</t>
  </si>
  <si>
    <t>Asra</t>
  </si>
  <si>
    <t>Zaki</t>
  </si>
  <si>
    <t>Zarie</t>
  </si>
  <si>
    <t>Einziin</t>
  </si>
  <si>
    <t>Abdaleziz</t>
  </si>
  <si>
    <t>Eiwad</t>
  </si>
  <si>
    <t>Alia</t>
  </si>
  <si>
    <t>Maseud</t>
  </si>
  <si>
    <t>Sultan</t>
  </si>
  <si>
    <t>Taysir</t>
  </si>
  <si>
    <t>Sharfah</t>
  </si>
  <si>
    <t>Thayir</t>
  </si>
  <si>
    <t>Hamuwda</t>
  </si>
  <si>
    <t>Lilas</t>
  </si>
  <si>
    <t>Nafae</t>
  </si>
  <si>
    <t>Kashik</t>
  </si>
  <si>
    <t>Abd Allah</t>
  </si>
  <si>
    <t>Aldahan</t>
  </si>
  <si>
    <t>Alkhawam</t>
  </si>
  <si>
    <t>Oqba</t>
  </si>
  <si>
    <t>Alqintar</t>
  </si>
  <si>
    <t>Salah Aldiyn</t>
  </si>
  <si>
    <t>Altibae</t>
  </si>
  <si>
    <t>Eynas</t>
  </si>
  <si>
    <t>Aljabaei</t>
  </si>
  <si>
    <t>Abdalrhmin</t>
  </si>
  <si>
    <t>Shwk</t>
  </si>
  <si>
    <t>Hamuwdatan</t>
  </si>
  <si>
    <t>Almiqdad</t>
  </si>
  <si>
    <t>Alsyd Ahmad</t>
  </si>
  <si>
    <t>Aldhiyab</t>
  </si>
  <si>
    <t>Almujahid</t>
  </si>
  <si>
    <t>Hawria</t>
  </si>
  <si>
    <t>Iman</t>
  </si>
  <si>
    <t>Ghrz Aldiyn</t>
  </si>
  <si>
    <t>Sari</t>
  </si>
  <si>
    <t>Hanna</t>
  </si>
  <si>
    <t>Alkalu</t>
  </si>
  <si>
    <t>Alkhayrat</t>
  </si>
  <si>
    <t>Darar</t>
  </si>
  <si>
    <t>Alshiyraziu</t>
  </si>
  <si>
    <t>Fayaruz</t>
  </si>
  <si>
    <t>Sabih</t>
  </si>
  <si>
    <t>Efan</t>
  </si>
  <si>
    <t>Mia</t>
  </si>
  <si>
    <t>Abdalmjid</t>
  </si>
  <si>
    <t>Zakarian</t>
  </si>
  <si>
    <t>Rashwani</t>
  </si>
  <si>
    <t>Saeid</t>
  </si>
  <si>
    <t>Majdy</t>
  </si>
  <si>
    <t>Rafaea</t>
  </si>
  <si>
    <t>Majdulyn</t>
  </si>
  <si>
    <t>Alhakim</t>
  </si>
  <si>
    <t>Zarzur</t>
  </si>
  <si>
    <t>Fatin</t>
  </si>
  <si>
    <t>Red</t>
  </si>
  <si>
    <t>Ezqul</t>
  </si>
  <si>
    <t>Sayf Aldiyn</t>
  </si>
  <si>
    <t>Alkmshh</t>
  </si>
  <si>
    <t>Sharihan</t>
  </si>
  <si>
    <t>Rihan</t>
  </si>
  <si>
    <t>Alshalaq</t>
  </si>
  <si>
    <t>Rannym</t>
  </si>
  <si>
    <t>Tyru</t>
  </si>
  <si>
    <t>Abuhamd</t>
  </si>
  <si>
    <t>Diea</t>
  </si>
  <si>
    <t>Sharina</t>
  </si>
  <si>
    <t>Jablah</t>
  </si>
  <si>
    <t>Alsulayman</t>
  </si>
  <si>
    <t>Lylas</t>
  </si>
  <si>
    <t>Shiah</t>
  </si>
  <si>
    <t>Hamuwd</t>
  </si>
  <si>
    <t>Imran</t>
  </si>
  <si>
    <t>Hazruma</t>
  </si>
  <si>
    <t>Alhaj Ali</t>
  </si>
  <si>
    <t>Husam</t>
  </si>
  <si>
    <t>Aldubus</t>
  </si>
  <si>
    <t>Alhijar</t>
  </si>
  <si>
    <t>Anwar</t>
  </si>
  <si>
    <t>Alkhayran</t>
  </si>
  <si>
    <t>Rwad</t>
  </si>
  <si>
    <t>Alddahir</t>
  </si>
  <si>
    <t>Jury</t>
  </si>
  <si>
    <t>Eabuwd</t>
  </si>
  <si>
    <t>Bitahish</t>
  </si>
  <si>
    <t>Murad</t>
  </si>
  <si>
    <t>Qays</t>
  </si>
  <si>
    <t>Dahna</t>
  </si>
  <si>
    <t>Omaimah</t>
  </si>
  <si>
    <t>Tqi Aldiyn</t>
  </si>
  <si>
    <t>Ismaeil</t>
  </si>
  <si>
    <t>Jdwe</t>
  </si>
  <si>
    <t>Wayly</t>
  </si>
  <si>
    <t>Alsiraj</t>
  </si>
  <si>
    <t>Lawy</t>
  </si>
  <si>
    <t>Nadaf</t>
  </si>
  <si>
    <t>Tamadur</t>
  </si>
  <si>
    <t>Barghuth</t>
  </si>
  <si>
    <t>Jazar</t>
  </si>
  <si>
    <t>Baha</t>
  </si>
  <si>
    <t>Eusqul</t>
  </si>
  <si>
    <t>Razan</t>
  </si>
  <si>
    <t>Iybw</t>
  </si>
  <si>
    <t>Jamil</t>
  </si>
  <si>
    <t>Ghabur</t>
  </si>
  <si>
    <t>Basil</t>
  </si>
  <si>
    <t>Abdalbasit</t>
  </si>
  <si>
    <t>Aljazayiriu</t>
  </si>
  <si>
    <t>Fawaz</t>
  </si>
  <si>
    <t>Dakhal</t>
  </si>
  <si>
    <t>Emad</t>
  </si>
  <si>
    <t>Dulul</t>
  </si>
  <si>
    <t>Asym</t>
  </si>
  <si>
    <t>Aleaqqad</t>
  </si>
  <si>
    <t>Ayat</t>
  </si>
  <si>
    <t>Byd</t>
  </si>
  <si>
    <t>Ahmid</t>
  </si>
  <si>
    <t>Alqadri</t>
  </si>
  <si>
    <t>Danah</t>
  </si>
  <si>
    <t>Suirkili</t>
  </si>
  <si>
    <t>Mazin</t>
  </si>
  <si>
    <t>Bihtiti</t>
  </si>
  <si>
    <t>Barghaly</t>
  </si>
  <si>
    <t>Alshaykh</t>
  </si>
  <si>
    <t>Huquq</t>
  </si>
  <si>
    <t>Alqatish</t>
  </si>
  <si>
    <t>Fatir</t>
  </si>
  <si>
    <t>Alealiu</t>
  </si>
  <si>
    <t>Rasha</t>
  </si>
  <si>
    <t>Darbika</t>
  </si>
  <si>
    <t>Hanan</t>
  </si>
  <si>
    <t>Salahi</t>
  </si>
  <si>
    <t>Aldhahabi</t>
  </si>
  <si>
    <t>Drwysh</t>
  </si>
  <si>
    <t>Filyun</t>
  </si>
  <si>
    <t>Alshahadat</t>
  </si>
  <si>
    <t>Ayly</t>
  </si>
  <si>
    <t>Bahriin</t>
  </si>
  <si>
    <t>Alqadi</t>
  </si>
  <si>
    <t>Asd</t>
  </si>
  <si>
    <t>Bwfaeur</t>
  </si>
  <si>
    <t>Alyida</t>
  </si>
  <si>
    <t>Nieamah</t>
  </si>
  <si>
    <t>Nhl</t>
  </si>
  <si>
    <t>Hasan</t>
  </si>
  <si>
    <t>Iismaeil</t>
  </si>
  <si>
    <t>Emam</t>
  </si>
  <si>
    <t>Mansur</t>
  </si>
  <si>
    <t>Zawal</t>
  </si>
  <si>
    <t>Almala</t>
  </si>
  <si>
    <t>Esamat</t>
  </si>
  <si>
    <t>Alriys</t>
  </si>
  <si>
    <t>Maria</t>
  </si>
  <si>
    <t>Alhizae</t>
  </si>
  <si>
    <t>Qadimati</t>
  </si>
  <si>
    <t>011  6987-2784</t>
  </si>
  <si>
    <t>011  3511-1589</t>
  </si>
  <si>
    <t>010  4688-8466</t>
  </si>
  <si>
    <t>011  8428-3949</t>
  </si>
  <si>
    <t>011  7474-1200</t>
  </si>
  <si>
    <t>010  4497-5883</t>
  </si>
  <si>
    <t>012  3524-3161</t>
  </si>
  <si>
    <t>012  6831-6580</t>
  </si>
  <si>
    <t>011  8080-1211</t>
  </si>
  <si>
    <t>011  5796-6726</t>
  </si>
  <si>
    <t>010  3471-2814</t>
  </si>
  <si>
    <t>012  5491-6955</t>
  </si>
  <si>
    <t>012  9118-4107</t>
  </si>
  <si>
    <t>010  6763-9649</t>
  </si>
  <si>
    <t>012  3935-3123</t>
  </si>
  <si>
    <t>010  7962-9017</t>
  </si>
  <si>
    <t>010  4824-6123</t>
  </si>
  <si>
    <t>011  8935-1772</t>
  </si>
  <si>
    <t>011  7933-3977</t>
  </si>
  <si>
    <t>011  4434-4138</t>
  </si>
  <si>
    <t>011  8496-7687</t>
  </si>
  <si>
    <t>012  7210-8768</t>
  </si>
  <si>
    <t>010  5141-8325</t>
  </si>
  <si>
    <t>011  6312-9808</t>
  </si>
  <si>
    <t>010  4252-8729</t>
  </si>
  <si>
    <t>011  5230-3355</t>
  </si>
  <si>
    <t>011  5806-8087</t>
  </si>
  <si>
    <t>011  7532-2588</t>
  </si>
  <si>
    <t>012  3200-6218</t>
  </si>
  <si>
    <t>011  5955-3175</t>
  </si>
  <si>
    <t>010  6074-6101</t>
  </si>
  <si>
    <t>010  4522-3037</t>
  </si>
  <si>
    <t>011  8620-7920</t>
  </si>
  <si>
    <t>011  8887-9513</t>
  </si>
  <si>
    <t>011  5535-8485</t>
  </si>
  <si>
    <t>012  6048-9135</t>
  </si>
  <si>
    <t>010  6341-2062</t>
  </si>
  <si>
    <t>012  8875-3528</t>
  </si>
  <si>
    <t>010  7408-8451</t>
  </si>
  <si>
    <t>011  5377-6417</t>
  </si>
  <si>
    <t>010  8556-8480</t>
  </si>
  <si>
    <t>012  6707-5871</t>
  </si>
  <si>
    <t>012  6770-4372</t>
  </si>
  <si>
    <t>012  4644-7781</t>
  </si>
  <si>
    <t>010  7643-7964</t>
  </si>
  <si>
    <t>011  4477-1264</t>
  </si>
  <si>
    <t>011  4108-2581</t>
  </si>
  <si>
    <t>012  8947-6396</t>
  </si>
  <si>
    <t>012  7025-4019</t>
  </si>
  <si>
    <t>011  6947-8107</t>
  </si>
  <si>
    <t>010  7791-8954</t>
  </si>
  <si>
    <t>012  9175-7619</t>
  </si>
  <si>
    <t>010  6501-9681</t>
  </si>
  <si>
    <t>010  4297-2383</t>
  </si>
  <si>
    <t>010  6365-4222</t>
  </si>
  <si>
    <t>012  8995-3131</t>
  </si>
  <si>
    <t>011  4083-9738</t>
  </si>
  <si>
    <t>010  4217-2318</t>
  </si>
  <si>
    <t>011  6371-8373</t>
  </si>
  <si>
    <t>011  6895-5407</t>
  </si>
  <si>
    <t>012  9091-1270</t>
  </si>
  <si>
    <t>011  5166-2931</t>
  </si>
  <si>
    <t>012  4733-7899</t>
  </si>
  <si>
    <t>010  6210-7094</t>
  </si>
  <si>
    <t>010  6193-3004</t>
  </si>
  <si>
    <t>010  9048-4281</t>
  </si>
  <si>
    <t>011  7450-5741</t>
  </si>
  <si>
    <t>011  7018-6351</t>
  </si>
  <si>
    <t>010  7440-7736</t>
  </si>
  <si>
    <t>011  5215-7179</t>
  </si>
  <si>
    <t>011  4814-4047</t>
  </si>
  <si>
    <t>011  5017-9759</t>
  </si>
  <si>
    <t>011  6086-3552</t>
  </si>
  <si>
    <t>012  6254-7335</t>
  </si>
  <si>
    <t>011  5729-6583</t>
  </si>
  <si>
    <t>011  5990-9346</t>
  </si>
  <si>
    <t>011  5421-6848</t>
  </si>
  <si>
    <t>012  3218-3876</t>
  </si>
  <si>
    <t>012  6359-7797</t>
  </si>
  <si>
    <t>011  8190-9541</t>
  </si>
  <si>
    <t>010  8181-4218</t>
  </si>
  <si>
    <t>012  8361-8696</t>
  </si>
  <si>
    <t>012  6158-7511</t>
  </si>
  <si>
    <t>010  8861-8228</t>
  </si>
  <si>
    <t>012  7940-4723</t>
  </si>
  <si>
    <t>010  3617-6600</t>
  </si>
  <si>
    <t>012  7129-6791</t>
  </si>
  <si>
    <t>012  4616-8271</t>
  </si>
  <si>
    <t>010  5828-1841</t>
  </si>
  <si>
    <t>011  8905-5476</t>
  </si>
  <si>
    <t>010  9076-4445</t>
  </si>
  <si>
    <t>011  6387-8100</t>
  </si>
  <si>
    <t>011  6922-8724</t>
  </si>
  <si>
    <t>010  7745-5777</t>
  </si>
  <si>
    <t>010  4700-5397</t>
  </si>
  <si>
    <t>010  4787-5446</t>
  </si>
  <si>
    <t>010  7823-2941</t>
  </si>
  <si>
    <t>012  5136-6669</t>
  </si>
  <si>
    <t>010  7784-2499</t>
  </si>
  <si>
    <t>010  6682-7599</t>
  </si>
  <si>
    <t>012  3882-9176</t>
  </si>
  <si>
    <t>010  4374-8649</t>
  </si>
  <si>
    <t>010  4524-2627</t>
  </si>
  <si>
    <t>011  4997-9340</t>
  </si>
  <si>
    <t>012  8499-6893</t>
  </si>
  <si>
    <t>011  4876-2753</t>
  </si>
  <si>
    <t>012  6018-1350</t>
  </si>
  <si>
    <t>011  3219-4732</t>
  </si>
  <si>
    <t>010  3847-7659</t>
  </si>
  <si>
    <t>012  6825-5299</t>
  </si>
  <si>
    <t>010  8676-3364</t>
  </si>
  <si>
    <t>011  5676-8426</t>
  </si>
  <si>
    <t>011  4598-6245</t>
  </si>
  <si>
    <t>010  4425-4109</t>
  </si>
  <si>
    <t>012  9063-2072</t>
  </si>
  <si>
    <t>012  3529-7242</t>
  </si>
  <si>
    <t>010  7882-4247</t>
  </si>
  <si>
    <t>011  7801-6532</t>
  </si>
  <si>
    <t>012  4765-6821</t>
  </si>
  <si>
    <t>012  5993-9400</t>
  </si>
  <si>
    <t>010  9205-9480</t>
  </si>
  <si>
    <t>012  4128-1632</t>
  </si>
  <si>
    <t>012  4875-4940</t>
  </si>
  <si>
    <t>011  6743-6035</t>
  </si>
  <si>
    <t>011  8215-7504</t>
  </si>
  <si>
    <t>010  9267-8528</t>
  </si>
  <si>
    <t>011  7810-6546</t>
  </si>
  <si>
    <t>012  7381-6505</t>
  </si>
  <si>
    <t>012  8382-3141</t>
  </si>
  <si>
    <t>011  7702-3156</t>
  </si>
  <si>
    <t>011  6151-9423</t>
  </si>
  <si>
    <t>011  6850-8336</t>
  </si>
  <si>
    <t>010  4805-4605</t>
  </si>
  <si>
    <t>010  8056-8618</t>
  </si>
  <si>
    <t>012  6737-4198</t>
  </si>
  <si>
    <t>011  8147-2986</t>
  </si>
  <si>
    <t>010  7066-5104</t>
  </si>
  <si>
    <t>012  6870-3926</t>
  </si>
  <si>
    <t>010  6256-6516</t>
  </si>
  <si>
    <t>010  4115-5591</t>
  </si>
  <si>
    <t>011  4883-5729</t>
  </si>
  <si>
    <t>010  5296-1951</t>
  </si>
  <si>
    <t>011  8308-1903</t>
  </si>
  <si>
    <t>010  8718-6735</t>
  </si>
  <si>
    <t>012  4564-1249</t>
  </si>
  <si>
    <t>012  6377-6546</t>
  </si>
  <si>
    <t>010  5973-4026</t>
  </si>
  <si>
    <t>012  6584-8204</t>
  </si>
  <si>
    <t>012  6445-5004</t>
  </si>
  <si>
    <t>011  7009-9209</t>
  </si>
  <si>
    <t>010  6003-2778</t>
  </si>
  <si>
    <t>011  6622-2432</t>
  </si>
  <si>
    <t>011  8648-5784</t>
  </si>
  <si>
    <t>012  7268-9818</t>
  </si>
  <si>
    <t>011  3297-5880</t>
  </si>
  <si>
    <t>010  3441-3185</t>
  </si>
  <si>
    <t>010  4098-4704</t>
  </si>
  <si>
    <t>012  7416-3427</t>
  </si>
  <si>
    <t>010  4031-6016</t>
  </si>
  <si>
    <t>012  3563-5092</t>
  </si>
  <si>
    <t>011  3394-9741</t>
  </si>
  <si>
    <t>012  8612-6174</t>
  </si>
  <si>
    <t>012  5009-9348</t>
  </si>
  <si>
    <t>010  4202-7248</t>
  </si>
  <si>
    <t>012  5321-6124</t>
  </si>
  <si>
    <t>012  8230-1666</t>
  </si>
  <si>
    <t>011  4343-4987</t>
  </si>
  <si>
    <t>010  4171-3904</t>
  </si>
  <si>
    <t>012  5315-7518</t>
  </si>
  <si>
    <t>012  6693-7188</t>
  </si>
  <si>
    <t>011  3613-8582</t>
  </si>
  <si>
    <t>012  9010-6036</t>
  </si>
  <si>
    <t>010  3262-1469</t>
  </si>
  <si>
    <t>011  8102-7577</t>
  </si>
  <si>
    <t>012  7274-7637</t>
  </si>
  <si>
    <t>010  4270-6948</t>
  </si>
  <si>
    <t>010  5046-2000</t>
  </si>
  <si>
    <t>012  6661-8827</t>
  </si>
  <si>
    <t>010  3859-2784</t>
  </si>
  <si>
    <t>011  4462-4371</t>
  </si>
  <si>
    <t>010  5603-9141</t>
  </si>
  <si>
    <t>010  6131-6907</t>
  </si>
  <si>
    <t>010  7064-6260</t>
  </si>
  <si>
    <t>012  5060-6728</t>
  </si>
  <si>
    <t>010  4633-6247</t>
  </si>
  <si>
    <t>010  8481-4566</t>
  </si>
  <si>
    <t>010  5179-5026</t>
  </si>
  <si>
    <t>011  4020-5012</t>
  </si>
  <si>
    <t>012  6836-5944</t>
  </si>
  <si>
    <t>012  8181-6529</t>
  </si>
  <si>
    <t>010  9221-7753</t>
  </si>
  <si>
    <t>012  4849-7147</t>
  </si>
  <si>
    <t>010  7196-4254</t>
  </si>
  <si>
    <t>011  4864-9697</t>
  </si>
  <si>
    <t>010  4920-6601</t>
  </si>
  <si>
    <t>010  4957-8947</t>
  </si>
  <si>
    <t>012  3627-5681</t>
  </si>
  <si>
    <t>010  4225-5518</t>
  </si>
  <si>
    <t>010  6791-9843</t>
  </si>
  <si>
    <t>012  5871-7900</t>
  </si>
  <si>
    <t>010  4355-6064</t>
  </si>
  <si>
    <t>012  6180-2876</t>
  </si>
  <si>
    <t>012  4124-2769</t>
  </si>
  <si>
    <t>010  7883-3324</t>
  </si>
  <si>
    <t>012  6150-2362</t>
  </si>
  <si>
    <t>010  5955-1916</t>
  </si>
  <si>
    <t>012  5245-3155</t>
  </si>
  <si>
    <t>010  7063-3909</t>
  </si>
  <si>
    <t>011  6447-8610</t>
  </si>
  <si>
    <t>010  8685-5276</t>
  </si>
  <si>
    <t>010  5327-6004</t>
  </si>
  <si>
    <t>011  4338-5320</t>
  </si>
  <si>
    <t>011  6396-6065</t>
  </si>
  <si>
    <t>012  5586-2483</t>
  </si>
  <si>
    <t>010  7272-4197</t>
  </si>
  <si>
    <t>011  5522-1368</t>
  </si>
  <si>
    <t>012  8179-4193</t>
  </si>
  <si>
    <t>010  5398-3028</t>
  </si>
  <si>
    <t>010  7392-8735</t>
  </si>
  <si>
    <t>011  7128-1738</t>
  </si>
  <si>
    <t>012  7713-6572</t>
  </si>
  <si>
    <t>011  7444-6706</t>
  </si>
  <si>
    <t>010  9128-2651</t>
  </si>
  <si>
    <t>011  3262-6236</t>
  </si>
  <si>
    <t>012  3935-9078</t>
  </si>
  <si>
    <t>011  8518-3468</t>
  </si>
  <si>
    <t>010  6623-5414</t>
  </si>
  <si>
    <t>011  5065-1149</t>
  </si>
  <si>
    <t>010  6309-2265</t>
  </si>
  <si>
    <t>012  8400-9814</t>
  </si>
  <si>
    <t>011  5565-6836</t>
  </si>
  <si>
    <t>012  4833-5671</t>
  </si>
  <si>
    <t>012  4053-7620</t>
  </si>
  <si>
    <t>010  5061-2017</t>
  </si>
  <si>
    <t>012  4157-6654</t>
  </si>
  <si>
    <t>011  4794-3048</t>
  </si>
  <si>
    <t>012  8422-2108</t>
  </si>
  <si>
    <t>011  5056-6641</t>
  </si>
  <si>
    <t>m.rajab@email.com</t>
  </si>
  <si>
    <t>g.hmshw@email.com</t>
  </si>
  <si>
    <t>h.alkhalifa@email.com</t>
  </si>
  <si>
    <t>s.ramadan@email.com</t>
  </si>
  <si>
    <t>s.alkhatib@email.com</t>
  </si>
  <si>
    <t>a.akrym@email.com</t>
  </si>
  <si>
    <t>s.almaydanii@email.com</t>
  </si>
  <si>
    <t>i.alhamid@email.com</t>
  </si>
  <si>
    <t>z.jabir@email.com</t>
  </si>
  <si>
    <t>r.alhamadii@email.com</t>
  </si>
  <si>
    <t>k.kiali@email.com</t>
  </si>
  <si>
    <t>i.dahadal@email.com</t>
  </si>
  <si>
    <t>i.qisi@email.com</t>
  </si>
  <si>
    <t>e.dahbur@email.com</t>
  </si>
  <si>
    <t>k.alzaebii@email.com</t>
  </si>
  <si>
    <t>r.alaleppoy@email.com</t>
  </si>
  <si>
    <t>i.jadid@email.com</t>
  </si>
  <si>
    <t>r.sabagh@email.com</t>
  </si>
  <si>
    <t>i.eazu@email.com</t>
  </si>
  <si>
    <t>a.turkmany@email.com</t>
  </si>
  <si>
    <t>l.sabiq@email.com</t>
  </si>
  <si>
    <t>f.shaykh@email.com</t>
  </si>
  <si>
    <t>k.suqbani@email.com</t>
  </si>
  <si>
    <t>k.qarqazan@email.com</t>
  </si>
  <si>
    <t>s.alsaeid@email.com</t>
  </si>
  <si>
    <t>a.alhifar@email.com</t>
  </si>
  <si>
    <t>a.alrz@email.com</t>
  </si>
  <si>
    <t>d.alhariri@email.com</t>
  </si>
  <si>
    <t>s.alhusayn@email.com</t>
  </si>
  <si>
    <t>a.alqasir@email.com</t>
  </si>
  <si>
    <t>a.salih@email.com</t>
  </si>
  <si>
    <t>i.alhumwi@email.com</t>
  </si>
  <si>
    <t>a.saed@email.com</t>
  </si>
  <si>
    <t>s.alahmar@email.com</t>
  </si>
  <si>
    <t>a.sharabi@email.com</t>
  </si>
  <si>
    <t>r.durkzili@email.com</t>
  </si>
  <si>
    <t>d.husu@email.com</t>
  </si>
  <si>
    <t>a.eilwan@email.com</t>
  </si>
  <si>
    <t>a.zyny@email.com</t>
  </si>
  <si>
    <t>a.iidlibi@email.com</t>
  </si>
  <si>
    <t>a.zynu@email.com</t>
  </si>
  <si>
    <t>r.eijluni@email.com</t>
  </si>
  <si>
    <t>a.marwan@email.com</t>
  </si>
  <si>
    <t>s.musur@email.com</t>
  </si>
  <si>
    <t>a.alnuwri@email.com</t>
  </si>
  <si>
    <t>a.shakir@email.com</t>
  </si>
  <si>
    <t>a.kharbutli@email.com</t>
  </si>
  <si>
    <t>s.jaridiun@email.com</t>
  </si>
  <si>
    <t>a.eimaruh@email.com</t>
  </si>
  <si>
    <t>b.marzuq@email.com</t>
  </si>
  <si>
    <t>a.hamj@email.com</t>
  </si>
  <si>
    <t>a.bradey@email.com</t>
  </si>
  <si>
    <t>b.eubdallah@email.com</t>
  </si>
  <si>
    <t>a.alnajar@email.com</t>
  </si>
  <si>
    <t>r.hutayniun@email.com</t>
  </si>
  <si>
    <t>k.siriul@email.com</t>
  </si>
  <si>
    <t>b.mareiun@email.com</t>
  </si>
  <si>
    <t>a.alhulwanii@email.com</t>
  </si>
  <si>
    <t>l.alhasan@email.com</t>
  </si>
  <si>
    <t>a.zakariaa@email.com</t>
  </si>
  <si>
    <t>b.aywbi@email.com</t>
  </si>
  <si>
    <t>m.alsaed@email.com</t>
  </si>
  <si>
    <t>a.aleaqla@email.com</t>
  </si>
  <si>
    <t>s.haydar@email.com</t>
  </si>
  <si>
    <t>a.shueayb@email.com</t>
  </si>
  <si>
    <t>a.dahman@email.com</t>
  </si>
  <si>
    <t>z.eirat@email.com</t>
  </si>
  <si>
    <t>i.badran@email.com</t>
  </si>
  <si>
    <t>z.aleitar@email.com</t>
  </si>
  <si>
    <t>h.astitih@email.com</t>
  </si>
  <si>
    <t>o.shawqi@email.com</t>
  </si>
  <si>
    <t>o.zaqzuq@email.com</t>
  </si>
  <si>
    <t>y.eamir@email.com</t>
  </si>
  <si>
    <t>m.siedih@email.com</t>
  </si>
  <si>
    <t>s.qisam@email.com</t>
  </si>
  <si>
    <t>h.almueasaeas@email.com</t>
  </si>
  <si>
    <t>g.aljamal@email.com</t>
  </si>
  <si>
    <t>o.kahulus@email.com</t>
  </si>
  <si>
    <t>a.alyaghshiu@email.com</t>
  </si>
  <si>
    <t>a.zayd@email.com</t>
  </si>
  <si>
    <t>d.ghunum@email.com</t>
  </si>
  <si>
    <t>t.bryghl@email.com</t>
  </si>
  <si>
    <t>r.abu adhan@email.com</t>
  </si>
  <si>
    <t>e.alkhibaz@email.com</t>
  </si>
  <si>
    <t>r.alsydawi@email.com</t>
  </si>
  <si>
    <t>a.almunzilijiu@email.com</t>
  </si>
  <si>
    <t>o.milatu@email.com</t>
  </si>
  <si>
    <t>z.eali@email.com</t>
  </si>
  <si>
    <t>g.hisan@email.com</t>
  </si>
  <si>
    <t>m.yasin@email.com</t>
  </si>
  <si>
    <t>m.ewad@email.com</t>
  </si>
  <si>
    <t>s.alsaedi@email.com</t>
  </si>
  <si>
    <t>b.almisri@email.com</t>
  </si>
  <si>
    <t>a.alnasar@email.com</t>
  </si>
  <si>
    <t>r.dwalyby@email.com</t>
  </si>
  <si>
    <t>r.iidris@email.com</t>
  </si>
  <si>
    <t>f.alsyqly@email.com</t>
  </si>
  <si>
    <t>i.alyasin@email.com</t>
  </si>
  <si>
    <t>i.mulaliyun@email.com</t>
  </si>
  <si>
    <t>k.abu taqih@email.com</t>
  </si>
  <si>
    <t>s.antun@email.com</t>
  </si>
  <si>
    <t>t.alkinaya@email.com</t>
  </si>
  <si>
    <t>s.qareush@email.com</t>
  </si>
  <si>
    <t>k.khayti@email.com</t>
  </si>
  <si>
    <t>k.alaqre@email.com</t>
  </si>
  <si>
    <t>a.eurman@email.com</t>
  </si>
  <si>
    <t>a.altahhan@email.com</t>
  </si>
  <si>
    <t>f.shakur@email.com</t>
  </si>
  <si>
    <t>a.eabidin@email.com</t>
  </si>
  <si>
    <t>a.sadqawi@email.com</t>
  </si>
  <si>
    <t>s.altaynawi@email.com</t>
  </si>
  <si>
    <t>l.fahd@email.com</t>
  </si>
  <si>
    <t>s.aleabd@email.com</t>
  </si>
  <si>
    <t>a.allaham@email.com</t>
  </si>
  <si>
    <t>e.eisaf@email.com</t>
  </si>
  <si>
    <t>s.qadish@email.com</t>
  </si>
  <si>
    <t>a.almisri@email.com</t>
  </si>
  <si>
    <t>k.zaki@email.com</t>
  </si>
  <si>
    <t>z.zarie@email.com</t>
  </si>
  <si>
    <t>b.einziin@email.com</t>
  </si>
  <si>
    <t>a.eiwad@email.com</t>
  </si>
  <si>
    <t>a.maseud@email.com</t>
  </si>
  <si>
    <t>a.iidris@email.com</t>
  </si>
  <si>
    <t>s.taysir@email.com</t>
  </si>
  <si>
    <t>a.sharfah@email.com</t>
  </si>
  <si>
    <t>l.almisri@email.com</t>
  </si>
  <si>
    <t>t.hamuwda@email.com</t>
  </si>
  <si>
    <t>a.abu@email.com</t>
  </si>
  <si>
    <t>l.nafae@email.com</t>
  </si>
  <si>
    <t>l.kashik@email.com</t>
  </si>
  <si>
    <t>a.aldahan@email.com</t>
  </si>
  <si>
    <t>k.alkhawam@email.com</t>
  </si>
  <si>
    <t>o.alqintar@email.com</t>
  </si>
  <si>
    <t>s.altibae@email.com</t>
  </si>
  <si>
    <t>e.muhamad@email.com</t>
  </si>
  <si>
    <t>m.aljabaei@email.com</t>
  </si>
  <si>
    <t>a.shwk@email.com</t>
  </si>
  <si>
    <t>a.hamuwdatan@email.com</t>
  </si>
  <si>
    <t>a.almiqdad@email.com</t>
  </si>
  <si>
    <t>s.alsyd ahmad@email.com</t>
  </si>
  <si>
    <t>a.aldhiyab@email.com</t>
  </si>
  <si>
    <t>m.almujahid@email.com</t>
  </si>
  <si>
    <t>r.alhumwi@email.com</t>
  </si>
  <si>
    <t>h.hawria@email.com</t>
  </si>
  <si>
    <t>i.ghrz aldiyn@email.com</t>
  </si>
  <si>
    <t>s.hanna@email.com</t>
  </si>
  <si>
    <t>k.alkalu@email.com</t>
  </si>
  <si>
    <t>s.alkhayrat@email.com</t>
  </si>
  <si>
    <t>d.alshiyraziu@email.com</t>
  </si>
  <si>
    <t>t.shakir@email.com</t>
  </si>
  <si>
    <t>f.sabih@email.com</t>
  </si>
  <si>
    <t>a.efan@email.com</t>
  </si>
  <si>
    <t>t.salim@email.com</t>
  </si>
  <si>
    <t>r.mia@email.com</t>
  </si>
  <si>
    <t>z.rashwani@email.com</t>
  </si>
  <si>
    <t>m.saeid@email.com</t>
  </si>
  <si>
    <t>m.rafaea@email.com</t>
  </si>
  <si>
    <t>m.alhakim@email.com</t>
  </si>
  <si>
    <t>o.zarzur@email.com</t>
  </si>
  <si>
    <t>f.red@email.com</t>
  </si>
  <si>
    <t>a.ezqul@email.com</t>
  </si>
  <si>
    <t>s.alkmshh@email.com</t>
  </si>
  <si>
    <t>s.rihan@email.com</t>
  </si>
  <si>
    <t>a.alshalaq@email.com</t>
  </si>
  <si>
    <t>r.tyru@email.com</t>
  </si>
  <si>
    <t>m.abuhamd@email.com</t>
  </si>
  <si>
    <t>d.sharina@email.com</t>
  </si>
  <si>
    <t>j.alsulayman@email.com</t>
  </si>
  <si>
    <t>l.shiah@email.com</t>
  </si>
  <si>
    <t>a.hamuwd@email.com</t>
  </si>
  <si>
    <t>i.hazruma@email.com</t>
  </si>
  <si>
    <t>s.alhaj ali@email.com</t>
  </si>
  <si>
    <t>h.aldubus@email.com</t>
  </si>
  <si>
    <t>s.alhijar@email.com</t>
  </si>
  <si>
    <t>a.alkhayran@email.com</t>
  </si>
  <si>
    <t>r.alddahir@email.com</t>
  </si>
  <si>
    <t>j.eabuwd@email.com</t>
  </si>
  <si>
    <t>i.bitahish@email.com</t>
  </si>
  <si>
    <t>i.murad@email.com</t>
  </si>
  <si>
    <t>q.dahna@email.com</t>
  </si>
  <si>
    <t>o.tqi aldiyn@email.com</t>
  </si>
  <si>
    <t>i.jdwe@email.com</t>
  </si>
  <si>
    <t>l.wayly@email.com</t>
  </si>
  <si>
    <t>r.alsiraj@email.com</t>
  </si>
  <si>
    <t>l.nadaf@email.com</t>
  </si>
  <si>
    <t>t.barghuth@email.com</t>
  </si>
  <si>
    <t>d.jazar@email.com</t>
  </si>
  <si>
    <t>b.eusqul@email.com</t>
  </si>
  <si>
    <t>r.iybw@email.com</t>
  </si>
  <si>
    <t>j.ghabur@email.com</t>
  </si>
  <si>
    <t>a.sultan@email.com</t>
  </si>
  <si>
    <t>b.salih@email.com</t>
  </si>
  <si>
    <t>a.aljazayiriu@email.com</t>
  </si>
  <si>
    <t>f.ghazal@email.com</t>
  </si>
  <si>
    <t>d.dakhal@email.com</t>
  </si>
  <si>
    <t>e.dulul@email.com</t>
  </si>
  <si>
    <t>a.aleaqqad@email.com</t>
  </si>
  <si>
    <t>a.byd@email.com</t>
  </si>
  <si>
    <t>a.ahmid@email.com</t>
  </si>
  <si>
    <t>a.alqadri@email.com</t>
  </si>
  <si>
    <t>d.suirkili@email.com</t>
  </si>
  <si>
    <t>m.bihtiti@email.com</t>
  </si>
  <si>
    <t>a.barghaly@email.com</t>
  </si>
  <si>
    <t>a.alshaykh@email.com</t>
  </si>
  <si>
    <t>k.huquq@email.com</t>
  </si>
  <si>
    <t>i.alqatish@email.com</t>
  </si>
  <si>
    <t>f.alealiu@email.com</t>
  </si>
  <si>
    <t>a.alrifaei@email.com</t>
  </si>
  <si>
    <t>r.alrifaei@email.com</t>
  </si>
  <si>
    <t>b.darbika@email.com</t>
  </si>
  <si>
    <t>h.salahi@email.com</t>
  </si>
  <si>
    <t>t.aldhahabi@email.com</t>
  </si>
  <si>
    <t>d.drwysh@email.com</t>
  </si>
  <si>
    <t>d.filyun@email.com</t>
  </si>
  <si>
    <t>s.alshahadat@email.com</t>
  </si>
  <si>
    <t>a.bahriin@email.com</t>
  </si>
  <si>
    <t>a.alqadi@email.com</t>
  </si>
  <si>
    <t>a.bwfaeur@email.com</t>
  </si>
  <si>
    <t>m.eubayd@email.com</t>
  </si>
  <si>
    <t>a.nieamah@email.com</t>
  </si>
  <si>
    <t>a.nhl@email.com</t>
  </si>
  <si>
    <t>h.iismaeil@email.com</t>
  </si>
  <si>
    <t>e.mansur@email.com</t>
  </si>
  <si>
    <t>m.zawal@email.com</t>
  </si>
  <si>
    <t>l.almala@email.com</t>
  </si>
  <si>
    <t>e.alriys@email.com</t>
  </si>
  <si>
    <t>a.alkhatib@email.com</t>
  </si>
  <si>
    <t>m.alhizae@email.com</t>
  </si>
  <si>
    <t>a.qadimati@email.com</t>
  </si>
  <si>
    <t>Ziad</t>
  </si>
  <si>
    <t>s.ziad@email.com</t>
  </si>
  <si>
    <t>Work Type</t>
  </si>
  <si>
    <t>Net &gt;=6000 (Over)</t>
  </si>
  <si>
    <t>Net &lt;6000 (Normal)</t>
  </si>
  <si>
    <t>Bonus 3%</t>
  </si>
  <si>
    <t xml:space="preserve">    hisham</t>
  </si>
  <si>
    <t>Extra Bonus %</t>
  </si>
  <si>
    <t>Extra Bonus</t>
  </si>
  <si>
    <t>Average Net</t>
  </si>
  <si>
    <t>Net Salary</t>
  </si>
  <si>
    <t>Hiring Date</t>
  </si>
  <si>
    <t>Sudan</t>
  </si>
  <si>
    <t>current date</t>
  </si>
  <si>
    <t>Sum of ID</t>
  </si>
  <si>
    <t>Count of ID</t>
  </si>
  <si>
    <t>Sum of Net Salary</t>
  </si>
  <si>
    <t>Average of Experience Year</t>
  </si>
  <si>
    <t>Count of Employees</t>
  </si>
  <si>
    <t>Total Salaries</t>
  </si>
  <si>
    <t>Average of Experience Years</t>
  </si>
  <si>
    <t>Hr Annual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</si>
</sst>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
  </numFmts>
  <fonts count="21">
    <font>
      <sz val="11"/>
      <color theme="1"/>
      <name val="Aptos Narrow"/>
      <family val="2"/>
      <charset val="17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0"/>
      <color indexed="8"/>
      <name val="Arial"/>
      <family val="2"/>
    </font>
    <font>
      <sz val="11"/>
      <color indexed="8"/>
      <name val="Calibri"/>
      <family val="2"/>
    </font>
    <font>
      <sz val="11"/>
      <color theme="1"/>
      <name val="Aptos Narrow"/>
      <family val="2"/>
      <charset val="178"/>
      <scheme val="minor"/>
    </font>
    <font>
      <sz val="16"/>
      <color theme="1"/>
      <name val="Aptos Narrow"/>
      <family val="2"/>
      <scheme val="minor"/>
    </font>
    <font>
      <b/>
      <sz val="11"/>
      <color theme="0"/>
      <name val="Calibri"/>
      <family val="2"/>
    </font>
    <font>
      <b/>
      <sz val="11"/>
      <color theme="1"/>
      <name val="Aptos Narrow"/>
      <family val="2"/>
      <scheme val="minor"/>
    </font>
    <font>
      <b/>
      <sz val="11"/>
      <color theme="1"/>
      <name val="Calibri"/>
      <family val="2"/>
    </font>
    <font>
      <b/>
      <sz val="11"/>
      <color theme="0"/>
      <name val="Aptos Narrow"/>
      <scheme val="minor"/>
    </font>
    <font>
      <b/>
      <sz val="11"/>
      <color theme="1"/>
      <name val="Aptos Narrow"/>
      <scheme val="minor"/>
    </font>
    <font>
      <sz val="11"/>
      <color theme="2"/>
      <name val="Aptos Narrow"/>
      <family val="2"/>
      <charset val="178"/>
      <scheme val="minor"/>
    </font>
    <font>
      <b/>
      <sz val="11"/>
      <color theme="2"/>
      <name val="Aptos Narrow"/>
      <scheme val="minor"/>
    </font>
    <font>
      <sz val="11"/>
      <color theme="0"/>
      <name val="Aptos Narrow"/>
      <family val="2"/>
      <charset val="178"/>
      <scheme val="minor"/>
    </font>
    <font>
      <b/>
      <sz val="20"/>
      <color theme="2"/>
      <name val="Aptos Narrow"/>
      <scheme val="minor"/>
    </font>
  </fonts>
  <fills count="13">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8"/>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0"/>
        <bgColor theme="4" tint="0.79998168889431442"/>
      </patternFill>
    </fill>
    <fill>
      <patternFill patternType="solid">
        <fgColor theme="8" tint="-0.249977111117893"/>
        <bgColor indexed="64"/>
      </patternFill>
    </fill>
    <fill>
      <patternFill patternType="solid">
        <fgColor rgb="FF3EC8D6"/>
        <bgColor indexed="64"/>
      </patternFill>
    </fill>
    <fill>
      <patternFill patternType="solid">
        <fgColor rgb="FFF6DEF4"/>
        <bgColor indexed="64"/>
      </patternFill>
    </fill>
    <fill>
      <patternFill patternType="solid">
        <fgColor rgb="FF661C5F"/>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rgb="FFBFBFBF"/>
      </left>
      <right/>
      <top style="thin">
        <color rgb="FFBFBFBF"/>
      </top>
      <bottom/>
      <diagonal/>
    </border>
    <border>
      <left style="thin">
        <color theme="0" tint="-0.24994659260841701"/>
      </left>
      <right/>
      <top style="thin">
        <color rgb="FFBFBFBF"/>
      </top>
      <bottom/>
      <diagonal/>
    </border>
    <border>
      <left style="thin">
        <color theme="0" tint="-0.24994659260841701"/>
      </left>
      <right style="thin">
        <color rgb="FFBFBFBF"/>
      </right>
      <top style="thin">
        <color rgb="FFBFBFBF"/>
      </top>
      <bottom/>
      <diagonal/>
    </border>
    <border>
      <left style="thin">
        <color rgb="FFBFBFBF"/>
      </left>
      <right/>
      <top style="thin">
        <color theme="0" tint="-0.24994659260841701"/>
      </top>
      <bottom/>
      <diagonal/>
    </border>
    <border>
      <left style="thin">
        <color theme="0" tint="-0.24994659260841701"/>
      </left>
      <right style="thin">
        <color rgb="FFBFBFBF"/>
      </right>
      <top style="thin">
        <color theme="0" tint="-0.24994659260841701"/>
      </top>
      <bottom/>
      <diagonal/>
    </border>
    <border>
      <left style="thin">
        <color rgb="FFBFBFBF"/>
      </left>
      <right/>
      <top style="thin">
        <color theme="0" tint="-0.24994659260841701"/>
      </top>
      <bottom style="thin">
        <color rgb="FFBFBFBF"/>
      </bottom>
      <diagonal/>
    </border>
    <border>
      <left style="thin">
        <color theme="0" tint="-0.24994659260841701"/>
      </left>
      <right/>
      <top style="thin">
        <color theme="0" tint="-0.24994659260841701"/>
      </top>
      <bottom style="thin">
        <color rgb="FFBFBFBF"/>
      </bottom>
      <diagonal/>
    </border>
    <border>
      <left style="thin">
        <color theme="0" tint="-0.24994659260841701"/>
      </left>
      <right style="thin">
        <color rgb="FFBFBFBF"/>
      </right>
      <top style="thin">
        <color theme="0" tint="-0.24994659260841701"/>
      </top>
      <bottom style="thin">
        <color rgb="FFBFBFBF"/>
      </bottom>
      <diagonal/>
    </border>
  </borders>
  <cellStyleXfs count="13">
    <xf numFmtId="0" fontId="0" fillId="0" borderId="0"/>
    <xf numFmtId="0" fontId="8" fillId="0" borderId="0"/>
    <xf numFmtId="0" fontId="8" fillId="0" borderId="0"/>
    <xf numFmtId="0" fontId="8" fillId="0" borderId="0"/>
    <xf numFmtId="0" fontId="8" fillId="0" borderId="0"/>
    <xf numFmtId="0" fontId="6" fillId="0" borderId="0"/>
    <xf numFmtId="43" fontId="10"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44" fontId="11" fillId="0" borderId="0" applyFont="0" applyFill="0" applyBorder="0" applyAlignment="0" applyProtection="0"/>
    <xf numFmtId="9" fontId="11" fillId="0" borderId="0" applyFont="0" applyFill="0" applyBorder="0" applyAlignment="0" applyProtection="0"/>
    <xf numFmtId="0" fontId="4" fillId="0" borderId="0"/>
  </cellStyleXfs>
  <cellXfs count="148">
    <xf numFmtId="0" fontId="0" fillId="0" borderId="0" xfId="0"/>
    <xf numFmtId="164" fontId="6" fillId="0" borderId="1" xfId="6" applyNumberFormat="1" applyFont="1" applyBorder="1" applyAlignment="1">
      <alignment horizontal="center" vertical="center"/>
    </xf>
    <xf numFmtId="0" fontId="0" fillId="3" borderId="0" xfId="0" applyFill="1"/>
    <xf numFmtId="0" fontId="6" fillId="3" borderId="0" xfId="5" applyFill="1" applyAlignment="1">
      <alignment horizontal="left"/>
    </xf>
    <xf numFmtId="0" fontId="9" fillId="3" borderId="0" xfId="1" applyFont="1" applyFill="1" applyAlignment="1">
      <alignment horizontal="left" wrapText="1"/>
    </xf>
    <xf numFmtId="0" fontId="9" fillId="3" borderId="0" xfId="2" applyFont="1" applyFill="1" applyAlignment="1">
      <alignment horizontal="left" wrapText="1"/>
    </xf>
    <xf numFmtId="49" fontId="9" fillId="3" borderId="0" xfId="2" applyNumberFormat="1" applyFont="1" applyFill="1" applyAlignment="1">
      <alignment horizontal="left" wrapText="1"/>
    </xf>
    <xf numFmtId="0" fontId="9" fillId="3" borderId="0" xfId="4" applyFont="1" applyFill="1" applyAlignment="1">
      <alignment horizontal="left" wrapText="1"/>
    </xf>
    <xf numFmtId="0" fontId="6" fillId="3" borderId="0" xfId="6" applyNumberFormat="1" applyFont="1" applyFill="1" applyAlignment="1">
      <alignment horizontal="center"/>
    </xf>
    <xf numFmtId="49" fontId="6" fillId="3" borderId="0" xfId="5" applyNumberFormat="1" applyFill="1" applyAlignment="1">
      <alignment horizontal="left"/>
    </xf>
    <xf numFmtId="0" fontId="9" fillId="0" borderId="4" xfId="2" applyFont="1" applyBorder="1" applyAlignment="1">
      <alignment horizontal="left" wrapText="1"/>
    </xf>
    <xf numFmtId="0" fontId="9" fillId="0" borderId="4" xfId="3" applyFont="1" applyBorder="1" applyAlignment="1">
      <alignment horizontal="left" wrapText="1"/>
    </xf>
    <xf numFmtId="49" fontId="9" fillId="0" borderId="4" xfId="2" applyNumberFormat="1" applyFont="1" applyBorder="1" applyAlignment="1">
      <alignment horizontal="left" wrapText="1"/>
    </xf>
    <xf numFmtId="0" fontId="9" fillId="0" borderId="4" xfId="4" applyFont="1" applyBorder="1" applyAlignment="1">
      <alignment horizontal="left" wrapText="1"/>
    </xf>
    <xf numFmtId="0" fontId="9" fillId="0" borderId="4" xfId="6" applyNumberFormat="1" applyFont="1" applyFill="1" applyBorder="1" applyAlignment="1">
      <alignment horizontal="left" wrapText="1"/>
    </xf>
    <xf numFmtId="0" fontId="9" fillId="0" borderId="4" xfId="6" applyNumberFormat="1" applyFont="1" applyFill="1" applyBorder="1" applyAlignment="1">
      <alignment horizontal="center" wrapText="1"/>
    </xf>
    <xf numFmtId="43" fontId="4" fillId="0" borderId="4" xfId="5" applyNumberFormat="1" applyFont="1" applyBorder="1" applyAlignment="1">
      <alignment horizontal="left"/>
    </xf>
    <xf numFmtId="0" fontId="4" fillId="0" borderId="4" xfId="5" applyFont="1" applyBorder="1" applyAlignment="1">
      <alignment horizontal="left"/>
    </xf>
    <xf numFmtId="0" fontId="7" fillId="4" borderId="3" xfId="5" applyFont="1" applyFill="1" applyBorder="1" applyAlignment="1">
      <alignment horizontal="center" vertical="center"/>
    </xf>
    <xf numFmtId="0" fontId="7" fillId="5" borderId="2" xfId="5" applyFont="1" applyFill="1" applyBorder="1" applyAlignment="1">
      <alignment horizontal="center" vertical="center"/>
    </xf>
    <xf numFmtId="0" fontId="3" fillId="0" borderId="2" xfId="5" applyFont="1" applyBorder="1" applyAlignment="1">
      <alignment horizontal="center" vertical="center"/>
    </xf>
    <xf numFmtId="0" fontId="13" fillId="6" borderId="5" xfId="9" applyFont="1" applyFill="1" applyBorder="1" applyAlignment="1">
      <alignment horizontal="center" vertical="center"/>
    </xf>
    <xf numFmtId="164" fontId="0" fillId="7" borderId="5" xfId="6" applyNumberFormat="1" applyFont="1" applyFill="1" applyBorder="1"/>
    <xf numFmtId="9" fontId="0" fillId="7" borderId="5" xfId="11" applyFont="1" applyFill="1" applyBorder="1"/>
    <xf numFmtId="0" fontId="9" fillId="0" borderId="6" xfId="1" applyFont="1" applyBorder="1" applyAlignment="1">
      <alignment horizontal="left" wrapText="1"/>
    </xf>
    <xf numFmtId="0" fontId="12" fillId="2" borderId="8" xfId="1" applyFont="1" applyFill="1" applyBorder="1" applyAlignment="1">
      <alignment horizontal="center" vertical="center"/>
    </xf>
    <xf numFmtId="0" fontId="12" fillId="2" borderId="9" xfId="2" applyFont="1" applyFill="1" applyBorder="1" applyAlignment="1">
      <alignment horizontal="center" vertical="center"/>
    </xf>
    <xf numFmtId="0" fontId="12" fillId="2" borderId="9" xfId="3" applyFont="1" applyFill="1" applyBorder="1" applyAlignment="1">
      <alignment horizontal="center" vertical="center"/>
    </xf>
    <xf numFmtId="49" fontId="12" fillId="2" borderId="9" xfId="2" applyNumberFormat="1" applyFont="1" applyFill="1" applyBorder="1" applyAlignment="1">
      <alignment horizontal="center" vertical="center"/>
    </xf>
    <xf numFmtId="0" fontId="12" fillId="2" borderId="9" xfId="4" applyFont="1" applyFill="1" applyBorder="1" applyAlignment="1">
      <alignment horizontal="center" vertical="center"/>
    </xf>
    <xf numFmtId="0" fontId="12" fillId="2" borderId="9" xfId="6" applyNumberFormat="1" applyFont="1" applyFill="1" applyBorder="1" applyAlignment="1">
      <alignment horizontal="center" vertical="center"/>
    </xf>
    <xf numFmtId="0" fontId="12" fillId="2" borderId="10" xfId="3" applyFont="1" applyFill="1" applyBorder="1" applyAlignment="1">
      <alignment horizontal="center" vertical="center"/>
    </xf>
    <xf numFmtId="0" fontId="9" fillId="0" borderId="11" xfId="1" applyFont="1" applyBorder="1" applyAlignment="1">
      <alignment horizontal="left" wrapText="1"/>
    </xf>
    <xf numFmtId="0" fontId="9" fillId="0" borderId="12" xfId="2" applyFont="1" applyBorder="1" applyAlignment="1">
      <alignment horizontal="left" wrapText="1"/>
    </xf>
    <xf numFmtId="0" fontId="9" fillId="0" borderId="12" xfId="3" applyFont="1" applyBorder="1" applyAlignment="1">
      <alignment horizontal="left" wrapText="1"/>
    </xf>
    <xf numFmtId="49" fontId="9" fillId="0" borderId="12" xfId="2" applyNumberFormat="1" applyFont="1" applyBorder="1" applyAlignment="1">
      <alignment horizontal="left" wrapText="1"/>
    </xf>
    <xf numFmtId="0" fontId="9" fillId="0" borderId="12" xfId="4" applyFont="1" applyBorder="1" applyAlignment="1">
      <alignment horizontal="left" wrapText="1"/>
    </xf>
    <xf numFmtId="0" fontId="9" fillId="0" borderId="12" xfId="6" applyNumberFormat="1" applyFont="1" applyFill="1" applyBorder="1" applyAlignment="1">
      <alignment horizontal="left" wrapText="1"/>
    </xf>
    <xf numFmtId="0" fontId="9" fillId="0" borderId="12" xfId="6" applyNumberFormat="1" applyFont="1" applyFill="1" applyBorder="1" applyAlignment="1">
      <alignment horizontal="center" wrapText="1"/>
    </xf>
    <xf numFmtId="43" fontId="4" fillId="0" borderId="12" xfId="5" applyNumberFormat="1" applyFont="1" applyBorder="1" applyAlignment="1">
      <alignment horizontal="left"/>
    </xf>
    <xf numFmtId="0" fontId="4" fillId="0" borderId="12" xfId="5" applyFont="1" applyBorder="1" applyAlignment="1">
      <alignment horizontal="left"/>
    </xf>
    <xf numFmtId="0" fontId="9" fillId="0" borderId="4" xfId="2" applyFont="1" applyBorder="1" applyAlignment="1">
      <alignment horizontal="center" wrapText="1"/>
    </xf>
    <xf numFmtId="0" fontId="9" fillId="0" borderId="12" xfId="2" applyFont="1" applyBorder="1" applyAlignment="1">
      <alignment horizontal="center" wrapText="1"/>
    </xf>
    <xf numFmtId="0" fontId="9" fillId="3" borderId="0" xfId="2" applyFont="1" applyFill="1" applyAlignment="1">
      <alignment horizontal="center" wrapText="1"/>
    </xf>
    <xf numFmtId="0" fontId="6" fillId="3" borderId="0" xfId="5" applyFill="1" applyAlignment="1">
      <alignment horizontal="center"/>
    </xf>
    <xf numFmtId="0" fontId="12" fillId="2" borderId="9" xfId="2" applyFont="1" applyFill="1" applyBorder="1" applyAlignment="1">
      <alignment horizontal="center"/>
    </xf>
    <xf numFmtId="14" fontId="9" fillId="0" borderId="4" xfId="6" applyNumberFormat="1" applyFont="1" applyFill="1" applyBorder="1" applyAlignment="1">
      <alignment horizontal="left" wrapText="1"/>
    </xf>
    <xf numFmtId="14" fontId="9" fillId="0" borderId="12" xfId="6" applyNumberFormat="1" applyFont="1" applyFill="1" applyBorder="1" applyAlignment="1">
      <alignment horizontal="left" wrapText="1"/>
    </xf>
    <xf numFmtId="2" fontId="4" fillId="0" borderId="4" xfId="5" applyNumberFormat="1" applyFont="1" applyBorder="1" applyAlignment="1">
      <alignment horizontal="left"/>
    </xf>
    <xf numFmtId="2" fontId="12" fillId="2" borderId="9" xfId="3" applyNumberFormat="1" applyFont="1" applyFill="1" applyBorder="1" applyAlignment="1">
      <alignment horizontal="center" vertical="center"/>
    </xf>
    <xf numFmtId="2" fontId="4" fillId="0" borderId="12" xfId="5" applyNumberFormat="1" applyFont="1" applyBorder="1" applyAlignment="1">
      <alignment horizontal="left"/>
    </xf>
    <xf numFmtId="2" fontId="6" fillId="3" borderId="0" xfId="5" applyNumberFormat="1" applyFill="1" applyAlignment="1">
      <alignment horizontal="left"/>
    </xf>
    <xf numFmtId="165" fontId="12" fillId="2" borderId="9" xfId="3" applyNumberFormat="1" applyFont="1" applyFill="1" applyBorder="1" applyAlignment="1">
      <alignment horizontal="center" vertical="center"/>
    </xf>
    <xf numFmtId="165" fontId="4" fillId="0" borderId="4" xfId="5" applyNumberFormat="1" applyFont="1" applyBorder="1" applyAlignment="1">
      <alignment horizontal="left"/>
    </xf>
    <xf numFmtId="165" fontId="4" fillId="0" borderId="12" xfId="5" applyNumberFormat="1" applyFont="1" applyBorder="1" applyAlignment="1">
      <alignment horizontal="left"/>
    </xf>
    <xf numFmtId="165" fontId="6" fillId="3" borderId="0" xfId="5" applyNumberFormat="1" applyFill="1" applyAlignment="1">
      <alignment horizontal="left"/>
    </xf>
    <xf numFmtId="164" fontId="2" fillId="0" borderId="1" xfId="6" applyNumberFormat="1" applyFont="1" applyBorder="1" applyAlignment="1">
      <alignment horizontal="center" vertical="center"/>
    </xf>
    <xf numFmtId="9" fontId="4" fillId="0" borderId="7" xfId="5" applyNumberFormat="1" applyFont="1" applyBorder="1" applyAlignment="1">
      <alignment horizontal="left"/>
    </xf>
    <xf numFmtId="9" fontId="4" fillId="0" borderId="13" xfId="5" applyNumberFormat="1" applyFont="1" applyBorder="1" applyAlignment="1">
      <alignment horizontal="left"/>
    </xf>
    <xf numFmtId="0" fontId="0" fillId="0" borderId="0" xfId="0" pivotButton="1"/>
    <xf numFmtId="0" fontId="6" fillId="7" borderId="0" xfId="5" applyFill="1" applyAlignment="1">
      <alignment horizontal="left"/>
    </xf>
    <xf numFmtId="0" fontId="9" fillId="8" borderId="17" xfId="1" applyFont="1" applyFill="1" applyBorder="1" applyAlignment="1">
      <alignment horizontal="left" wrapText="1"/>
    </xf>
    <xf numFmtId="0" fontId="9" fillId="8" borderId="13" xfId="2" applyFont="1" applyFill="1" applyBorder="1" applyAlignment="1">
      <alignment horizontal="left" wrapText="1"/>
    </xf>
    <xf numFmtId="0" fontId="9" fillId="8" borderId="13" xfId="2" applyFont="1" applyFill="1" applyBorder="1" applyAlignment="1">
      <alignment horizontal="center" wrapText="1"/>
    </xf>
    <xf numFmtId="0" fontId="9" fillId="8" borderId="13" xfId="3" applyFont="1" applyFill="1" applyBorder="1" applyAlignment="1">
      <alignment horizontal="left" wrapText="1"/>
    </xf>
    <xf numFmtId="49" fontId="9" fillId="8" borderId="13" xfId="2" applyNumberFormat="1" applyFont="1" applyFill="1" applyBorder="1" applyAlignment="1">
      <alignment horizontal="left" wrapText="1"/>
    </xf>
    <xf numFmtId="0" fontId="9" fillId="8" borderId="13" xfId="4" applyFont="1" applyFill="1" applyBorder="1" applyAlignment="1">
      <alignment horizontal="left" wrapText="1"/>
    </xf>
    <xf numFmtId="0" fontId="9" fillId="8" borderId="13" xfId="6" applyNumberFormat="1" applyFont="1" applyFill="1" applyBorder="1" applyAlignment="1">
      <alignment horizontal="left" wrapText="1"/>
    </xf>
    <xf numFmtId="14" fontId="9" fillId="8" borderId="13" xfId="6" applyNumberFormat="1" applyFont="1" applyFill="1" applyBorder="1" applyAlignment="1">
      <alignment horizontal="left" wrapText="1"/>
    </xf>
    <xf numFmtId="0" fontId="9" fillId="8" borderId="13" xfId="6" applyNumberFormat="1" applyFont="1" applyFill="1" applyBorder="1" applyAlignment="1">
      <alignment horizontal="center" wrapText="1"/>
    </xf>
    <xf numFmtId="165" fontId="1" fillId="8" borderId="13" xfId="5" applyNumberFormat="1" applyFont="1" applyFill="1" applyBorder="1" applyAlignment="1">
      <alignment horizontal="left"/>
    </xf>
    <xf numFmtId="43" fontId="1" fillId="8" borderId="13" xfId="5" applyNumberFormat="1" applyFont="1" applyFill="1" applyBorder="1" applyAlignment="1">
      <alignment horizontal="left"/>
    </xf>
    <xf numFmtId="2" fontId="1" fillId="8" borderId="13" xfId="5" applyNumberFormat="1" applyFont="1" applyFill="1" applyBorder="1" applyAlignment="1">
      <alignment horizontal="left"/>
    </xf>
    <xf numFmtId="0" fontId="1" fillId="8" borderId="13" xfId="5" applyFont="1" applyFill="1" applyBorder="1" applyAlignment="1">
      <alignment horizontal="left"/>
    </xf>
    <xf numFmtId="9" fontId="1" fillId="8" borderId="18" xfId="5" applyNumberFormat="1" applyFont="1" applyFill="1" applyBorder="1" applyAlignment="1">
      <alignment horizontal="left"/>
    </xf>
    <xf numFmtId="0" fontId="9" fillId="7" borderId="17" xfId="1" applyFont="1" applyFill="1" applyBorder="1" applyAlignment="1">
      <alignment horizontal="left" wrapText="1"/>
    </xf>
    <xf numFmtId="0" fontId="9" fillId="7" borderId="13" xfId="2" applyFont="1" applyFill="1" applyBorder="1" applyAlignment="1">
      <alignment horizontal="left" wrapText="1"/>
    </xf>
    <xf numFmtId="0" fontId="9" fillId="7" borderId="13" xfId="2" applyFont="1" applyFill="1" applyBorder="1" applyAlignment="1">
      <alignment horizontal="center" wrapText="1"/>
    </xf>
    <xf numFmtId="0" fontId="9" fillId="7" borderId="13" xfId="3" applyFont="1" applyFill="1" applyBorder="1" applyAlignment="1">
      <alignment horizontal="left" wrapText="1"/>
    </xf>
    <xf numFmtId="49" fontId="9" fillId="7" borderId="13" xfId="2" applyNumberFormat="1" applyFont="1" applyFill="1" applyBorder="1" applyAlignment="1">
      <alignment horizontal="left" wrapText="1"/>
    </xf>
    <xf numFmtId="0" fontId="9" fillId="7" borderId="13" xfId="4" applyFont="1" applyFill="1" applyBorder="1" applyAlignment="1">
      <alignment horizontal="left" wrapText="1"/>
    </xf>
    <xf numFmtId="0" fontId="9" fillId="7" borderId="13" xfId="6" applyNumberFormat="1" applyFont="1" applyFill="1" applyBorder="1" applyAlignment="1">
      <alignment horizontal="left" wrapText="1"/>
    </xf>
    <xf numFmtId="14" fontId="9" fillId="7" borderId="13" xfId="6" applyNumberFormat="1" applyFont="1" applyFill="1" applyBorder="1" applyAlignment="1">
      <alignment horizontal="left" wrapText="1"/>
    </xf>
    <xf numFmtId="0" fontId="9" fillId="7" borderId="13" xfId="6" applyNumberFormat="1" applyFont="1" applyFill="1" applyBorder="1" applyAlignment="1">
      <alignment horizontal="center" wrapText="1"/>
    </xf>
    <xf numFmtId="165" fontId="1" fillId="7" borderId="13" xfId="5" applyNumberFormat="1" applyFont="1" applyFill="1" applyBorder="1" applyAlignment="1">
      <alignment horizontal="left"/>
    </xf>
    <xf numFmtId="43" fontId="1" fillId="7" borderId="13" xfId="5" applyNumberFormat="1" applyFont="1" applyFill="1" applyBorder="1" applyAlignment="1">
      <alignment horizontal="left"/>
    </xf>
    <xf numFmtId="2" fontId="1" fillId="7" borderId="13" xfId="5" applyNumberFormat="1" applyFont="1" applyFill="1" applyBorder="1" applyAlignment="1">
      <alignment horizontal="left"/>
    </xf>
    <xf numFmtId="0" fontId="1" fillId="7" borderId="13" xfId="5" applyFont="1" applyFill="1" applyBorder="1" applyAlignment="1">
      <alignment horizontal="left"/>
    </xf>
    <xf numFmtId="9" fontId="1" fillId="7" borderId="18" xfId="5" applyNumberFormat="1" applyFont="1" applyFill="1" applyBorder="1" applyAlignment="1">
      <alignment horizontal="left"/>
    </xf>
    <xf numFmtId="0" fontId="13" fillId="7" borderId="5" xfId="9" applyFont="1" applyFill="1" applyBorder="1" applyAlignment="1">
      <alignment horizontal="center" vertical="center"/>
    </xf>
    <xf numFmtId="0" fontId="0" fillId="7" borderId="0" xfId="0" applyFill="1"/>
    <xf numFmtId="0" fontId="9" fillId="7" borderId="19" xfId="1" applyFont="1" applyFill="1" applyBorder="1" applyAlignment="1">
      <alignment horizontal="left" wrapText="1"/>
    </xf>
    <xf numFmtId="0" fontId="9" fillId="7" borderId="20" xfId="2" applyFont="1" applyFill="1" applyBorder="1" applyAlignment="1">
      <alignment horizontal="left" wrapText="1"/>
    </xf>
    <xf numFmtId="0" fontId="9" fillId="7" borderId="20" xfId="2" applyFont="1" applyFill="1" applyBorder="1" applyAlignment="1">
      <alignment horizontal="center" wrapText="1"/>
    </xf>
    <xf numFmtId="0" fontId="9" fillId="7" borderId="20" xfId="3" applyFont="1" applyFill="1" applyBorder="1" applyAlignment="1">
      <alignment horizontal="left" wrapText="1"/>
    </xf>
    <xf numFmtId="49" fontId="9" fillId="7" borderId="20" xfId="2" applyNumberFormat="1" applyFont="1" applyFill="1" applyBorder="1" applyAlignment="1">
      <alignment horizontal="left" wrapText="1"/>
    </xf>
    <xf numFmtId="0" fontId="9" fillId="7" borderId="20" xfId="4" applyFont="1" applyFill="1" applyBorder="1" applyAlignment="1">
      <alignment horizontal="left" wrapText="1"/>
    </xf>
    <xf numFmtId="0" fontId="9" fillId="7" borderId="20" xfId="6" applyNumberFormat="1" applyFont="1" applyFill="1" applyBorder="1" applyAlignment="1">
      <alignment horizontal="left" wrapText="1"/>
    </xf>
    <xf numFmtId="14" fontId="9" fillId="7" borderId="20" xfId="6" applyNumberFormat="1" applyFont="1" applyFill="1" applyBorder="1" applyAlignment="1">
      <alignment horizontal="left" wrapText="1"/>
    </xf>
    <xf numFmtId="0" fontId="9" fillId="7" borderId="20" xfId="6" applyNumberFormat="1" applyFont="1" applyFill="1" applyBorder="1" applyAlignment="1">
      <alignment horizontal="center" wrapText="1"/>
    </xf>
    <xf numFmtId="165" fontId="1" fillId="7" borderId="20" xfId="5" applyNumberFormat="1" applyFont="1" applyFill="1" applyBorder="1" applyAlignment="1">
      <alignment horizontal="left"/>
    </xf>
    <xf numFmtId="43" fontId="1" fillId="7" borderId="20" xfId="5" applyNumberFormat="1" applyFont="1" applyFill="1" applyBorder="1" applyAlignment="1">
      <alignment horizontal="left"/>
    </xf>
    <xf numFmtId="2" fontId="1" fillId="7" borderId="20" xfId="5" applyNumberFormat="1" applyFont="1" applyFill="1" applyBorder="1" applyAlignment="1">
      <alignment horizontal="left"/>
    </xf>
    <xf numFmtId="0" fontId="1" fillId="7" borderId="20" xfId="5" applyFont="1" applyFill="1" applyBorder="1" applyAlignment="1">
      <alignment horizontal="left"/>
    </xf>
    <xf numFmtId="9" fontId="1" fillId="7" borderId="21" xfId="5" applyNumberFormat="1" applyFont="1" applyFill="1" applyBorder="1" applyAlignment="1">
      <alignment horizontal="left"/>
    </xf>
    <xf numFmtId="0" fontId="9" fillId="7" borderId="0" xfId="1" applyFont="1" applyFill="1" applyAlignment="1">
      <alignment horizontal="left" wrapText="1"/>
    </xf>
    <xf numFmtId="0" fontId="9" fillId="7" borderId="0" xfId="2" applyFont="1" applyFill="1" applyAlignment="1">
      <alignment horizontal="left" wrapText="1"/>
    </xf>
    <xf numFmtId="0" fontId="9" fillId="7" borderId="0" xfId="2" applyFont="1" applyFill="1" applyAlignment="1">
      <alignment horizontal="center" wrapText="1"/>
    </xf>
    <xf numFmtId="49" fontId="9" fillId="7" borderId="0" xfId="2" applyNumberFormat="1" applyFont="1" applyFill="1" applyAlignment="1">
      <alignment horizontal="left" wrapText="1"/>
    </xf>
    <xf numFmtId="0" fontId="9" fillId="7" borderId="0" xfId="4" applyFont="1" applyFill="1" applyAlignment="1">
      <alignment horizontal="left" wrapText="1"/>
    </xf>
    <xf numFmtId="0" fontId="6" fillId="7" borderId="0" xfId="6" applyNumberFormat="1" applyFont="1" applyFill="1" applyAlignment="1">
      <alignment horizontal="center"/>
    </xf>
    <xf numFmtId="165" fontId="6" fillId="7" borderId="0" xfId="5" applyNumberFormat="1" applyFill="1" applyAlignment="1">
      <alignment horizontal="left"/>
    </xf>
    <xf numFmtId="2" fontId="6" fillId="7" borderId="0" xfId="5" applyNumberFormat="1" applyFill="1" applyAlignment="1">
      <alignment horizontal="left"/>
    </xf>
    <xf numFmtId="0" fontId="6" fillId="7" borderId="0" xfId="5" applyFill="1" applyAlignment="1">
      <alignment horizontal="center"/>
    </xf>
    <xf numFmtId="49" fontId="6" fillId="7" borderId="0" xfId="5" applyNumberFormat="1" applyFill="1" applyAlignment="1">
      <alignment horizontal="left"/>
    </xf>
    <xf numFmtId="0" fontId="14" fillId="7" borderId="14" xfId="1" applyFont="1" applyFill="1" applyBorder="1" applyAlignment="1">
      <alignment horizontal="center" vertical="center"/>
    </xf>
    <xf numFmtId="0" fontId="14" fillId="7" borderId="15" xfId="2" applyFont="1" applyFill="1" applyBorder="1" applyAlignment="1">
      <alignment horizontal="center" vertical="center"/>
    </xf>
    <xf numFmtId="0" fontId="14" fillId="7" borderId="15" xfId="2" applyFont="1" applyFill="1" applyBorder="1" applyAlignment="1">
      <alignment horizontal="center"/>
    </xf>
    <xf numFmtId="0" fontId="14" fillId="7" borderId="15" xfId="3" applyFont="1" applyFill="1" applyBorder="1" applyAlignment="1">
      <alignment horizontal="center" vertical="center"/>
    </xf>
    <xf numFmtId="49" fontId="14" fillId="7" borderId="15" xfId="2" applyNumberFormat="1" applyFont="1" applyFill="1" applyBorder="1" applyAlignment="1">
      <alignment horizontal="center" vertical="center"/>
    </xf>
    <xf numFmtId="0" fontId="14" fillId="7" borderId="15" xfId="4" applyFont="1" applyFill="1" applyBorder="1" applyAlignment="1">
      <alignment horizontal="center" vertical="center"/>
    </xf>
    <xf numFmtId="0" fontId="14" fillId="7" borderId="15" xfId="6" applyNumberFormat="1" applyFont="1" applyFill="1" applyBorder="1" applyAlignment="1">
      <alignment horizontal="center" vertical="center"/>
    </xf>
    <xf numFmtId="165" fontId="14" fillId="7" borderId="15" xfId="3" applyNumberFormat="1" applyFont="1" applyFill="1" applyBorder="1" applyAlignment="1">
      <alignment horizontal="center" vertical="center"/>
    </xf>
    <xf numFmtId="2" fontId="14" fillId="7" borderId="15" xfId="3" applyNumberFormat="1" applyFont="1" applyFill="1" applyBorder="1" applyAlignment="1">
      <alignment horizontal="center" vertical="center"/>
    </xf>
    <xf numFmtId="0" fontId="14" fillId="7" borderId="16" xfId="3" applyFont="1" applyFill="1" applyBorder="1" applyAlignment="1">
      <alignment horizontal="center" vertical="center"/>
    </xf>
    <xf numFmtId="0" fontId="1" fillId="7" borderId="0" xfId="5" applyFont="1" applyFill="1" applyAlignment="1">
      <alignment horizontal="left"/>
    </xf>
    <xf numFmtId="0" fontId="13" fillId="7" borderId="2" xfId="5" applyFont="1" applyFill="1" applyBorder="1" applyAlignment="1">
      <alignment horizontal="center" vertical="center"/>
    </xf>
    <xf numFmtId="0" fontId="1" fillId="7" borderId="2" xfId="5" applyFont="1" applyFill="1" applyBorder="1" applyAlignment="1">
      <alignment horizontal="center" vertical="center"/>
    </xf>
    <xf numFmtId="0" fontId="13" fillId="7" borderId="3" xfId="5" applyFont="1" applyFill="1" applyBorder="1" applyAlignment="1">
      <alignment horizontal="center" vertical="center"/>
    </xf>
    <xf numFmtId="164" fontId="1" fillId="7" borderId="1" xfId="6" applyNumberFormat="1" applyFont="1" applyFill="1" applyBorder="1" applyAlignment="1">
      <alignment horizontal="center" vertical="center"/>
    </xf>
    <xf numFmtId="164" fontId="1" fillId="7" borderId="5" xfId="6" applyNumberFormat="1" applyFont="1" applyFill="1" applyBorder="1"/>
    <xf numFmtId="9" fontId="1" fillId="7" borderId="5" xfId="11" applyFont="1" applyFill="1" applyBorder="1"/>
    <xf numFmtId="9" fontId="0" fillId="0" borderId="0" xfId="0" applyNumberFormat="1"/>
    <xf numFmtId="0" fontId="16" fillId="0" borderId="0" xfId="0" applyFont="1"/>
    <xf numFmtId="0" fontId="0" fillId="11" borderId="0" xfId="0" applyFill="1"/>
    <xf numFmtId="0" fontId="17" fillId="11" borderId="0" xfId="0" applyFont="1" applyFill="1"/>
    <xf numFmtId="0" fontId="0" fillId="12" borderId="0" xfId="0" applyFill="1"/>
    <xf numFmtId="0" fontId="0" fillId="10" borderId="0" xfId="0" applyFill="1"/>
    <xf numFmtId="0" fontId="0" fillId="0" borderId="0" xfId="0" applyNumberFormat="1"/>
    <xf numFmtId="1" fontId="0" fillId="0" borderId="0" xfId="0" applyNumberFormat="1"/>
    <xf numFmtId="164" fontId="0" fillId="0" borderId="0" xfId="0" applyNumberFormat="1"/>
    <xf numFmtId="166" fontId="0" fillId="0" borderId="0" xfId="0" applyNumberFormat="1"/>
    <xf numFmtId="0" fontId="19" fillId="11" borderId="0" xfId="0" applyFont="1" applyFill="1"/>
    <xf numFmtId="0" fontId="18" fillId="12" borderId="0" xfId="0" applyFont="1" applyFill="1" applyAlignment="1"/>
    <xf numFmtId="0" fontId="18" fillId="12" borderId="0" xfId="0" applyFont="1" applyFill="1" applyAlignment="1">
      <alignment horizontal="center"/>
    </xf>
    <xf numFmtId="0" fontId="15" fillId="9" borderId="0" xfId="0" applyFont="1" applyFill="1" applyAlignment="1">
      <alignment horizontal="center" vertical="center"/>
    </xf>
    <xf numFmtId="0" fontId="15" fillId="10" borderId="0" xfId="0" applyFont="1" applyFill="1" applyAlignment="1">
      <alignment horizontal="center" vertical="center"/>
    </xf>
    <xf numFmtId="0" fontId="20" fillId="12" borderId="0" xfId="0" applyFont="1" applyFill="1" applyAlignment="1">
      <alignment horizontal="center"/>
    </xf>
  </cellXfs>
  <cellStyles count="13">
    <cellStyle name="Comma" xfId="6" builtinId="3"/>
    <cellStyle name="Currency 3" xfId="10" xr:uid="{FD040ABC-FB59-463D-9A00-07DB96BDA998}"/>
    <cellStyle name="Normal" xfId="0" builtinId="0"/>
    <cellStyle name="Normal 2" xfId="9" xr:uid="{01E3FB0B-6796-4523-B50F-8E39FACFD317}"/>
    <cellStyle name="Normal 2 2" xfId="5" xr:uid="{AD5C0FFD-AF81-4179-A0FF-A7EDCF6E3B06}"/>
    <cellStyle name="Normal 2 2 2" xfId="7" xr:uid="{59299354-C2DC-49D1-8C63-17EAE9A48BA6}"/>
    <cellStyle name="Normal 2 2 2 2" xfId="12" xr:uid="{C3ECB3E3-A965-4C52-B9A2-EBA841BAF80F}"/>
    <cellStyle name="Normal_Customers" xfId="1" xr:uid="{500A0772-650B-4289-8B8B-697C2CCBC49B}"/>
    <cellStyle name="Normal_Employees" xfId="3" xr:uid="{5B0983A8-65A9-45ED-8259-E99188D0857C}"/>
    <cellStyle name="Normal_Orders" xfId="4" xr:uid="{013E7E35-F8C3-4D6F-A256-345AC5E283F5}"/>
    <cellStyle name="Normal_Sheet1" xfId="2" xr:uid="{1E836CB1-59F9-43D0-9640-04CF270A1518}"/>
    <cellStyle name="Percent 2 2" xfId="8" xr:uid="{37B85EF9-35A8-462F-B9CB-6EAD89B92AE7}"/>
    <cellStyle name="Percent 4" xfId="11" xr:uid="{49A4C5D7-A15D-457E-A84B-1466877119C5}"/>
  </cellStyles>
  <dxfs count="110">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numFmt numFmtId="1" formatCode="0"/>
    </dxf>
    <dxf>
      <numFmt numFmtId="164" formatCode="_(* #,##0_);_(* \(#,##0\);_(* &quot;-&quot;??_);_(@_)"/>
    </dxf>
    <dxf>
      <numFmt numFmtId="166" formatCode="#,"/>
    </dxf>
    <dxf>
      <font>
        <b/>
        <i/>
      </font>
      <fill>
        <patternFill>
          <bgColor theme="4" tint="0.59996337778862885"/>
        </patternFill>
      </fill>
    </dxf>
    <dxf>
      <font>
        <b/>
        <i/>
      </font>
      <fill>
        <patternFill>
          <bgColor theme="4" tint="0.59996337778862885"/>
        </patternFill>
      </fill>
    </dxf>
    <dxf>
      <numFmt numFmtId="166" formatCode="#,"/>
    </dxf>
    <dxf>
      <numFmt numFmtId="164" formatCode="_(* #,##0_);_(* \(#,##0\);_(* &quot;-&quot;??_);_(@_)"/>
    </dxf>
    <dxf>
      <numFmt numFmtId="1" formatCode="0"/>
    </dxf>
    <dxf>
      <font>
        <b val="0"/>
        <i val="0"/>
        <strike val="0"/>
        <condense val="0"/>
        <extend val="0"/>
        <outline val="0"/>
        <shadow val="0"/>
        <u val="none"/>
        <vertAlign val="baseline"/>
        <sz val="11"/>
        <color theme="1"/>
        <name val="Aptos Narrow"/>
        <family val="2"/>
        <scheme val="minor"/>
      </font>
      <numFmt numFmtId="13" formatCode="0%"/>
      <alignment horizontal="left" vertical="bottom" textRotation="0" wrapText="0" indent="0"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numFmt numFmtId="2" formatCode="0.00"/>
      <alignment horizontal="left" vertical="bottom"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numFmt numFmtId="35" formatCode="_(* #,##0.00_);_(* \(#,##0.00\);_(* &quot;-&quot;??_);_(@_)"/>
      <alignment horizontal="left" vertical="bottom"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ptos Narrow"/>
        <family val="2"/>
        <scheme val="minor"/>
      </font>
      <numFmt numFmtId="165" formatCode="0.0"/>
      <alignment horizontal="left" vertical="bottom"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left" vertical="bottom"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30" formatCode="@"/>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numFmt numFmtId="0" formatCode="General"/>
      <alignment horizontal="center"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dxf>
    <dxf>
      <border outline="0">
        <top style="thin">
          <color theme="0" tint="-0.24994659260841701"/>
        </top>
      </border>
    </dxf>
    <dxf>
      <border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border outline="0">
        <bottom style="thin">
          <color theme="0" tint="-0.24994659260841701"/>
        </bottom>
      </border>
    </dxf>
    <dxf>
      <font>
        <b/>
        <i val="0"/>
        <strike val="0"/>
        <condense val="0"/>
        <extend val="0"/>
        <outline val="0"/>
        <shadow val="0"/>
        <u val="none"/>
        <vertAlign val="baseline"/>
        <sz val="11"/>
        <color theme="0"/>
        <name val="Calibri"/>
        <family val="2"/>
        <scheme val="none"/>
      </font>
      <fill>
        <patternFill patternType="solid">
          <fgColor indexed="64"/>
          <bgColor rgb="FF0070C0"/>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
      <font>
        <b/>
        <i/>
      </font>
      <fill>
        <patternFill>
          <bgColor theme="4" tint="0.59996337778862885"/>
        </patternFill>
      </fill>
    </dxf>
    <dxf>
      <font>
        <b/>
        <i/>
      </font>
      <fill>
        <patternFill>
          <bgColor theme="4" tint="0.59996337778862885"/>
        </patternFill>
      </fill>
    </dxf>
  </dxfs>
  <tableStyles count="0" defaultTableStyle="TableStyleMedium2" defaultPivotStyle="PivotStyleLight16"/>
  <colors>
    <mruColors>
      <color rgb="FF3EC8D6"/>
      <color rgb="FF9FEDEB"/>
      <color rgb="FFC97DB9"/>
      <color rgb="FFF6DEF4"/>
      <color rgb="FFFFCCFF"/>
      <color rgb="FF661C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[fatmaYusfReport2-week6_assignment.xlsx]Pivot!PivotTable4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Employees by</a:t>
            </a:r>
            <a:r>
              <a:rPr lang="en-US" b="1" baseline="0"/>
              <a:t> Deparment &amp; work Type</a:t>
            </a:r>
            <a:endParaRPr lang="en-US" b="1"/>
          </a:p>
        </c:rich>
      </c:tx>
      <c:layout>
        <c:manualLayout>
          <c:xMode val="edge"/>
          <c:yMode val="edge"/>
          <c:x val="0.22803072410066388"/>
          <c:y val="3.645845870905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13721053937386E-2"/>
          <c:y val="0.16902999990670109"/>
          <c:w val="0.89550117138243301"/>
          <c:h val="0.66852228911909106"/>
        </c:manualLayout>
      </c:layout>
      <c:barChart>
        <c:barDir val="col"/>
        <c:grouping val="clustered"/>
        <c:varyColors val="0"/>
        <c:ser>
          <c:idx val="0"/>
          <c:order val="0"/>
          <c:tx>
            <c:strRef>
              <c:f>Pivot!$K$3:$K$4</c:f>
              <c:strCache>
                <c:ptCount val="1"/>
                <c:pt idx="0">
                  <c:v>Contract</c:v>
                </c:pt>
              </c:strCache>
            </c:strRef>
          </c:tx>
          <c:spPr>
            <a:solidFill>
              <a:schemeClr val="accent5">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Pivot!$K$5:$K$13</c:f>
              <c:numCache>
                <c:formatCode>General</c:formatCode>
                <c:ptCount val="9"/>
                <c:pt idx="0">
                  <c:v>11</c:v>
                </c:pt>
                <c:pt idx="1">
                  <c:v>2</c:v>
                </c:pt>
                <c:pt idx="2">
                  <c:v>18</c:v>
                </c:pt>
                <c:pt idx="3">
                  <c:v>11</c:v>
                </c:pt>
                <c:pt idx="4">
                  <c:v>23</c:v>
                </c:pt>
                <c:pt idx="5">
                  <c:v>25</c:v>
                </c:pt>
                <c:pt idx="6">
                  <c:v>5</c:v>
                </c:pt>
                <c:pt idx="7">
                  <c:v>6</c:v>
                </c:pt>
                <c:pt idx="8">
                  <c:v>6</c:v>
                </c:pt>
              </c:numCache>
            </c:numRef>
          </c:val>
          <c:extLst>
            <c:ext xmlns:c16="http://schemas.microsoft.com/office/drawing/2014/chart" uri="{C3380CC4-5D6E-409C-BE32-E72D297353CC}">
              <c16:uniqueId val="{0000001C-EE21-4442-92DB-2E560F2F06A4}"/>
            </c:ext>
          </c:extLst>
        </c:ser>
        <c:ser>
          <c:idx val="1"/>
          <c:order val="1"/>
          <c:tx>
            <c:strRef>
              <c:f>Pivot!$L$3:$L$4</c:f>
              <c:strCache>
                <c:ptCount val="1"/>
                <c:pt idx="0">
                  <c:v>Full Time</c:v>
                </c:pt>
              </c:strCache>
            </c:strRef>
          </c:tx>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Pivot!$L$5:$L$13</c:f>
              <c:numCache>
                <c:formatCode>General</c:formatCode>
                <c:ptCount val="9"/>
                <c:pt idx="0">
                  <c:v>21</c:v>
                </c:pt>
                <c:pt idx="1">
                  <c:v>2</c:v>
                </c:pt>
                <c:pt idx="2">
                  <c:v>21</c:v>
                </c:pt>
                <c:pt idx="3">
                  <c:v>9</c:v>
                </c:pt>
                <c:pt idx="4">
                  <c:v>30</c:v>
                </c:pt>
                <c:pt idx="5">
                  <c:v>24</c:v>
                </c:pt>
                <c:pt idx="6">
                  <c:v>5</c:v>
                </c:pt>
                <c:pt idx="7">
                  <c:v>3</c:v>
                </c:pt>
                <c:pt idx="8">
                  <c:v>6</c:v>
                </c:pt>
              </c:numCache>
            </c:numRef>
          </c:val>
          <c:extLst>
            <c:ext xmlns:c16="http://schemas.microsoft.com/office/drawing/2014/chart" uri="{C3380CC4-5D6E-409C-BE32-E72D297353CC}">
              <c16:uniqueId val="{0000000A-DF4F-4840-9F6B-A7C3689102C8}"/>
            </c:ext>
          </c:extLst>
        </c:ser>
        <c:ser>
          <c:idx val="2"/>
          <c:order val="2"/>
          <c:tx>
            <c:strRef>
              <c:f>Pivot!$M$3:$M$4</c:f>
              <c:strCache>
                <c:ptCount val="1"/>
                <c:pt idx="0">
                  <c:v>Half-Time</c:v>
                </c:pt>
              </c:strCache>
            </c:strRef>
          </c:tx>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Pivot!$M$5:$M$13</c:f>
              <c:numCache>
                <c:formatCode>General</c:formatCode>
                <c:ptCount val="9"/>
                <c:pt idx="0">
                  <c:v>3</c:v>
                </c:pt>
                <c:pt idx="2">
                  <c:v>10</c:v>
                </c:pt>
                <c:pt idx="3">
                  <c:v>3</c:v>
                </c:pt>
                <c:pt idx="4">
                  <c:v>6</c:v>
                </c:pt>
                <c:pt idx="5">
                  <c:v>8</c:v>
                </c:pt>
                <c:pt idx="7">
                  <c:v>3</c:v>
                </c:pt>
                <c:pt idx="8">
                  <c:v>3</c:v>
                </c:pt>
              </c:numCache>
            </c:numRef>
          </c:val>
          <c:extLst>
            <c:ext xmlns:c16="http://schemas.microsoft.com/office/drawing/2014/chart" uri="{C3380CC4-5D6E-409C-BE32-E72D297353CC}">
              <c16:uniqueId val="{0000000B-DF4F-4840-9F6B-A7C3689102C8}"/>
            </c:ext>
          </c:extLst>
        </c:ser>
        <c:ser>
          <c:idx val="3"/>
          <c:order val="3"/>
          <c:tx>
            <c:strRef>
              <c:f>Pivot!$N$3:$N$4</c:f>
              <c:strCache>
                <c:ptCount val="1"/>
                <c:pt idx="0">
                  <c:v>Hourly</c:v>
                </c:pt>
              </c:strCache>
            </c:strRef>
          </c:tx>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Pivot!$N$5:$N$13</c:f>
              <c:numCache>
                <c:formatCode>General</c:formatCode>
                <c:ptCount val="9"/>
                <c:pt idx="0">
                  <c:v>4</c:v>
                </c:pt>
                <c:pt idx="1">
                  <c:v>1</c:v>
                </c:pt>
                <c:pt idx="2">
                  <c:v>6</c:v>
                </c:pt>
                <c:pt idx="3">
                  <c:v>1</c:v>
                </c:pt>
                <c:pt idx="4">
                  <c:v>12</c:v>
                </c:pt>
                <c:pt idx="5">
                  <c:v>8</c:v>
                </c:pt>
                <c:pt idx="7">
                  <c:v>3</c:v>
                </c:pt>
                <c:pt idx="8">
                  <c:v>1</c:v>
                </c:pt>
              </c:numCache>
            </c:numRef>
          </c:val>
          <c:extLst>
            <c:ext xmlns:c16="http://schemas.microsoft.com/office/drawing/2014/chart" uri="{C3380CC4-5D6E-409C-BE32-E72D297353CC}">
              <c16:uniqueId val="{0000000C-DF4F-4840-9F6B-A7C3689102C8}"/>
            </c:ext>
          </c:extLst>
        </c:ser>
        <c:dLbls>
          <c:dLblPos val="outEnd"/>
          <c:showLegendKey val="0"/>
          <c:showVal val="1"/>
          <c:showCatName val="0"/>
          <c:showSerName val="0"/>
          <c:showPercent val="0"/>
          <c:showBubbleSize val="0"/>
        </c:dLbls>
        <c:gapWidth val="219"/>
        <c:overlap val="-27"/>
        <c:axId val="437733760"/>
        <c:axId val="437734120"/>
      </c:barChart>
      <c:catAx>
        <c:axId val="43773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miter lim="800000"/>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437734120"/>
        <c:crosses val="autoZero"/>
        <c:auto val="1"/>
        <c:lblAlgn val="ctr"/>
        <c:lblOffset val="100"/>
        <c:noMultiLvlLbl val="0"/>
      </c:catAx>
      <c:valAx>
        <c:axId val="43773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3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[fatmaYusfReport2-week6_assignment.xlsx]Pivot!PivotTable5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s>
    <c:plotArea>
      <c:layout>
        <c:manualLayout>
          <c:layoutTarget val="inner"/>
          <c:xMode val="edge"/>
          <c:yMode val="edge"/>
          <c:x val="5.1489492694690629E-2"/>
          <c:y val="0.13014819597303343"/>
          <c:w val="0.78335795545434883"/>
          <c:h val="0.82545732074395184"/>
        </c:manualLayout>
      </c:layout>
      <c:doughnutChart>
        <c:varyColors val="1"/>
        <c:ser>
          <c:idx val="0"/>
          <c:order val="0"/>
          <c:tx>
            <c:strRef>
              <c:f>Pivot!$P$3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3A7-40F3-B20A-794AFA3B987C}"/>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3A7-40F3-B20A-794AFA3B98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Pivot!$O$4:$O$5</c:f>
              <c:strCache>
                <c:ptCount val="2"/>
                <c:pt idx="0">
                  <c:v>Female</c:v>
                </c:pt>
                <c:pt idx="1">
                  <c:v>Male</c:v>
                </c:pt>
              </c:strCache>
            </c:strRef>
          </c:cat>
          <c:val>
            <c:numRef>
              <c:f>Pivot!$P$4:$P$5</c:f>
              <c:numCache>
                <c:formatCode>General</c:formatCode>
                <c:ptCount val="2"/>
                <c:pt idx="0">
                  <c:v>115</c:v>
                </c:pt>
                <c:pt idx="1">
                  <c:v>185</c:v>
                </c:pt>
              </c:numCache>
            </c:numRef>
          </c:val>
          <c:extLst>
            <c:ext xmlns:c16="http://schemas.microsoft.com/office/drawing/2014/chart" uri="{C3380CC4-5D6E-409C-BE32-E72D297353CC}">
              <c16:uniqueId val="{0000000A-203D-4BF0-92DE-B3E5925C53AC}"/>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[fatmaYusfReport2-week6_assignment.xlsx]Pivot!PivotTable6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Employees by money transfer</a:t>
            </a:r>
          </a:p>
        </c:rich>
      </c:tx>
      <c:layout>
        <c:manualLayout>
          <c:xMode val="edge"/>
          <c:yMode val="edge"/>
          <c:x val="0.15711259678061087"/>
          <c:y val="1.49949682363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s>
    <c:plotArea>
      <c:layout>
        <c:manualLayout>
          <c:layoutTarget val="inner"/>
          <c:xMode val="edge"/>
          <c:yMode val="edge"/>
          <c:x val="0.12238954625749715"/>
          <c:y val="0.13736359458621453"/>
          <c:w val="0.71525738178833109"/>
          <c:h val="0.82547796940246798"/>
        </c:manualLayout>
      </c:layout>
      <c:doughnutChart>
        <c:varyColors val="1"/>
        <c:ser>
          <c:idx val="0"/>
          <c:order val="0"/>
          <c:tx>
            <c:strRef>
              <c:f>Pivot!$T$3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32B5-40AC-B239-3A9F27F6B569}"/>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32B5-40AC-B239-3A9F27F6B569}"/>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32B5-40AC-B239-3A9F27F6B569}"/>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32B5-40AC-B239-3A9F27F6B5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Pivot!$S$4:$S$7</c:f>
              <c:strCache>
                <c:ptCount val="4"/>
                <c:pt idx="0">
                  <c:v>Debt Card</c:v>
                </c:pt>
                <c:pt idx="1">
                  <c:v>Hawala</c:v>
                </c:pt>
                <c:pt idx="2">
                  <c:v>Master Card</c:v>
                </c:pt>
                <c:pt idx="3">
                  <c:v>Western Union</c:v>
                </c:pt>
              </c:strCache>
            </c:strRef>
          </c:cat>
          <c:val>
            <c:numRef>
              <c:f>Pivot!$T$4:$T$7</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E-3B91-46C7-A49C-7D4AF7EBAA3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[fatmaYusfReport2-week6_assignment.xlsx]Pivot!PivotTable7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Extra</a:t>
            </a:r>
            <a:r>
              <a:rPr lang="en-US" b="1" baseline="0"/>
              <a:t> Bonus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s>
    <c:plotArea>
      <c:layout>
        <c:manualLayout>
          <c:layoutTarget val="inner"/>
          <c:xMode val="edge"/>
          <c:yMode val="edge"/>
          <c:x val="0.13674715913154339"/>
          <c:y val="0.11256712261523238"/>
          <c:w val="0.66917101088860509"/>
          <c:h val="0.82215662831981251"/>
        </c:manualLayout>
      </c:layout>
      <c:doughnutChart>
        <c:varyColors val="1"/>
        <c:ser>
          <c:idx val="0"/>
          <c:order val="0"/>
          <c:tx>
            <c:strRef>
              <c:f>Pivot!$X$3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25E-4C4E-A5F3-1161D89D248E}"/>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225E-4C4E-A5F3-1161D89D248E}"/>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25E-4C4E-A5F3-1161D89D248E}"/>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25E-4C4E-A5F3-1161D89D24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Pivot!$W$4:$W$7</c:f>
              <c:strCache>
                <c:ptCount val="4"/>
                <c:pt idx="0">
                  <c:v>2%</c:v>
                </c:pt>
                <c:pt idx="1">
                  <c:v>5%</c:v>
                </c:pt>
                <c:pt idx="2">
                  <c:v>8%</c:v>
                </c:pt>
                <c:pt idx="3">
                  <c:v>10%</c:v>
                </c:pt>
              </c:strCache>
            </c:strRef>
          </c:cat>
          <c:val>
            <c:numRef>
              <c:f>Pivot!$X$4:$X$7</c:f>
              <c:numCache>
                <c:formatCode>General</c:formatCode>
                <c:ptCount val="4"/>
                <c:pt idx="0">
                  <c:v>52</c:v>
                </c:pt>
                <c:pt idx="1">
                  <c:v>150</c:v>
                </c:pt>
                <c:pt idx="2">
                  <c:v>84</c:v>
                </c:pt>
                <c:pt idx="3">
                  <c:v>14</c:v>
                </c:pt>
              </c:numCache>
            </c:numRef>
          </c:val>
          <c:extLst>
            <c:ext xmlns:c16="http://schemas.microsoft.com/office/drawing/2014/chart" uri="{C3380CC4-5D6E-409C-BE32-E72D297353CC}">
              <c16:uniqueId val="{0000000E-E61C-471B-ADAB-E18565CE861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80069822643496191"/>
          <c:y val="0.39738786818314376"/>
          <c:w val="9.4564038440589013E-2"/>
          <c:h val="0.244367890469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[fatmaYusfReport2-week6_assignment.xlsx]Pivot!PivotTable8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Salary &amp; </a:t>
            </a:r>
            <a:r>
              <a:rPr lang="en-US" b="1"/>
              <a:t>Count of Employees By Hiring</a:t>
            </a:r>
            <a:r>
              <a:rPr lang="en-US" b="1" baseline="0"/>
              <a:t> Year</a:t>
            </a:r>
          </a:p>
        </c:rich>
      </c:tx>
      <c:layout>
        <c:manualLayout>
          <c:xMode val="edge"/>
          <c:yMode val="edge"/>
          <c:x val="0.39599771756055302"/>
          <c:y val="2.1803854017188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00B0F0"/>
            </a:solidFill>
          </a:ln>
          <a:effectLst/>
        </c:spPr>
      </c:pivotFmt>
      <c:pivotFmt>
        <c:idx val="7"/>
        <c:spPr>
          <a:solidFill>
            <a:schemeClr val="accent1"/>
          </a:solidFill>
          <a:ln>
            <a:solidFill>
              <a:srgbClr val="00B0F0"/>
            </a:solidFill>
          </a:ln>
          <a:effectLst/>
        </c:spPr>
      </c:pivotFmt>
      <c:pivotFmt>
        <c:idx val="8"/>
        <c:spPr>
          <a:solidFill>
            <a:schemeClr val="accent1"/>
          </a:solidFill>
          <a:ln>
            <a:solidFill>
              <a:srgbClr val="00B0F0"/>
            </a:solidFill>
          </a:ln>
          <a:effectLst/>
        </c:spPr>
      </c:pivotFmt>
    </c:pivotFmts>
    <c:plotArea>
      <c:layout>
        <c:manualLayout>
          <c:layoutTarget val="inner"/>
          <c:xMode val="edge"/>
          <c:yMode val="edge"/>
          <c:x val="4.2176578854868085E-2"/>
          <c:y val="0.12342841282535884"/>
          <c:w val="0.92660718253532115"/>
          <c:h val="0.81043952506513262"/>
        </c:manualLayout>
      </c:layout>
      <c:barChart>
        <c:barDir val="col"/>
        <c:grouping val="clustered"/>
        <c:varyColors val="0"/>
        <c:ser>
          <c:idx val="0"/>
          <c:order val="0"/>
          <c:tx>
            <c:strRef>
              <c:f>Pivot!$AB$3</c:f>
              <c:strCache>
                <c:ptCount val="1"/>
                <c:pt idx="0">
                  <c:v>Sum of ID</c:v>
                </c:pt>
              </c:strCache>
            </c:strRef>
          </c:tx>
          <c:spPr>
            <a:solidFill>
              <a:schemeClr val="accent1"/>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Pivot!$AB$4:$AB$37</c:f>
              <c:numCache>
                <c:formatCode>#,</c:formatCode>
                <c:ptCount val="34"/>
                <c:pt idx="0">
                  <c:v>8112</c:v>
                </c:pt>
                <c:pt idx="1">
                  <c:v>10666</c:v>
                </c:pt>
                <c:pt idx="2">
                  <c:v>15659</c:v>
                </c:pt>
                <c:pt idx="3">
                  <c:v>13458</c:v>
                </c:pt>
                <c:pt idx="4">
                  <c:v>12530</c:v>
                </c:pt>
                <c:pt idx="5">
                  <c:v>11569</c:v>
                </c:pt>
                <c:pt idx="6">
                  <c:v>12664</c:v>
                </c:pt>
                <c:pt idx="7">
                  <c:v>9212</c:v>
                </c:pt>
                <c:pt idx="8">
                  <c:v>6846</c:v>
                </c:pt>
                <c:pt idx="9">
                  <c:v>6384</c:v>
                </c:pt>
                <c:pt idx="10">
                  <c:v>9400</c:v>
                </c:pt>
                <c:pt idx="11">
                  <c:v>15269</c:v>
                </c:pt>
                <c:pt idx="12">
                  <c:v>12653</c:v>
                </c:pt>
                <c:pt idx="13">
                  <c:v>8119</c:v>
                </c:pt>
                <c:pt idx="14">
                  <c:v>13201</c:v>
                </c:pt>
                <c:pt idx="15">
                  <c:v>7740</c:v>
                </c:pt>
                <c:pt idx="16">
                  <c:v>6616</c:v>
                </c:pt>
                <c:pt idx="17">
                  <c:v>8167</c:v>
                </c:pt>
                <c:pt idx="18">
                  <c:v>11537</c:v>
                </c:pt>
                <c:pt idx="19">
                  <c:v>5720</c:v>
                </c:pt>
                <c:pt idx="20">
                  <c:v>9524</c:v>
                </c:pt>
                <c:pt idx="21">
                  <c:v>13386</c:v>
                </c:pt>
                <c:pt idx="22">
                  <c:v>10503</c:v>
                </c:pt>
                <c:pt idx="23">
                  <c:v>9389</c:v>
                </c:pt>
                <c:pt idx="24">
                  <c:v>9260</c:v>
                </c:pt>
                <c:pt idx="25">
                  <c:v>10656</c:v>
                </c:pt>
                <c:pt idx="26">
                  <c:v>6960</c:v>
                </c:pt>
                <c:pt idx="27">
                  <c:v>9440</c:v>
                </c:pt>
                <c:pt idx="28">
                  <c:v>11564</c:v>
                </c:pt>
                <c:pt idx="29">
                  <c:v>11138</c:v>
                </c:pt>
                <c:pt idx="30">
                  <c:v>12338</c:v>
                </c:pt>
                <c:pt idx="31">
                  <c:v>9139</c:v>
                </c:pt>
                <c:pt idx="32">
                  <c:v>8214</c:v>
                </c:pt>
                <c:pt idx="33">
                  <c:v>8117</c:v>
                </c:pt>
              </c:numCache>
            </c:numRef>
          </c:val>
          <c:extLst>
            <c:ext xmlns:c16="http://schemas.microsoft.com/office/drawing/2014/chart" uri="{C3380CC4-5D6E-409C-BE32-E72D297353CC}">
              <c16:uniqueId val="{0000000C-AC18-4419-92D1-35954C779383}"/>
            </c:ext>
          </c:extLst>
        </c:ser>
        <c:ser>
          <c:idx val="1"/>
          <c:order val="1"/>
          <c:tx>
            <c:strRef>
              <c:f>Pivot!$AC$3</c:f>
              <c:strCache>
                <c:ptCount val="1"/>
                <c:pt idx="0">
                  <c:v>Sum of Net Salary</c:v>
                </c:pt>
              </c:strCache>
            </c:strRef>
          </c:tx>
          <c:spPr>
            <a:solidFill>
              <a:schemeClr val="accent5">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Pivot!$AC$4:$AC$37</c:f>
              <c:numCache>
                <c:formatCode>_(* #,##0_);_(* \(#,##0\);_(* "-"??_);_(@_)</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39245.999999999993</c:v>
                </c:pt>
                <c:pt idx="19">
                  <c:v>24770.550000000003</c:v>
                </c:pt>
                <c:pt idx="20">
                  <c:v>42225.72</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D-AC18-4419-92D1-35954C779383}"/>
            </c:ext>
          </c:extLst>
        </c:ser>
        <c:dLbls>
          <c:showLegendKey val="0"/>
          <c:showVal val="0"/>
          <c:showCatName val="0"/>
          <c:showSerName val="0"/>
          <c:showPercent val="0"/>
          <c:showBubbleSize val="0"/>
        </c:dLbls>
        <c:gapWidth val="57"/>
        <c:axId val="1383744639"/>
        <c:axId val="726467631"/>
      </c:barChart>
      <c:valAx>
        <c:axId val="726467631"/>
        <c:scaling>
          <c:orientation val="minMax"/>
        </c:scaling>
        <c:delete val="0"/>
        <c:axPos val="r"/>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44639"/>
        <c:crosses val="max"/>
        <c:crossBetween val="between"/>
      </c:valAx>
      <c:catAx>
        <c:axId val="138374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67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 of Employees by Country</cx:v>
        </cx:txData>
      </cx:tx>
      <cx:spPr>
        <a:solidFill>
          <a:schemeClr val="bg1"/>
        </a:solidFill>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Count of Employees by Country</a:t>
          </a:r>
        </a:p>
      </cx:txPr>
    </cx:title>
    <cx:plotArea>
      <cx:plotAreaRegion>
        <cx:plotSurface>
          <cx:spPr>
            <a:effectLst>
              <a:glow>
                <a:schemeClr val="accent1">
                  <a:alpha val="40000"/>
                </a:schemeClr>
              </a:glow>
              <a:outerShdw blurRad="50800" dist="50800" dir="5400000" algn="ctr" rotWithShape="0">
                <a:srgbClr val="000000"/>
              </a:outerShdw>
              <a:softEdge rad="0"/>
            </a:effectLst>
          </cx:spPr>
        </cx:plotSurface>
        <cx:series layoutId="regionMap" uniqueId="{874EB5E6-D72F-45FF-BB3F-ABBBE6EED641}">
          <cx:tx>
            <cx:txData>
              <cx:f>_xlchart.v5.2</cx:f>
              <cx:v>Count of ID</cx:v>
            </cx:txData>
          </cx:tx>
          <cx:spPr>
            <a:solidFill>
              <a:schemeClr val="accent5">
                <a:lumMod val="60000"/>
                <a:lumOff val="40000"/>
              </a:schemeClr>
            </a:solidFill>
            <a:ln>
              <a:solidFill>
                <a:schemeClr val="accent5"/>
              </a:solidFill>
            </a:ln>
            <a:effectLst>
              <a:glow rad="12700">
                <a:schemeClr val="accent1">
                  <a:alpha val="40000"/>
                </a:schemeClr>
              </a:glow>
              <a:softEdge rad="12700"/>
            </a:effectLst>
          </cx:spPr>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zHtrk9y2kuVfcfjz0saDBMiJuRMxIFlVXf1+SC3rC6PVkgASJAGCD4D89Zst2zekkka9d2cidvVB
DlUVmUAi8+TJk/C/P4d/e24/PblfQtf24789h3/8qqbJ/tvvv4/P6lP3NP7W1c/OjObz9Nuz6X43
nz/Xz59+/+iefN3L3wnC8e/P6slNn8Kv//Hv8Db5yVyY56epNv3t/Mmtd5/GuZ3Gn3z3w69+eTZz
P708LuFN//j1fv741P/6y6d+qqf1YbWf/vHrN7/49ZffT9/znc1fWljWNH+EZ3H8W5LG8Aclv/7S
ml7+9TnJfoszzFnG0+zPP3/bvHrq4LlXl/FlEU8fP7pP4/jLX//952PfrPifn9ajyf/cbG5e1nZf
fNnM79868z/+/eQD2N7JJ1/5+9QXr3116u4z9zT8vfP/vrcp/Q1lSZLiE2/H8W+YxxlnNEFf/uC/
bf7p7ddW8WNn//nUia///PDU1We3/+9dXcrVTn/v+7/va8J+SxAhDBH0zwj+NsBTHmOUEf6ny8nf
pv90+aur+bHP/3rsxOl/fXrq9XL//97r90/zx/qX/3RPH+qnvz3wP+B8CGjCSApR/Q2sQKAncYoz
jP7y+kmg/5+u5sfO//bpkzP49svTo7j/z/8PjmJ1/5NnQOPfWIxwyuhfCcC/OQqa/YbiLMYvIP9D
hH9tNf/FGfz52Knz//z0O6//8T/h9f8a/f9Z+Yqn6an8UjK/KgA///bL9qCInzz6s8r7Z1E++/iP
Xxn4+p91+OUNfz32A2z5++efnsbpH79S9luaQd6glOCEUoLor7/4Ty/fEDjOLIl5GtOMUqggULB7
4yYFD+HfGMdQV2iKIO2yBB4azfzyFcG/ZXDINOVwzgmmsLC/N3Zj2lWa/p9e+Ovfv/Rzd2Pqfhr/
8Wv66y/2z1+9rJKTGN7BYuALHKeUJBx2aZ+f7oAAwY/x/0qj1WAXM5n7NBZpoIfOtEc7KNEMVsTt
uBvqh68c8wOLABffW8woxmCVwvIBL762aDuVKrdxmWuenlNk9l1V5z83gdH3NqAUQBqAB4EHYfDe
1zbWFtvW9ZXMK/esxuu2okIxe26ZFVJGRYyuOmLybv38r9pNafZCBRAD4zxOs2/t1vO8Ko3Abj/R
QldmHzl8ZWR6zmiZUFmGxt6SNtmn7P3PLb8c0zfHmMaMYcppzDi4lJwYntLIyHUlOjexqURYXC8o
t2W7LA+GUl9wXCWvOPm7yAGTWZoScDHBKYlPzrFekrSTM5gc7fphDGE58iadhJqjmwXxNy6Ls7ux
a7T4+U5/YDYDm1mWJglAHTkxi8IycFM3KjebbLDwmHzQ1TyWVdBnXvuCZsfY8+j551a/C9o0BqtZ
TOOE8Oy7gx1wGg16lU3eRvFI8xlP7ePapl3Y/dwO+/4cIYCgzjKKEzjKk3RksmVuHPomr8ZWDAbv
AtHCoP7cr/IVRwK4nIRMgjBNGOJpwgCXTkKGyYXyZCBN3vNJ1NtVIJDw2ytGvvfbi5EMxTSlCEPv
8W1C2K1tDY6iJq9dvasnXuWjD0v5c6f9cCcJI4RC3aPJqdO60DVuXmiTO2WqXbQEK8Jmn2iDVPGv
W4rjFNA85i+s52Q7sskaAjkOYaBQDtiZT6bNIfle2dCPvBYnCZSLmEAcvID/1/DFTZPGxJoml0Q9
8MTdD619xQT+oQ3IIgKFiSJ66rTI49miACezjNjluqLkpq0Gc1icud9QV8jeZ7pY8bwUNMr0wWWr
y0k/ozviFkzyMCVTGarVvLKwHxwmAZITU8JTShk6ye8uwlSOMm3yLakFkUqMUSti514JTPwS3t8i
ZgLVJ4Xal6UZy07L0IQsnsZ60jkN/oPLeNjJqXlAWZsUSCdRSZD5lHHD/kg6OQhlWO0EGebxWCdI
XwxyqA9xE5KzIbb5zGf6eZqpE76lqtjQjD7+PPC+x/eEEpqSDIIcZZCu30YE4zJus5iDV9b7Nnzk
1VWbk9uVvvm5mS+F8dQrJE4wizEHmslOQAFn25LpQHWeLOw428Xv/NCFq9RUTZT3blyG3I2Yc7GS
4JmgwR1mTebSRVLu10gbVqJ2eAUUv4d84E08wy+MKCX8FPI7OxK0ziMUt0jmqVvlTciWJz0d5uRs
6nx06AccvVLdfhCGlGaglVAEBCz7Dh2jrge4xzofYl4an7ZC1f2xMtPx5x7/QRpCTQE0SWFr7DtE
CbUdN4QGneut51JMXeV3nUmru3/NDAMSBO8nL5UTOuRTQtTgiOC5g/ixq4yuM0WrYvZkfGUzp9Xr
1MrLZr8ik5s2Fe16BZsxAykUlTxvzcbOyUKHsu3c/EpgnB7Sqb2X77+yp1BWy2WBXSXuMsbn2/AW
v+a4H5qgkHM8AcbN4pOEYAbNbsrARNZesH4TXVoLE3evodELqn2dd7ATEOwYpF0WkwTqy7c7IVrP
uukR5F0i/cVII7ZvKxv+WLharhBy49M4jmhXb4MIXbgZMYDjZuZtfGUhpzjzZR0YIf6SbvS77YZ2
xf2YrjqXo9ovfeJEWs0AfygpJ4KWssnMKzHzpWZ+t3UgIgDGGSg7pzU1TTxIaP2i85jPYR/brrrt
5tCLitFWbPXS3FdjlhSrruJioEvBaER2QasbjaXNUXO19cOB8luM2fAwDdXVzzPnBwEQxyyFMgEt
UpK9yHxfx1iyxdCfxB6WV/nxOUqp3plshFJYVYG94v3XbL3k11fxPKTUJKQB9F2HOl8R/cjWbBdq
88qWTkvfl0P+aksnLAaxziu/AXP3MksvZG+Puq5yz+LrNavvVqKImMz8xJ1pi5878xTtvlj+0r0C
VwPufmJ5q/WURNRBmLNoFsExfe5I+hqm4u+yCaoXyUC/Z/xlm/zEj1CD0SRrArSmU0HUXXdYoe0T
iUF5YtnONfKN8fKQVf1xmdW+zdQrwPRdAwrUHXRKUCoznnGepidIKKPOhS2NXR6k/Min+Kql7T0y
qBZzp66xmx7QTIqxpoK46uznTv4uik5sn0TsZJYM6XFxuaPPfmkFiWoR0vSVWMXkFLJOzJw4GVtv
Bg+tfD74teR8PvCofppA5hCM2CPrZKmX9Wxo5zPKo1gsfa8KPC77n2/2O8B6WQVPcZqQOKXJaYOh
+TCieoSjnnRzM6jlWEdRGeHmnrZVWZnuXwZIsPeCAymwMATKyYlzU16tmobE5YppAZCxD6EvGMQU
S3ZhMf83TuaEwO4y0I+gkfoWEVS0LOMo4SwHnx2UrY8qWW7HrD728XCLm+zSMmcF3viFrSsi7JoS
sbrXMPqUgL1EM48Rgr85j8kpAdM197Of8JBvqo/nh2kkgFFbNPLrSA+xe9vT2dv7NqZm2IV2scnd
zw/5O9iARjgFvQsENOjDY37CfvsxRNs0AffUm78AL0uxMPUvKigvzTYUoCThIGiAJHdSgU1Td4YE
5HIb2j+SZM6lVTfplN0xZN5N1foKv/zhlr4y95JdX0G914puSjYub6J6FpsejmGZ73/utpcM/Kay
nmzpxG0hjRWIDZt7qayJYN4VvuflUkE2Aia8siEMpfrUHjTGFMgLSF8UVLfT3KiSKFVtpyLh2IDy
MK4EF8mMI/d53tjaCtxGaVSMLNJVmU2VuTfQeiZiYnNChd0qu26iHZuE5Wna2OtUVrN6VDJN2qu6
wT0/2nVpGiOmNdnuycbDVetx9G7tET+nG9r0+3EcKlWwKTbX3kDTImpbGSXWpmnA/JjOB+0Gd5Py
tbOf+rQm1xVanH6T4U1igI15u/Ahu+NNk5Yjj/gbnqLu1hPl04uajD49rD6L/sAZyOL70Y/m1iFD
c4xHVgm2LeEt8mQBSrKl63WMuu4swICwRAOpPtdQWN/JVtpLYjC/anhiRaQne4i1/pwk4xafjTpk
XtgF4zWXapNDEQxT+eRipMu1lZLtVwKdaN4Dnx/2VU+hEXOZfmp16nZ1hsmxB8XXl0uCFIifo1re
IZuRSYxVf1ERJlORpHZzx2Wq6Y2eml1LJnXuk6o6Dlgvu1bHI7S5jj2iSG/ukKwYXSDcx7dZ6Gix
Nts902a6GkBtPvObGkmhXbobZ7WrhqavzvCY8bwiRpXe92o6RKYy/sOYtGuXT7Pxu2WOp6KjNb92
y0RupkrbueySju5mONECr9E238uqJ2+SKYweJKnaJkVIk6w7W9J+O8faIqEH0oHjunIy0VyLyA1B
0BGpG9+tRx83U771sxhSNOw7q/k7Ztrxs0MTLdfFXeJRkpzbrVBoHW66YDsBkdmK0IbPKeuA4Svd
aYFUH1Vi6PY2WY8E+Uhsbcw+2m5VTc56KXSztUVUe1byjdsxJ7GkV0NH9A3mEbqF85quQ10jfJkN
24cEbZtAcGhS1LIFP8c9M0IDo6ZZ/5kuYQU2m96YF13JRFMuG9UJb2KS9wOKH/W4feC0Zn80Le0v
8OhtWfUvC6y1PVsMs2e14RvOmYzOiCWfLY1dkmuvBtHpurQyiJlnImr1mybIVjBrztIlWkGxje8q
9Slbx7QXSK7Ru5CY69XAGQMwYTGs9GGjzuR+W+2R227J4UfRoeOrP7qXgh9tVXpu4adJZWdyXWfj
Ct2JWfNtVqbsA8K7Bi/XDCpdPrIVH3wHEkLrz9swlFuLHlo6LKOArJN5Il9kr2URAw31+34E8jIm
3ZyHanimyDXlULf2MsN4OwJ10tctZNhHH2a05ZSp+Fi591vbnIMwh32eTb3M3vGwCl911+20vemS
d7Yq/Yz9GwPh0d+SVAVTpn7ud31bzwc1ZqSHxOz1vY9gaCIQHsj9jD7HG2kLlM4FU1mRtuqPjZAn
GUGYBYyc4NGICjj66UFDr38+NmP7ZqziusBDw0rQyJU+TgBtw1IrMUfDbo4YeR7riO3qYczOOgmo
UMrQCaTxpbNxKdtJrMq3QmbJJ77U52ObHHsld3615TaNkEA6LlXKQlcubTJJgci25BSbLk8n81Yu
rS0YwUTgdRLYN66su7GDTjaF5/22j5U6xOlY9lt2prpYxCh7n8xktzZtMUGBaLd6t8R9vjTzY+C6
QE0N5pqixe30ce4kXP5Y0WHErJxiW7IwH+x8aGgQODHCIy/GpSqgEIjFGD8dFsvo4+BxKPp+fAc4
VmSsRcsRrfIIza6DLnP7zNIpj2trhW3528mG5aphAAuSJY0YNh3sDoOW9wEj74EEkOsI4uIYu3i7
RJqyYVc31BORbtA4LXIen8dmeE5lcruhtj2kDZOdmKpuuLbxVJVL1GBXsj69pxJOekxidd3MW2RE
6rdtN7tquAt62uC8qW2FWQm6Ibht83iN9Ydt49XZslYf0xE3opMLe4t62R42qi7jvrqYVPS2T+J3
jVlymzarkGl6w2gfSj7Sg1y34SbRy3A3RJyKLAsAr33k61wOYYB4knOGz5IBu+7o1hDfdhnokDhU
TgmVDbFYOdSHra0ep96QvErnpi27fvDhWEFjs88Wua8CpHe1RfPnuLMzKpu1XtVDP/XrDUU67KOo
iy4kayu238aOn0+9VlGxplua12MXX7YxOULKyYs0NVHhnMztCHq3aoLwU9qJDePncQ6PaAnMHmGg
EJfz4qvnjK9hEFVA235LkpuWdhY69k4XXturmpp1D7S2iEIooF8oUr0e0zgRrbPl1Pc5qbs4X1aV
z3YMh5oTNInMVQmojHNqcgbc47FpexMfUdu7+G6UlH5yeACKY/1cAoctkWOXFKlLkEj2YzWWG/f5
JkU1XNXLVT2CcmgzljetMmdtG7sx96C7ENGw4c6tbj62yvlEIFp3kDdp8y6Vam2PoworFnEySKG6
0Ai3ZqGFhIYUTaqBuDOXnDWSurdZ0Mkx4YiKGfVkyNO+b7PzIJMtH0ChEBDMqMmnEWnRr6DkgBzL
hFLbQXm5PaTLbGCDdpjebM4voDk5sJaPKevLTPLtUMmZF0B9niWi/fNotmXMDbbvAKmeQOu2oCJO
8VhkIVtvJYn8YWPdcNVGS8OLsUKhzsdqpVcRbTsjsAyrA4jRvi3cqokITWqsWHGloW2MzGXgKypM
Qps3kXbGi25pwqHNZp4bEBK0CChx9YEMfB5zJzN51WxD+n5w1u9DlmwZlJQkyIKMqR9hXNfjuVjq
bEjyNjGPWR/ypmHvRm5ZQduIe0GWcDGR6Cyxw31IsXlf82Tat/E27CyLMAfveV9OtfdXHevWG9Xz
TtQoe6TNNFxaHh1Cb7wqgkq6Pbea5PAreY2DMXXOAakjGjUCL1W3CWI2u0N992ZMGph2DN6iYh2y
5nLqaiMaKeU7SQwQlKpOAUO74WCnXjWCJNsf8bpe9WFMmwOT9KBSm0dU1i0M0RdzM/l0uqh0aJ67
lfYF6jOfgmQUbqu42vPFnONkGu6MknWxQrNeTCrWh25W6qJP/dmkEMUgNcpy27o/XDOf+b51qhz0
bVelD73tx+us4o9dVEshe7rbEjuCMhgSGHiDOBnFeuneyQ28ct6Oi95bqA85YFp1NeqYH+Jtuc46
dZ/qxBTdOgM/XPSChO1Zd0fxstRCQy4JAxQ4Elkb3zUDaUXEInSMV+POU6LGd+0a7mSLb2kVHqOV
7j1vJ3loW4CcdioT2psa3ijZk/YbXcrKUdoJjXBzQ2soNlN15rZ4uaknM1aiSaIqEzrt3Qev+uFx
qlJ3Z4H4Xg9jP+V+3OzDvNnzNVo6Vxhv7+o6WwoyTXuqJ14YY/XnTaH9XLnwzlretYLXINYObfxW
JU0o4GrZE5/rT123hQtFgrRlVifV0fH5sm6I3+MAmzA9QTul67eUGlM4PXeFD5EW1dJKMfv2XCYm
uZZtQ/ZJomcRL0DHx7W+kghdTI6U2YahsPHR3w+bGoqmDkGLyPKiMfUTcypni+WfHWcgFkxWXndz
emS1Lm3KdtCc5gxm2fFsov3UAB9oB2ouPKb9YTHZsmOpGg8Mpz3U4dQVWcQbKTzAQBHZ7SUfc6PY
zRoysWgyXPKWtTAx0kMjktBN+0xDf+ttC4WbwOh3OafJYlQeXLVngZG8xdPn0BgQfNHqhlGYgLq9
ptMqcw5NyfMseSV84kkeD8q/dxUwoaSWHxgJi5grKYE4j3dZZt73w6rKBcmtuxic8wIwZJ0gAZQ+
czOeLwcLJAtu64brzPWySBMbzK7JWBBsRosuao0kzOFALxRZpZbSYrYbYpg2xTXgKQ/ODXnYqv4z
oSo6c8Fm5dIMTQxlk6upbCigapc5EKaG2pREdwhGwlNT4nr80K8w8Jyq+lFn1SIaD4xqrQcAca0W
u2vdHB8Il7qAQUa9CKPD2z7OtIhNdCWD/mzI7G4bNvXtjvqsva5rKJOHCWBU5fXsgYfiCWSYgvnB
yAISp3/afJYNR+iaK3m+bMT2F6En62aA2NO+O+ikzu6y6uWKBrSYMhQzTpc2r6up04fMzy7klA/9
wEUGNXO61N3EYRpWhWwqMqthbSvONLtzoN7QHUxcFlzUK8rOQqAtOVobr+gmxqyv8kj1oz8scZcm
wjVTVCjOcDm3K10faxeTOJeJhwU0UTYKmN9IYaeUCz31WSckQ7R6JKZb6j2KlR/2WOHGCTpz+zSw
yknRaN0DPUpQ+2YdF96WPqzrG9D3Nd0Pds0+SaKXqVhibi+WhqobPrbTfcbk/MdMkqov5baqcGGb
xR/hlzh672Uqu32jXPpWdduy5qtpA/1Q1za7gbbDACrbhtJrICTcv1Uz6ctK1hkRVR2t6dslkn11
rewypkLawOuLZh6ZvDJ0RUkB8GQBkjoroCRNF9YofAjO3/nebGdRPySwF/fJTTrkKoH7VcJ20GgJ
mH07eux0P2SPpl/m+Rzk6LbPI0uzvdZJtq+Bj02HsNVTAQJPL4hNpC6heFcMojG7WuPJX8IM/snj
5ryP8FRU/UBGgSO4OS4A2fSzd9K9qbFXF9atLbRcuAcYnGMFOvYUhzf1QhO/7G31EGX3de2ONTPQ
iDeAKltuWZVDJdlB4bOLujIKLnTFn2o53LtmR6sjSwm5gNZcHqGaLoWMoYtFe4xuEw1tcZCoDWXn
KO8OaiuSJJe1h4YtGnFRKeKgBM+oGEmdXlTrlg67fsLlktKtL8DRV21dndM6KS1az6l7jPn7dcvy
zeF6V9HVXMna0fbWOcKqQ9Plfs63DeLualKJubV9UvDtBgyad55gu/NL8143QPflhqHVutyqR5cW
EbN5HM7Xca4K1SSg0DVu2Kkm/gCCR5T7ZY1r0bv+wo71hRrQdDlBV8dSYSPwEvPTLHDl6jwKkxe6
RvslbOjTCFODWdTJVvGc0tQ9tNALJBoSb4WB1OLOEc/oHSV4eOvJ8Maep5S5Cz6bFqqlhbe7Jm+g
346m+ILQybYoh+t6hexQqQm+YkMje4BzlkU7W3mFdy3S1XXN2CpIPasCOvZGzED2VPSBMCVYHybB
pi1HALL9Noumt/mqezFhXPqlZ4Durc3rpc6RB3YIHuK0xcLCiPIsybahLWvHugjGanUGACfrweU9
U7cr6mi0i51R02WXREdFyPtsW8Mzl60uDImsFtLTVOUQkNDc8J499ToC0aU3IMo40OP7i1TXk9tF
oVUlgZwrlowYuKzUruOV1EMFgg6t4MKPQrBgIG5tOQ88fpjWcK5nqVLBe/tH0OiMu8oDhYvn4Esj
IeKvohWvYpjVwwCXzGzpefxpjOm+4+PjNEAXdui6SXGQrBQrOIwrr3DfU9FDbS415MkDcFJ5N2V2
l7QslmWlquSMYJCgNo/odbqOo9u1kRxSQYduCQ8xM7EA6WvIa5xWvhj5WCI5PQTWW/Zhxqi6aHTK
QQGpk5xCZc7JlhAai24EvOt3ivdVdDYn0aXWI94Z5Y7eLFeLW1+Ut+w4R9ZezSgue4Nwsc7pqItk
2hYrizlKsIQ7Xp6qGQIn0Rec0m0qJhlBSG19cmkHN8O4YbFPuPJNyFdg2kfedwT0BA037kBMCFGu
ljZcL70GVEzrDfowbj63rWqb2z7d0H1WwVwox+M21gK10aPRjboIEUf9te7RCixvCtXZnA6OVMKR
eYgEr9y8HZdkRBcUrlilZVWZsQe2oCDKWrkVegGCu9OgXhiRbbp/UDrzZ5ti6tEo2vQXoyImylPd
DqSUjGh/vVaLbPYbWfl6xFY+AH1aozKL/DaJOIT4M9Jr58tRQ3+4RKQpZhBMz7KeTM9VzPzDCEX/
Y4ucjvZLGnW3W8snIKZLhQtt9QDdwxiHF6jp4OLqBldWlGz3WbLKZ+0ndJ7hRh6qbeFTXunJUCZa
uHBzlqYpLtcUw/hh14w8DP0OtGvbJXd24qoKQJq2DOqdMLOFbvQPX9MYOq8oDqOFDmrkgPECzRIu
G+GdqjZ4BcxtdRTN+41VMNVW1oIwkPS1ugEOFb8BTfyGjlt/0B2l5ysak+vQQWOEZxoVUEN9c5RT
2z40C0QW6BLYjHmHljSG/qxrkpIMK6jwh9Ai6ysttCPbED15D5d0IhRXbSeW4JNWC0CA9fCvTRUg
/L5cnGIJiuF6Fj8ZSWESb0oZ7/JxckUN8tcKGM6yhyq8MvU5nTq9GIKhHsOMoBQuXZ4MGEkYpixe
YHwBU4Up5w2xeYebR63YIzStvoBh1AT3lGLzyiTjdDTzxW4Cd7bhkjWiKHlZ11ejGQWXsmXUwm23
pevaPXJSX3Wrsa/cezgdXL5YSeDCD4PbUgn8deJGOUWTUi24UcUspz3OZUeG3cbTXd+x5WxaUP/K
MPF0LvzF4svsksP/mAR3jk4mXJNaVmo8zBL77jpaz7MxzplKXjFyOnN6MQKD0SyB288cLheeOA+Y
ZQ8X916uCtZn/5u6M+mS09ja9S/Ciy4CmHwDILM6VasqdROWrAYICPr+198H2T5HytJRHX13cq+X
B5IlVyRBNHu/+3l3IjuTdR2CyQk97rTfX4YBZVHqoq5wnOCkwt6UtqvtHcRw0ZBTIzlTVdHdFGPV
PuSJeqGk/pOnEgAL1EAtC/TyFItTi+Hafjkw2ER2SOhBnN3XXcTufWH+nrELTKCgruxKYHwXeOBk
Ak1PrSmIOavvXXBbJUfZPSX60HA5VB16eX70xYW0XlrzP3lADjkeEdQJMv/0AfMuSFMzIS8q+6yK
s7413y6JPUdVUdZxUivjhQn9yR6Du8RwIAVJBejPyR5DpO3KlWUSFKlCrjX7cHStw6+XyM8HkRJy
mzNEmDsH891GFibxwpyzxTwLKWJoCxE7mbu+8MZ+MnWB6YF6wArKnZz6cZSRCms/O0xd5d/q6aGa
P7vZQ1e++fWzfNs43xdzWRcMwymIIyTAr3ECHpgy0UWjljayS0plqnjT5/NHbj+4nfLSUeoOqOfo
mGUdlmMSep1/Xij5yvbGCOnpya6YZqN31yiogztv7n9/N7IR4VIpn3ughidnSzbovh2JGtCfLH3e
VEj209pUFx2UTuTAGZ3/ejr2V/fjbLimDRDqsVhhmMXJ6WnNnlPbDbvE79VZkK5R6fs3qgvIRdfz
eR2Oa9b9ORTlu18P+5wa3u0ygRTC5OQOyOp+fNnS3oYpCShTNbG62MaoJM//mlzm53l4u4RfsNCE
o/zUhZdNFLywZZ6vMxdS2yczcy1OG3EydE7k0RZex6HT6DNurXgZskj08iEZ/Bc2zk+HcgUGC06E
ANvDj0+5VG1hT7tKopGkCypSsC4Wtlr5wh247/If3yKXEVQql2wgLFbOj+NUlNqCvuEMd1oVUyKO
h7Ghtr0d5i6L18Hao/MXduszwtkjaHHcb7wQrl0OoR/H9GfpdIZHVDFarhOui3U2ZFaxp1+U6c2n
3ire93V/nlJTaU1y5QLF0BkelKKO+uvF9OzpXckRvxvCMF/IZzfYZFj9WuzEich5Wue+ns2IMmXo
dKSI5Xn1kmHn2Z7Zx8ON7GFh8QjhTvaMoMZmdrVNxeJQ3g1XW9jGkIZvh7NfP9azwIZh9pN9Z+sD
J/BOjoJKIl5IcpYIKb4KsZh4EdDUQyOMRwLgPPLtKf6/G9H+8ZUGleNrmwJiJMvPXYmjoTSo3VAA
MYaj0i/e0Ps8fbdq4fDdHUcCByY45W45WUFgUu2Q+tz+TT1eWjK5cXodN+THSDN1em5vwTFtjGPW
uH8tmL/Njnd/jfGXee9T3eCvTLO/uwv867f/81hr/v1mj//3f9ybE/z7d2df6t2U2J/+pX2cf/0t
hvl73N3L+MNvnrkq/7EXnvgm/2p/8B/+8L8zVX6zb/1nV+X3Jvndrvjtr//lqnT9Pzg3hIV5Y9/R
wR5B/OWqdPw/EGF2nyzWSMv3uCj/MVV6f3B5SsnC/OsP2SH/mCqxzlKWlz5+TKhR9sfvmCohPX9c
IywKKQh+ifDhpPjFyWHtDSPbjRA+bjMj36Ku6+V5WglYoQ1wJkvy8jyp4Zrj1Gup/TWIjtm5wNGW
PXnBPC2hSfkqu/esVhePJhaeIa6pjTRnBDqODZ1dN9Qn+35obvRgBuroYVdIz8y5X9Jj0OaZvMwq
ob1LufVOJsOi75z2w9hqd31I6qYZI2GooLwkaDbcN+5a9vjNKj8dXHAsbflnWZlZ781FJ7guCuCK
49AZpgTKnsvkekxHdz50gT23cdohx4bNWJpmOBa9uvO7vszDLsfFhqhQGuUhbbpxfcooQZcUhbdN
hmagiciQNYf0EDhz8lVJiUUAIn2szyZKBZIK8FQ07bUYPbe4byEB3Cc7cUd9WNt2GGQo67w2zBiH
6zxfijTJVoRgPJmRsqtdRBvXyY3nkXrAWbCu1mNOdTEJ93w6j3fc/sbYqqo9JGMxZqGDeI94l2fr
bV+uTyV1MRl2RaU++iAIt5ZS0xpXY+FUSOGdM0e+Z9SfIcIN6muu8iO1NbKOLGcSIk6oNOVxW9WT
jn3pTU3UidzKjn1LXMFk5Aq8wdpqtzlLM3czDlTF2ye3tUoKkpR5rqdS2/1FgQ4wUBYyxvRrqb3R
fhwa0++PzuA3frSOZbIcWl97FNqnPh8jfJEgSV4STNdz6rjFUQwu+tOSFiynNB11C2ukGdqtUic7
lH1nUkNJ+0ZdCDCZpy6FsowavCP6kDo2rFKTTGhehtEnD5k3mGPU4hmaDj4Ayeek8Ez74KimUnFf
O0P2Cl2uesjUsJWR1zrJl8Vf1zd6Tbrh0I7GsJ2rIFixD+nF0rFbGDV1LqFtqpqj/57qmXHulB31
pqTyZXdJaWvxzmRKFSW2xymQ4TothTpWhc8A2unmYy4XxGlCzdS68BejNWMnaba9erKVLLF2Croj
dVP/YZ2ld+0sTdPGQW3rNXLShrMaH19NVjX3fRbaOitvy2xVMtyStn0/dhrSx6rW2g6FW3SaAqVu
h7PFG3y0ajc1x7CfE9u7Ro201rimXKkvQKOajzYXsILCSYevfj6qFPkcbIVQqk/eymGlgobNunna
MkHBPBEN1qVyGuYbRfiahI1VFnjeVjfB0QL6eJ8DOaHCZoMA74UiScK1TX0n1PZKuYuSlf8xsFK0
4wQjmxfWU53v2132r02jBJeaqQgHcTmwyI6TPWxrpBxOj2uI3n4KcezkRawbQ7SRQgR9CpRn9wfH
p5gT9V0AiDL2DnBe1xt+EY8zEnFiAxfGWSeo57eLO9xV+Tj8WVg6+Ny4rQfFZk7zdctSGJjdQlIF
NlILHZ3S11uSEjjltLCpllH0X9/LvPVEmBq5ZFFnUt6VZjbV8SwTik9qCxLOQqrbfViUikqBapzR
uqAarppIdhi0QqGzNkfNnU33qBSfACy70UG4ZMN2Q0EuwHw6VtIh/SkgSZwghdgWdmak4erKTuN4
Txc3rB3X/+SW7aCjFmtkRfltIpYI2nRO47rpNROfBshdE6fHTelSG49KBwTtmBu5PqaZtP9sha4J
q2bXeefVYEoktqN9tc5Ui0JcKv2Dm3iGEU4cOmso1Krr2NEchVFj2rZ9qBLfeijtXMZ56Q8PvdlP
S5Q6ZLBnCgyJR7W9BAzJtbbzMVHAfCtmuykiM/OtSGxjmcUldpV3wk5hXytmDX9B4VhZBJrdp1E5
uKw5Zy4gBP3NiZBIp4OtstuKmyq3dSitJMtDJ8+emjV3LryyCbPNVjfgmtMrXld6WAfzvsCjdJt5
Kk4LqKimTIuHRbpXpWrbOyr4D7CN+e2qvbjyjau6y14nA4ugy+2rYW3ukrndwrw3UJ/86c5ZxaEy
KY4WgvLhnDamjjj/63OdOQ32HmnFc9O294mowbzMiwyqIQ56Dfjg9G+44wo+QPLgVb56Ktb5DZhj
fjD5ENLMoqIbx8+puZxZ2n4D+n2R5JkX9lnBQIm8tZLkrAjEn/M2P3qDIaNuWnkjid2cT3Lb1cbi
emtVcix64yzf1J+1LJ56DxjRGIdLynXul8ZajiuHyfXg+cbl4vTDFo+mVu/cNKeWjeQWDVOfXsiZ
WgY/wSoSkYbb6u94rjJxOK0V6z1MxrE9zzrnpqDmFXaOjLTpXnHtccrVdjzp1L6118k/giSBGltr
kR7cSaRxYi/+fVBJ+3zbCLtDKzOiRZgfPW8juPeQ+cMeKh8w5SqZ68sBTTNy4Dvcfr0tc31fDsUr
Y1oHI5w7UXweO3FdGFpdbale7r2KG0W2SxHzg+5mY7lRYz4+amjT2NKrce6u6mnu8uqa1z6FPnZZ
oJfejjLOojO/AggwWp8Kg+neZ1WQn01CrgIMoTuzK8M7h1N5anVZxonHzZuXWR4Xaryy3eSxs3Vw
3rrFNTCb+7qfJmo1mbburdH2obWc+6VrAxCZufogMCSHvm79u8TgOtmkue79FyqOyO5m8IOujIog
Jx8QVTW8nuam+iq8tX7l+rV1VkzZelxHU14PxlLfml3/2YbhumiNKq7XinMHVyssibD7IMqW9ktf
W7e9rWx1qFxXnwMv1q9hZSiuLWZJPaiqwjUY8zuVLlPKpiqnm7rNvLjJdMHtCvIR+vl8VzTwRk6W
PXZL9tZsBuPeIlSNAmlDaebN22ScJgjZ9FNZDh/IOAhpJFraayM160dpCAfeunA+09fhSZl6eyo1
kIppusQvmx2W6zyFs5tPB0vPZ84UtFGblcV52jgfSkKJcBndz6NRRNIzw9Y25SEPUuO1p0puvamU
sVh9CqQqeYXqUFwsw8rn94hZ8/oVVRZxU26VjmxnuYbgZzdnIlBnXuE4F4MbXBiF7EP6N9zXVbVd
rEZTxyU1knC2yyMO2PJulKn9WTjlQzJv78Div+ajMd0bxrw+2qJQH9KhtZLxAmwHo3ku2i3n4avG
Pmtrt68uVG2KEa647SnEsp2r5M/EXBsTNtOeimucrhMKjU/VXnxt03qDqbWL3HXiOWmpFunR7fuH
bsDAdWlrCDsncrMpKL8mrWGXwA5JNw8Hj1BhawDwTVVVN23nZ4E+lrM3eVyvhdHXnya/G5r8UA+r
teCXh/2uihsBbekk8Om4zi5J8sYlpcakLdGGvj/r4l5lztC+dvLFWLCW6xRaf9bEUc6lXLcpV2eZ
zmrLfexwwtvNHTi6uRSv0jo3q+oOA0bp93dTEdiF+pi0XdpqkL4p+WoGmQetWHs1H6lv5PzBTcE0
26zvtshepNXG/uTK5Wx0GvmggplwmTJaeZSNP3ORy0n45k1nKMN5UpXfvEO0aMxDZWeW+bbJM9eo
/hKZfiubvf6nAd9prvp9qvo/t3gxXg/dly/D9cfm9G/+P5jV2rtJ9D9ntT+2rfp3h6Fv/9tf2a0Q
f0j+IY/F9GW79q5D/p3dunTxQytDMcP4Znn7n/yT3tp/WBSdsaQAb2BXDlBe/k5vLfkHBvq9WiLw
s9vBb2a3u6DynQKy27Ao80kkHseiyHNaSUpBj8veco2wbC1INcAv/SV30ZnjqvPE5SIscqxu28zI
NvBNhBYI2ZttW7V1MSmjDbjWdfm109b6Ok0DokvbHdT56NvqzM62Hl7OzPA1eHOCVQLs+bxhMUe9
Wts6tFWXfhZV2l74vfFUbb6IOjj+K+6jwYwcJ+ne5qr1YrvKjc+J75oPXlNZx1lQgWKi35Nt0kVB
AzUEPjzfedZWTn/RdEX6cbFL+X5NC0j03CsffGslhU2GorgoUpRzXskrPjdgVECRCHtlY4uvKWRU
Cbo8zXE7Vu6dSIDwHJT2qEmc+V44glY14A5eHjlJPZ317jQ64RRk7tnaDzAp2TLQtcYaNq0umlZv
7lXSL55zWRQlblH8leo1OpE9nTmgVE3s9RSur7Niyc9qp7evFaQGB3DliXfm4OXLky3GrrrYElVe
eXnff0kyWUL6l0R4NF5aOk6jtnxasjrv6e5BJ4DXWqUEuedkw0nxqWjrwpuAfIux1G+qvl2hLBNk
Sdme+f7GzTzhbUpFLEinrIwgZBrb6eucLcgggLGmj56Li0OPiWV8sQLsOXd2K4SWAS8stYNDlSdj
3Rmx7jq/Ma8XLfxCR+mm8vQmN8YSIJHlbQBExKktx6JwI9uqAuta+X7Vhts0dnlsji5dluzKHD/P
s7HygVlB16USfXcxtyNw9yRU7b/yt54GOsCWU4K9a5FvE+HjBO6l305xu5H+hvPsBx/HUcDO1KII
rrxuEqBgxMqbj0W5omtBQn3DPE7LmOYsebuPxtGxy+vBLd3pQboQ0ZGrkaTwDWbrAXpIr6AC3RS8
DYLCf/Tbor6RjcrGo5kNxb0nF396sJRRiYsZ3bJ/Mxu+fJNsgfqcmZXj3rb11HxYAH3ys80zlrBa
8jKN2iUI5miptbjzG6kKAHlD57FEI8qe+tkr4OpHnwRm9qr5kySeo8mWaeSkp6Xnf+rbLF1Dr9kd
X4SN2xxZTQeSjiW7Dy7LudjeDdQmydzwR11tNqBoSOeXGpB2ye380FVYs2KjIvj3M2taMHQ0+Hwo
zwZHx1u7+0aP9pMQq23ESd6u76txYuyp8rM66mlwcJxmHRx2ZsW6hHBcw2pb/JEceHIe23xN+mii
0eCT2lOOQ1uv2UVXr7MZz0aTJhiD5nY5YIqbt4+mP3cIUA6CWZh5a9pcZgoO5Zy8IFuioXRMBQ00
4CG0EhMX3YaZ7bHKmszGxMFahENvLfcWEQr22Vwd73O3VKWMjHJaQdXnDti4VOlw0fi5RL7DtL3G
WcsNe9CFnI65tZuqEx0EONCAqCB1LJl9bArtntcATLcUrib3qCujeJ+Mjlr7sApcA5+BZfNSEmvu
r9Ag2P7Ky90vm2ycu8Ze7MtAzNjD6rRVXz1/McfjXNbIQkNgr2PkwTfncWaUeX1J4aKJ1xSjQ7yQ
kpxrcyTMWuu0eoN/zH6HyrZbXTa/fktHFfF+scbBxEYh83SXNWBZGpH0I0vFK6awyTFFhPzfaXZw
MFRlUZWjIK2tO6ZXhdMk8Zam7e02yuCtwcHahHPAHjpmA5xZ7TUBZenWGpJIT0lLhAXvil1HtRvl
yMWdKmgcPaBL2Dm0VLQmRuocB5c0v5qGLc2vUCRS78JugxotxshdeI/esP1qwDaesHzOnHFOEvJi
Q4vkOExdtkVGAhFjhPlMoQrnmS8xS0C/mJOE45TQ1hwf8Dgg52k/f9BtGhxghx1w7dE2UTOmWKu6
UbYIW+xsSUNVFFuzi/EMpWcir5xb5rRnk8ybK28SF7eJhRhRmawOMClEFEB7A7trweT6h9wZlafj
xXPxyFRuuhB9OaLtigvY9lYRhAnLekWmvdjmIR8tfu4hSydzro8rUW3IsYOKYyPariosC/KvM98t
N3QHsxsTD0gzTZdxPIyZ58xXWmSEf2HuFHIp7gwXFFaEjRvo9qB6y/gkMkePYTenS/vKBbSF46us
D2Ku1+L1SmGGbMgfV/Rnv6te5y2djoBBRvSRWYtVRmaiByhnv07HV4mDpfRcgROu52Lp+6+lqPpH
A/p4OQyOJ/GddY3+QtxapsfEkv0QocC1mBidxf7QlBhbHo151lWUSq/AtmXYhTjTPWLILepE3lyl
rk1PCLWY2AixXQcbKVKi9zS99CRuYKO3h7O258MroH7dy7jX/iTeTVo0BvbeTm7D7bCNVkl7BdjV
sFF67o+eVerciea22pwwVRzHjp0N8sLZVqlfZQBbFyviyvxq1iMNTiybn7mdmRVAN66zdrHvNrwh
TrTgvSiO7VJJeY910nJiO5/sD2nveE1YWlsTRE7nq/5mljTK8ufVvx14ouBN6o+1z6FCpn5TUg9w
L/G7cUMV8GsTqjPNbKvbobAIxv3ZFLdm5RWY7Ef8O6HaI7JPvZWkdeTrcX5ftkZKRZaE4kZg23wt
miQ5epnLsdmtBOhZ6NpKUzS17NH+YOVd1uyHjlt/qLE9vIPtzylb7/opxNayyQsNAJnfB01WvbZW
0xZvDLV7fSJjKqDGOTkCF/8BqCzwsRV0X12sqN2b2tdVcKiVnrK494dWoEbAMyZXXQk+c6ZIhbcj
fCOA+pD086SjnB2RL1HZuq1zmbqm+tSUk2wO/pQiMmesxfVu0kuWfhgRjz8ouQjKJEryQZWu93da
VqI51IS8+cXqTL14TCtDYNrVQgz6SGyYgE4u43JsqOUmr8YgkduD5ePpfsTwZqrD1taBl4dQ+PYH
Upqxv9OrqO6oKngfVOma7WHpC9s5G4ecpVKReHUHMbsNSbSj6RHWVNu81KFj6Xz6MCpTOJwO2DGP
qx+ME8KNUTrRVHhGi+8xXf2wVE75LmFtm9c60504c4Jkyy6Q7lcR+rLhKpCbpzRQ9TTwiE5rjDIU
fdBNBycVVhZCr7tH4q7s2lpm+21VLurWtgz96NcI65FILIzlQzs7a9TjJcEvYnEFmzXxcJ9BFO7q
Gooa9henpXlO0L01ER+AprNxHGM0Sc84lEhGxW0hmqG4BX5EmB2LKjjf8tXoL9cA+VPbC8gRnOF4
mfSm/zFp+mqKUIv9Dy32/DnWLBr52ph63H1mQq0mXIt1PBLOll8lYsd5Mhopq5mc+ytp+/LUjJN1
NiWml52TFzcPG1t1PTprzxLNcQNEkke4wAFc0qkgN++TbhtvO2rln70sn83QMvPRpqC2+602wxSs
escdwKxd1osxZ6x6H6MCR0SdB0HYBzN1CmlUW+qF05ak8ghf415tmYu5Bd+Tk33WhW4FqHCR4H13
0eUjT2ssue3kyHe1UairepicPkwTcx7oQVH7UzQX5vJRdO3qhngzEE0H4sUMFrSUmrg66bxXvqyz
a8NKgLXqvhPW7mM2uRrq0bsjSg8+al1gekFcoQeCk+RITVQ6yB6UC91IlDs9ZtvsjefbkK13cho5
eNbUVec2i47FnyUyOHhDt/xZmPRlutATtouwNwynPQaYiWuE83lE81tGSx/mxstq9HoO9hc4hp8i
azso4uFTpEuIPCmIb+UepM+GjgRtF/vYa3tNTzyZB6/sZa5Bi416ROLcFg5/YgyWu9VKZ4vwnriP
1Niz5gUaaa+ufp+f/s3QSdrkUo2nOwx//h34VXfEHS0uuWhZSsYsNpG+pjlBFe9ANDKihK2YiJ0x
oqE0b4Qa8wtz8hP0bG+hRUoPTCdt94Sg4frGrJxzdDfaxHRnaPeY9Gv/9Tvd4G8e4Pvmvc9HoScV
CTiFawnva58QHYOiu0Lp5jUuAMc9WpIkukrW9P73R3HgRmjX+62l0ckohZXVtCEjhkch2i5IT1wC
jaS6+vUoSCQn7wwiFds+4gWAlWeeLCKx+CRvyq/QBsieOUbpikPu0K5PAJFp/QKk8nzmgGAd+u5Z
KCW0xTsZzfHJ04dkxrJTBWyaVbjLwUwwr7ywDk45AA/gAMDRkz79zUD3TsaZGnPk0mElJkk1qWNt
CKLGBIsxgEpTHfDW5S+1f9p/5I+L3/dMOoTTC5WiOVnnj4ufr4AIuOCQ+fEL0/Mil86dyLLpysxG
+Whus/7Eob9EpsF+fGHfPUd/OGstiHm4Czr1OPtsfLfvCtdaQDE3HRVuwK1ZkFR8XcTMBCMPcHpB
KgAG9h3Ohxfe57PVwyQHNP5nmgUIpnUyci1x/cjVRUcoStTMdBEYd+xe0xukS5X9Qq+gZ+29aIIk
5N7UlnZEDl0rTraE3eSNxilCbDM5XDtDsHAxKIDWJzFRmooY36NklYk3futjxhcdHTvzpsjf/XrT
PFtefI694Tstduk0Zp+2GVt7U9mOIXSkBn+PSbAI0WSLkkIaAQtS88T/8uKa/slbBqGjJZS1H/ni
dE3n9HjcCrTsSAxCvNG1Z6VWlKtA6LisTNoOBKm/qQxXQpDqF1rXPXvPwnRMOj9TPSC+eXbi4Tbc
c+BMUzL3kitTbFlNUuj3XyEpSGF+a3Zh2MT+rQYgPJRWmOKTRbX2cjQXl+ppSX56NWKpKWgpI9+X
faHizkcZfGHAk1NpH5CrgqMWwZcnPB2wCdSQ2SM29Xrw0EOVmOLy5fP8ZNEgG8P/sUe/wfO0Zzk5
k4RPoQ2PHH2FCrxVXaCseHP7DD//bGNmN5eXrqmTBfPXgPtwLFYIkdPDllZwUz0lTU57AMf+UJKw
vl04/FBMRDym6ECUSdmov355JyuFQSnY78A+Tgd49tMToRdeN6u1SRFj588JEgzk8/i5tOXywkv7
yUDfeoKzEXec0z05C7I1txqbJhnRyrYIy3KHkamqhsouXmoa9pOh6PKOvcKhCTn90+0fz1daqqxm
ThIQLkmjAD54qJLwNA72X/16+k7b++3zBxxLWCFQW/dT/cex6AkiVE9HnahxeCKroSiE4DkP07Vq
xaYuE1r430MVJDcbvNhGz5dtoOi26C05m1yM59fUxsv58OuP9XwGXOwXGD4sc2+XKk8muxomv1F9
jkS8kdYlVLCoAY/qEOy/+v2haKfPPPPwOGZOJiDfymzBPpZFVjs9eeP8NOnxCaro6feHIVTk7rLw
AvmnT6Ry5TZVhmQ+WEqQepblAaDMBZ3ryv/F5GGk2huPsFJZRD++0nykFfxUUBqdeyCoLKcdhE/g
E+X7r379VM+3/G5gcWDH8VFZ3BU/DoXAUmJKs9KIKEudozazv2lwt+EJ4oyhvpFeC6OaPv161JO4
nzVLsM3lIKFzOblPbybcj0YC3ZRGnHBBHZnkmjezGMfboB9Yp1k2v93ybrwofco5g9/qFyLln6xO
j/UJY8r3QHBxnKxOkuXZb+kCwv0/NfadZ5b2B9zqxAZ0KuED/fppn4/Go9KD0jL3RtXuaY6BOa0Z
Aw+jZtutT3TyQfiWw9N/cRY8H4hSH64OrDoA3YCtP75MS9GUAEwCoXNbvu0ECmf/q51A/2MbfwXh
uG9Sff9xmKGplxxjOXUOuU1xzjt60y60n8/2X/3u1EnicpfZ43GehzDzMPipYzVMXa8u972tzfzy
f7O3WQiux9YmB8TLdTJxpRBEwC11Ujox1lforZ+141ZXKhs+//p5ngUOkgbixIFE/eRp5GE/Tp0A
MqabA3KHci117gos/S8/zU8G8fjCD4n7xPWfDzJ4es35ZoIkpP9c9doVWf+VHeUef/tR+HYFjna+
NILq6Gl0oukqSyVoAaGYnPSe+6UCgxpfymmfL+m9xadl46lyOChO3VTEt3nuZkNCByCA6tjl2aaz
0VWEz0HRE8H/+qF+OhyGmoAsPaBIv//5d4lRsvZV4q1IpXY9gxfPy3bRrggDJb3NDr8/1I6xE24h
2T3brE67rRalAZpw6iJZ4jLI6yuzIHGnnx+dPH492LMlgfxgYYsk1zPt57lmoVUAXBsYoUqgLw3y
v4OZsfh+cxSiRqB82CeMXtxIJwGrsRXd5DIMnBHLrUdxjWl0+9sTxyhMGurffh1zZ/34jkZ6jhiy
KxLahJjjfD7iAJvI0rX3QCzpti/IHc+CcEYD4uAQIuAndDzZscvo9L5M6QXm5cW3ZkOwC2BeDyvd
l+JEyfT69+eQb6GCJ+GmIK47Gc+kt2JLST3YGyGiSkpMOEtA76rfHoXnwsrEasBldRozQb6btWph
TzNg+/XK1AvpoJ8s7YvfXvNs5fGikIp84jN0o2feznXYusbNZ3aUbseC4po90LDLp+fPC0v8mwnt
Oz0Fb5Zv7pFZ4NHblmv9ZF30KY1MjYy9W+5n98TXY1znSWL/qaER6C7iJBkIQVPfNgHFTsN1nTK2
Utjss7WjnWe4ZSDPIQUSOo9VjmlcmaseX8E39GjZtBk7WN463ozDJD5gOnCMqMjK/saz9PYmC1a0
A2TG9Um6Q91ctTTELY5eq8g8Z8/N7ylpo6wOqSD5zwrZphdFT6XhnPrl2zaZHXWp4U3f92JYsqO9
Z1lPy9wlN2jqoMEUb+gJQXOe/mneGj+96fn6CZd+oKZz16YQwnEP0PAqWCzavPlumqiDS88EdGXf
Dr7Q7VbqkLN8tjGByOV8S9favxny3vqgPINwx/dGRJ/fXWG0YQCdttHuuFhP900P/raovY/pmBLD
9oVRUXh6cR0/353+t7uU6iKCNu7hH88CsMTGlDbXA4wocpJTLslNFYzEkLOR3Fhrs1383mPhuibR
AqraOx0E9qlyVndziUQkDLCRov+6BNo9K6spfcFvebppGIWDFH0VhQxt+lSoVz5eJAHuEXaLQygO
/R1vwtCvf/0sp5cdo/BFDjgad1c+ktzJcZ2UuT32mYnZphrrK9U39Fjqy4QMQMsXE42fPBIZGhuU
0J9A+DRcKFQz5nU9GuE409a61lwLKYXLvw6B32IV/wvn3X+HM/5/5M/7Bh7+gmT8/puLd4Pet7//
99ce+n9ACeI4pWvsTjLuLQX+Qhj5AkOfLhQoedj0vD1y/RfCaNt/2Ai5WOYQMwmb96v+b4SRby+m
Q8H+VU1QenhLCab/sR7+XSn51dceYrliC/9wrO8uTrmrpwyI+/bkQnSBsoZtoPMkZ6F8zFrsUz6t
V5Uyu1d+BZf7JTXnTmXxUG19031wh9mw1wOdqfV6vjq5ZUbdxteNoZcFRRO3Wvu7Uuj+H+7OYzly
LEvTr0LrTXcvUA0tFjVm6YrSyQiSITI2biDpAcChtWgbs9nMQ8x6Vr2Y3bxBvsk8yXxwhmcRTiaD
EY7u7Oosq6yiurh+ccW55/zCcjsLlF8XeNNVoiiFfKlw/EXyAglJmGYbQM0qBCZuQTnqL2mJbJ9X
b6KZAEki3yzLWHWoXa4aRb7ccB+i6RIBMTbgNhZjAxgC9Dz32EF4Ur+D9bZp/YXZA9WLRQ0d0TdO
DD/DJYXqtEEZGiiPPqfOb6nTCDWyFDhlYuG5aMZ6XCM3LTeesyg1tMUzBFKb2gd76W+MM18XnDKY
o3svZzNQxmnuzcBiAO4U0kTTHjYRl5BlrGVauWjbPgU2Wblq5C1gD4Ua7DYzA1iOklVCZTZDgjhG
uaqadBD44qkRZwieJcwQRK7NpFgilIexDU4wbQpqP9/4yVfUF3t2TAe7h/MGJbr0DmVeN73UKQbh
bgh5PYqoe2U++B08B0pOV0lTSAelCJxPDLUxzdOCgpL/tY3VCLVBT3as8lykJuDPqRNjItDKAdgn
Ugnxp5XECTkxM6GCnBkhRoQEGjZyWRCk78A3mvqksdTyhtellVBAvEI5T2EvQOPZRKUCiNEsofzh
4ZSint6szjelk6P1XEZQkH2nQ8NvIgfoDk049ruMvT0CAF8YVjBNzIxEj88ETmYBx7s7KaBjRGeh
mDvx3JX4RWelRMY0XcWKOQUchDIpcnpOeabptfjJFCvRnKhkG8EMaFJSKLgEhcb72AW1CADIgrwQ
QVxpqqlYAKWCktUgZmYVHR9YSls+pVGhAP0JsIxqzIS8MIBm+EqFIG8nyBpqzY7kljFygykcyTBY
OSnOhGpQYQuUyKV5pVPXgPEmm4LSzHwwdQ/1SnHrY0OPFEU8rSStUWyn9lPls5jETkwdPgXRB7cK
+U/5FEGxTtkcV36N8FYDmg4UQtDVMdzERJFJEHvKVWQ16WqegUlxpkg40anOi5MAt0stskCVrYKM
9KuVtMe+KUCUa9wNSkuSlj+oZYZwZ7fp5Vtxu1kF01Yhvp/Ure4hiu1UzjtWbPORWcsw1mIO48Vr
N0jeCWZdXAH8oWkccfjhplplIF+qNrcWFjD6X2Gupvk8LuXVcY0sqTrDz6H4gnyPeGOsOvVLJ9bG
R5jwYYYcE5rtQebE0omJdlZ9gdRrCRUpQUMPXIBo1TPKc9DQOpJ/qFIlgVpPtEyGbGCFhdLNUtHE
9QMWJpKmaBjEp6oWxM2kEJvquo96Pwda4qJPiGC4NE2Mll5HKPjGE8PVq19TlS1mYohtUJ8kIhKu
F1kndAsDjSjzS4NbDiDPXEXI9aoQ8eOZygmCx4hp1SFOsEFj5tEZFC69XLBVtQpSprJW3MQ4jgVL
YJZxO0HiNQ4tPDMiTagmsr7hKg25MNygNEIy1+g+FT4lh2uhADWG6l5arxBQbhHBbECpNWqqLuGs
RnCfcih1aU/CwgKp6pBNPEYjwjWQHKt8wH0ztRal7LRhOFBmrWLFQ9QcOMG54AhqcerHWpov29KF
eca6RSOuVuPITGe1lSLjJRixCMpTFjNYnIVZRQofD/SMc899xq2+NNYqg6hYr9ChQNVMEj5FZrWB
qzgLEvAYABiFpiUgpNiUSHcWhm6dfxptBEcGU+ooBPzodXJ5+4CgjXblOWGWE50b6odaRAzzAmND
VOxkvcqy4yQoG2Dwn+UUZ5ypVQmRgj6dK6F/Kd7oEMFJ+JzLpbfqgI/7xadNDuvkoirlpLyOPF1K
Tl0XGeeJzoJxb0K3UkCkd0EEAhFySTpRYlhIvP2itBYBdRc0+gqSIddOmIvG1EQP7r0p5RpFmXIF
L1vugTwwpQGVzdJNHV6uqpQCfMRNzzZF9LAXIUJmCFmKbniJUDq3gEDvYJc5sA8RP/M0BDOQvU1T
NEz1KFhqKWpk5KN0vYAEpgDx5mLjX1aK1HGYciPB9gT/XvmqIDZsj1MhgKmUt+7q3Sr2QP+DaKnb
01jNRBK5egHxSteTz4ggdu0CdKmxrNI2WTqcTf3UEMWz0Am1YFJ7sOFPOn/VgeJHNVg89fSc0zPm
3JVnK4lNZcHlS3cWbkmRwoFQWrXuomuLyhbiMHlwrMb0l0Imp/piU0YJ9Gp0afF2EMknITlf10wZ
J8dRGDq6eFa38QYZNALPEi+HMF9BSFKEiEIhkDOTynAI9dGpTc2bmYYjnXtK2gJEM7T6CyVO9G6b
zHKDxSpKEK/h+C7YVZEaFqcISnsw+OSVf6bi/thM2q5DDaUv6J74hZXXC2eTaF+axHWQsw58I0nn
piEVCQBxIetORIRVu2s9zV19ahGqAw2HSnjGhGrKWWo1Paw5q/UbLDJgDIG9dB/0VZACVywL3C4C
aNizJJPNeKEkSZVdltEqO3OU1XWQdjFNhnVwaVmVCXRRaCM7LPPkthYABc+bSoebNtEB+yrLVHOY
Y54TcYltdVdwZwhyroSTVS7LV6qOgt4kTzfSBvI1wKrTTdGy8xN8uO/ZSZRfFe5DGG2qmrfWeMsM
aLhR5M9VIavlh8i0rPJYAOsbTTPBcuUzKE6VeBwZVZqeRIWBYCaUd7ZF8jeaNEfZIE2E942WKMWD
FyGlUFOfMLDArUWrWyIHKt+5aePcpIoKj1eA+nS/atwVZf6gLDlt4jQs8WHxjWscDVHIXNUZzoA4
SGS3ei2JD5lKkXiSuY7BexWV7h5pBIltFp7XBqUivFZAq0eGjcOmiZAf6rkuLBQUAEWUHHnDeQuL
Em6fX89l6PWnGhDNXgRUhdm18dRq6TpS7vLeEvFDhuYqusqoQhtgWwviRKFLJA9cotM68whJALbj
IqDzG6lL78LMMYrJCv4BdHFcLPVMcT8JVRRfo6HZynOj9VWcHZK4WnoxFaQJU5EwS7UcVOe9okiL
WcQJe5rDNvyKyoELHbhYfc2bSvxcEvolxy16tMc6SEF/mnkdAPPYdDL5tBAqcV2XFWzoRktXH0Wv
Jm+sWfHqU5rhdcfJloQNInG+K//aAAnEsVrXfQO0sFtGxrHsZZI4EwLuCsp3srLPbvmAGHoZJzzi
qIlbcn9FeJKVtapUA2UJVdxN5TjkTSQU32JJzN97hl8ADkyrTPrRZ6rgjTRu+DL1W7J/e9kkNK20
ysw9Y2JIfniuKol53PlCM28Rxpj7QZV/Jx38rCTG86j1SYrcP1Dff54mNHjUMNXhPTjvdc5b0Mz4
tUow61HNK+pZ0UjIqJdgehVixKvXUwH7t3OQT4YFGInEd88V2+JonowwtlZtr65E9AxCZ27pRTFt
5Ojh9Yfs5xu4vyFn1OeCyGhg3rWH9tsU1E8bNnNkQJFSTFodc4ycfPUc5YvY/plnwbsD/dMnA/cT
Q9ImdzIPcZCSoKvXaA1xNLHEixKR/u9hx7ZZpsEVlQ+Gtg0ISKvHqu1bTwoSVJegSXTuNOw+emug
PlCHYneSIYEyDQuq6wlR9yxtNumZESrmnUD9Ye4qEAOQlmVfqE31U4OOpp0EUXvWCQmCIK8PyPM3
TB8N8mRIWXJp37eRrhxHibGO0CewreI5hJ/gRBWgzG+f8kP5l7clV/7uuKL9rvNKhgUVKKboE5Jo
//vfJJBkSJ09toUVLpIN76Uiv5FEtb8AgUVohEMCzZwBSRQNJPBiJvBHZORIYrKa8rgs3L/+g0J7
FHM08mmmoSDuav1IhoXkW79/Ppm/iCBRtdnip6hT87h+b3qy+vNSy5pNIUDhVoTQmXYKTMXCXYnK
OtoS1CMl5OxNsG8MbSmMcnGq5ptyoZjOJl4EyCInE6DpWK+u8BxDqhnLGVTJ46YEhB3CzJjGDh04
r31BxM7LTcx7s/GRzGwyriMJEkA4s59ZpE8KBLW1ytNOFXG1+sCm5VuzpspEWPswpBLMxT3dNVDv
QgcAKrcF/Tz15q1UpNG9HkZUISbJIwFc4v4CHVwKDbIBnlE0KuqVbdEURNe6Dnmc25ATflUeaeVW
avnI2yhFcxJCu8+vMSvqCegE98oszTIZZjpASWjqyiNnXS7Kxl+WVpOJ70yg43cbakhw3OHUKYSA
BOCb4mMahGV0ijR4Kh+3BDn4x2xWEOUDq8rMlPjNhAw0CYUWIr3TtLfBRs+v0hLLDTiZU7lunBMj
ktz7XNA/Yth8WTjVpAKxeCEHxXGLjNOmUdal575Pobt70zziAh2VUG+x2RYnLSHt1NzES8TAa1Rs
8gxMXJ5dUFJT5hrGaZPQEi7o1qcVViPkJBBxyn31rNo4505R2E19CSprgRvouR/qMz9FoVI0V+2p
B0Fykqmuca0X2oXlRFOQZBdq0M67Qj1BgGKR5jrEED/52HYYvUDcl5dCGKdndZZfcW1Sq1mLIMrE
qN33tRNtFk7QbZRJXJRnTZNfditZW+SGipA7kJC5Cr3yc6fGzSUwNPUSVsKFyF0pYmJQqkX2ULup
6STkFuej7rrKSeYK/vuQwG9StRUSNpRZnJqLXNgQb5FtYmhV9UMhZAmGWagdIG0EEipBliEtVmcB
8j78IYxdvwl06wQUpXhhONENWMCZnIUfE79wZmCFUZjKSkJmvWwSnIO6xP1QZXJ8putcEKQ2NV34
au65aK11w3RmERnYcKKCVpr6NcKBQgqVFvF6UZCR/jmDK3LpRDqS0bGiqLexYwkOuvxwnGcSwvoT
i4mAdkZy4mnZtadyaTKMVbSosuaSGIjkA28fFZ6Ye5uI8nxhIbZvTdF0iU+Q8riu0vjESDA5qLsi
OuYY+yAF+JcTWEzCVVi/62kaJOUldUqUyVzgltjHt9kpNgPg/lK8Z5YBxUq+2Z65Qdmdr1DqWeQl
/zJyg6IbseC7ElSPcCqm0qUCiB8tfpQNppKX3ElRAc879e6yxldR3HQ3D0ZS+skULgaG2ZpyUdRJ
M+uLemee5Xvnhp6oS72nkah+cwJDOw0mVpnmaJR3sgsxUU0mXVJnizwqXVjiynLDJW2ib4TVEusF
a4p6lIYRlmm9kz1HreaAJ3FdUPPG9qXgoVakaJEUoXSpkhqJTrAMaS+g8krH+FWR9mhd/hpigjGr
axHdL4HEwZnhyIWDTrhLWiTEBqtGIG4jF/U8KgFQLWQFGB7GnelxC8GDxRaVJTuBKafmrLOgQ01g
lFblBcW+TXgVpsJXSSivcjf5qq/IMU8VHOaUd21coJ1emTPXbW65KyZTqYR7VRTgeOJgarLXXoiY
4TiZ+pk4IxDuQiWVuXugimZyLZNg8XumiI2KhIHhfW5RbcVxwLxshMxa4md+6cVshT4uAzA9YuGd
qrtnmYfbV5Sr5+znk5KU1lWAfycmP3g/a9CLJmKF3pwg8jYdveQkUKSv0Sa2Znpg+hOlStdZHa6+
Zq7xJbCEOTIm1cQikzDpxMRctM3q06pqlxIUZxRK0ECRI7je4spKTzeVchn36eCpG1OynOZJ6Nvx
SoiunAg5J0mDNp2pyK9HmBEJ1WXrc1XB6sUsFpUhSAuhJEENEtcEI5vhGeEh2iNbaLAkWjZL/Pqc
+HkJlV9Buh6RG1lvxE9SSsZKJVeFlIuTaufAJpC74w9BFsQ3XJZmyBzzBWl/FMGmllDOStOtAeOJ
x4qaaJeI6UM4XhX5TNddk0Rdypah1wIQ+hQ/tEqbdTkHhhPj4ee1xg1J1l+1Vf3Z0GLjorU+Fvig
x5hxNFXaF9zyiw73BRw7T0tLLz+HQDQmhlWeRtmF1p02aPZXQXrVR+jsHDgfKBpzP04/OplYnDur
xpxK4EzmrpycQ45rpqV3z06HBYXraMsG9fRrpVGdB6Vak62cK6xqGYmt3H/nsTm0fvDeKkhhSs0x
Fp8X1HLdmZikVx5Q40lAivSLloN2sMiKusq1btpJoVUXjriBzpydZN3qiprDUozL/IQr2gpWWBos
wGLHd5ZTXiUUIrDPWEJ3PMOt8L0vn4pCA08Nv6fVGdJrU/KtxAExDp/4rHjlBfYpZW+b+qFtNbj4
wlVagCJ3ouw0lJ01m2/tnBorHfc5zcXSRw0WAKMvTOFrIr3H3mMCM21BcPCpsjqyWvommSgra967
7/QIjmM19AJvVqf+fcI+GSe3snJn1hv0BlU8QR7gZsNJiK+IDRZiQ+ElW65gpja99GPk3AJFYplJ
bEUw5QSE13IJxTfvRC9QZLkJhexTWp56ACdBS7Mlr2ZOtzZ1YZqRAtcNYVY26QJ1tJMwKi/1js3n
CzYP05IdxdA523UUWM1LLlBLluw74slpQEraQyI6peyCEBzHAJuxt5n5OZqEXnWWy81JIaXHunEf
ZNqViVmsG+KtQXoIaUKmUUJ88asmXISKit9RisizuSlnXWUtw7LfFT/5gTGjUgX+aC6rD5kos0/J
3rsS2qvhOWcNzGvSlfo8WylT9AfmppBeWEHSTFZOjfJRXFjx+w6fKtVVz6ibL3CSQAXBukpMHEX8
8KTU35HaAjFLSt2fuBt5Ca+OUlBtMVeopbzfWD6xCDFyLxcFM1zfYJhFwkg5gdt82inHGlWQplJQ
usxnUsJsgW5LeaI6q0ssUIwVqmGmdlUjI4cElrQqeNkJx7DT5e8xWyA5o9bRGYQeDytH4lITrn6a
58t4U7D2o+IzGn7KKSxeeKe60ZER1Fde9l6uveswuzLcTXxSkbielWl3JZv5uZRV53IxzxSzncmk
qdHmCw22yNi/1vBP/NgoVoXTHG8AfQ4YxxuUf2L1K3mbd3hHnjr8CYpP1qwOwxuI7+q01bTypIpa
b+q20iL0s3PEuFE+SNoLU3TJcQXiTOO8Y/1hgngcFxsF6806mfPfqeZHn9Wods/QBmJ2I7YBkUYn
7NnAiJhi/2a7sn5qGJtPseMSHtbKzQrHL9ezjpXUw5sy7wsUtzJPjjIPzz0darBsflS9cmaRE5h0
8qVavE/lfsaDmElKylYUuTiLoZR6U6jeF5Inwox0GBgqCZtT1yDPKVbIX5snnhe3i84p5iuC4xZP
FgszKt3Dl1AXZ2idUL8jxINyPiN7t0gE8TPGuTN4+rNVm9yEakxtlfqGYCgfcjH71P+VngUfUVq6
8TbCF0vzl0ZVXAuS+JX81QeKB7g9EhJgRlZNEZJHJZVI6qqro5ukXS3SYLMIm3QpBtKZoIRnhidx
1osQ4xv5RlLzDw3qK0p8lwcsL0NlODbhuRjozAD9i5Q3v1rwu83MWDqlONc7rGw8DEQE2TmOvORD
E68u1VI7KWPIq5sSI64kixASLUTlQ20g4KHrwmqumVrL32KBookNqRDRm2oUr05lT50byCWIQomC
tZPo7Sx0KJFtUDdBcHbBpcBDWaQ5hl/1pai87NzFeeMEHfdZQkSf1u08aL15WaSQ/YP3zurMipRf
wXSd+8yVonHmIRIzSN2Rd/Vg2gaZtSAXcOZE+BCGCV6ZVnOilVynNljmmjgdaVGbn0SJaMv41jVy
77bczkx2xw12bCoqDz2wtFDP0LKaIRZkG7lwi9vhrRNUx3osTaIQM8NKb+40/xzFN2uiJniiypKL
Y5t1pW+qZoaoIvSI7nxjidhGaVSta1i8OsYuE1VLTpBWYhdSiJRP0GORKZagnoP/FQXEuSyH1MUS
4wyPk4VhtNee4Z1KuQp8HAttUqIrIhV2mXmax18CX58nnOw1ZATZgPpaVVPsyi+SlXbmdlexSHFV
/QyVYa4UX51YmJdd9N5rq6mXlJM4zgj+ilnDGKnRlYheQxgV8UwjMl7VRFWO+L6T9RNNq8ipNNSR
zd4wfIa8IKjyDBCf8DEvroyouUk1d5mTKpYcuyaenDXY3zq6vkQedLYp6o9xpaRT5BmowPuCf5u0
pCDRLMAtOsevM+/FCD3hq640cxkd02mVddBVnfZclxotmKGL2opcXtLg3ncog1+sDI0wT/SpMR+v
MnzeqX2Zm09G6QNnNdWGWLwEG3GPoB+u2qggNN21G1tBM42ixFKPMcLj1tOFrbg28o18L9WFc525
Ed4MK8nTbTfJwi8WpXp1qgRF+DVbRWzrYDM4XkLFam8QLMYzF6Z9my5dFD5P8dpqs5ngtJE/rSwt
hcgtomXG1caXrirucAIcT4mS/EbvnayJsjJb5I5IlOeacPeNlQNM21+tciBYiMD0Vy3HoQKKMOyX
wIzRqMopRZ0pWluhjlGWpLOtQCZpj+6DIE7J0BXOwsAJby7Gq2Zh6JkYTX0t0qi7uTh/6U38Cd0J
ZVnKrvhFSS0H+Z5QhIwRyB2M6EbADWOOxsTczQiSe6OKgkpv2AsRe4gi4bMqCNTfkjBbzSMBNbxz
dFgCoquK2vRMgCz3wck7g60bCP2l5uGVPisVJC45/trssxqW2JaEWbBCY0Qpc33hV55z0Zl1g/dc
uvEu6Vh96whlclHLAkAK1FuMG3y6mTQezIrbTZP4t35qaR8QZa2/YltVJ7NOzMAwSG7ke1NkqsN6
gjAYN4u6ETletUDbRItUDQjg5FjtiNxBEVLMTqHMT50KlaiZwYZhTNWK6yYX5Qw7gyDRbs1NV7Gz
tNUGsnii1cLFJgfJMC0a0uv4t0V1xqLrQn+O6VxjzjTd06iGgEm7UtUkYPWXpXFlpkFToYMal+dE
lqY87SS82qZ+w2E5Vc026PfxWgMZ4EmbG6kALURIgGktEX+MNkVuVo7t+aHwUcKtxDkODJzibuoa
z0t2PVX8FSC3hN4CmmTtrBa6+9hDRQAhiNBDl0ASI2Ha9vI0jzWEv6Ns6LeuvigI/zsMq//pu9iL
ilu0GAuvaN+X66x9VI1/0y/t8F0vN/Q2hfnnCLZtl7Zdea2FwKbH5cMa0XkVIFsP0xZJlQZx5Hz7
vgwiDZg44TJR4/afpzntl/v8+OFf/1xv+Z3Xev63XLEOK2uQWv7Rjy7rfwF3BBNHFn//iMMRgGEp
iXDXxO0/j6nsJ5Pjj17/f9QIPPcX+NEhUJS/iJApTGnv7avqX7jAUwCCorL9h6oTY/2f6LNv5SQP
e/18RgqjSLJS9Xny3vnskDAQaxC/vff/fJ/9WVXlh9+7+heg3/AxlW9Tn7X0ZAgU/CIwUaNcAgHh
Bxf/G+bI79sjLMzgYbt7euv8pf3zj35ht8Ke//xpMUnpq6WDX71tk/Xj0x/3kf7r/3Yfl9jOsnU7
Xhxt5/iTH/bmI0++HPzuowfJk5/uFsi2W9+e9W08nvd00LF5f4QwCLtvnnjrzM7u0VPcni3fPlVv
fPLXf5jakf0wKJsp1J7+1o2//sOgl092yddaPUaBNgrsvjz92FSPeEZK9eCGl+vGu4937WyNTnQK
y4f298bm7D16xzhl6yO6fbT00nLNJN41vUVs99Ylhz7pQ+QV64ejm8Iu1vmuuW3rPSn10NanNJDZ
wdEv4Trz7gevlYPH7Ouh2ynQT6e9N0tnft8BX3u1Uzvz7u7W9mBoeu0g+I4Aw7/T/ksT+Pej4Pm0
Hh7wP/7zb93pxxcXJ0Qidkvi6aJ6ZVH+HSzgXzKnH/No8LJ73ak/fBNvfNFc3jBDHjQrj7AAJpnd
ecGue9s389q0fGNn+/e5ftpob4F66AhM4yAO74ZDoI0wsvP70n6Is10H+zEYYxNbZOvo3j06Lj32
9KeN99CbQ8diYQd+v6Efneb9/wy2LmOME6Ns93otiSMM9Q3abyAqB1Nja7l46Hi8szPbKe12N7L9
SyTJvfvyhQ32jTP53Tord608Nko4dWhvP2T4TA07iyj54e1+XEfrjoNyMN0AmX2v5T/vGEBfjM3x
0GPgaf//3UKzie1mxCW7sdxOhhHmwrRNsnKwfnt/zENn2LHd2UQ11Kl3bW3723PJDm0aa7vhIPTo
v4MbzTN7PTiGuKCM0CzWnrtWtgMgj7CJncXZw94QjHESn5e17RWD3vZk2kNH9mJ9Z0fDyJnQ6/B2
r8K9MdBHCJjfk3gbHMTotB3e1ddtK/4oAn/jAXHzMs7xwFa/3Ut+yey7o3noZc+uJ/IIo/1pnRdH
Ezvyd0PcLxGU3HZf/vyp+es6XA82CQw/Dm/1Mj5i0v1jfrR/ld1yZA9dKMcxzR7dlHcPSNtwXRss
RZWc1AiL5raM7l4K2SSk+lC3HGGMfrkrj5Zlbu9G+3Hb37Y+wt7/r9fzm/n1x/nsvx/1k2edMWD7
8x9N/l7/BqGDXg+1zz9/d+Cent/zfuVssyUvffdJImkQNOz+6k0//7an9kMDe9oQ3xR/9Jc6pth3
rqDxPVfx7/zOIIPzJ+WZfkE+dZiQQBh0N2d26/7bR37jRvhLxN59X+w1C0nl2ev/wXbz4ZUPzMyB
Lc7LLE6GdxARKZbDPv5lnBXui5mebapy7xz/wSEo2ZHsYG8cyCAdOBA3PXz+pT4/ZmcO6vNVvxKG
PdZ71VmUb9C1VFAsUihAHTbm7wgXnHj/KYgsovcG7QQSKypPYq+L84eHw1vzbMwZe28iopAG/QqV
QIQY4CWQb3/t5HzrgyZ2wBp6ISOJ9iGLyQSMzufjUkdtZ4TPtcT2L4kLOxy+KjZxdC7MXitYMpAP
giMzxsNsx83Wd7uW+g3YUKCy8Z9eXgydOQnP2d2Pd9tQ+bcM/lsH8fes6NHlunDX2bMcCbJfELsY
RbSAoZpIlqZ897EvnUf/McnS7ZY3OO++3XL/znOlaBuzR+TF8Cbx2pt461nUrbM729sMG35tvby1
4YzAdm+pvDJx3tgqMbgT2A/r3N21tY3ERxiIJWm8cHilkl/bDt/aYbfcf2kj3EcmWRmtvadD0JPy
/nDrfmNfp3Z4Fz8M31kvvnVouzeZd3TB5WkQaj8Pop7sXm/tsLtXPug1Hg/t7Qnwj6Pz/l83v1zv
mnu8HIzw5k6jhzha752PkPV2D3phK3/jYNDy8NUhFXp4q2d2MtwapC05kaisaH++r+dt5rTd/naG
HNvhHX6MLrGcXg+mm6SMMMSPUeALbY8wMc7JQ/ru8yEZYV1f2HG+G9jtRFZgkR66TJb2vR0/WyJj
VJmWrD1KeMPXp40wxEs7ePCqYfUaLv4YYxHYmBcNe9wjsw4d5Mt1Yg9zvT0B+NBW+xLQ/Tp4Mb3S
K/kd3n7v+rG3bfTiawc3TLHUSxLSC4P5/Hok/Mbt88aLHDth29h1cxtYSCPMjlvX9vbzcOjt757z
87vorb1BOHZ/pOXee+HQkb61vXr4Are0/4ObLTO/Dwuf9XmMHelDd7d+YTjUEUb6o7cuqMbuxnU7
NcbY6q7IVsTV0WlRZmVy9C9H8yLO4Cp/W5lPH4egtDjCB/n2wPMysnPXy3jk7v96Lz0UaYoRYoib
hKx80L6033BRHyP2WXoPD8H6aG7nxdNBe6yZ/vFiYBd5E3To26jduJ5PAiBi1H7/v4+ogqcPJY1H
HuBZvqn82938jU/luLJbmxeUecH/+x//K/f7r46zFtgbPTix7+LQ3r21wX5IugtjlBEqYrdeiEvz
RZ+/fvoJDTzGkX7efevnN7CbNZcCfzfd83+ZeXbccl/yjt6X0YM9gMv1ChiYlBz+0FnsP8QM4K3t
c430wsGpDdi3l+o+/Cnndull3qBeBC5ERCR1hEDmnY3/r3DvejZk23LX2cc7yvYZI7z7G27aL7Q8
wh50Ac/X3QtrHofmuwfXn5dYAhtO3vu/YGYpoOg9jFxHmDy/cMvNssHK+u67JUPnrOPXEJy/9Mn9
YV+lEVbTZB04Xjk83KXd1P/5zQ2ZVwZ2C8o9WWfd2omrvWxFr8tzaERF5+09VMzzos+Pnz3Irzrg
ZQdvUBmhu7N1n2QbbItj1LtPM4ZhCNruhc8PHdx5XuzXTKiBHtzstFv3e/euoX7fNkYYW8jT+4Ng
jLBdL+wsXr8Uu71a6HhjjLPI7Oh+/XQken/DQ9/bMWowFIeG2dwxLqDHsNuifN3uuti/ut4A4+AO
rzPwGsNmxxgH2AzD0bVGWBXTLIY4N5i+Uq/Jf+ggnJTcwLPBIMA7O7zdU3Ide5vDVqXw0P6eFnYw
7K00wiicrbO9CYaD0eGDcMa1ZWm3Q6wRDhuHt3xhoxgwnA1jFA0uvMIt90MT6Tn2oPzhe9VNEFe2
v9/lEcb4wmNfL9bo8K/30K9j1CUuymZNfabMhmH5GOmNZRw8MCa7ubC9SPQOcIeuEDK59h7pqTeC
OLjZfm/fNbPt7BhZij+of8P+2z3q52NBihL1EMUOVuDwZjHF2N/YxkDGvQOgUzp7N7QxSHDXZCz2
LhuyOEJA1a/o/WIzSIDDB5hLMLsmTIxBKkIe49Zxk+xB5IFXjNDhyuZClz3sWupXx9a6+tA1d1Ov
H4aHhzwGQvym9goQCPvTGHvx3Sf4+UX3we9ZCIPgEgDSCO0+MiHPKRg8xMNr4xhF7Y8EV/fMuykV
1l1nt6/xVeDNG+NtdmQOqLWTDSf0GLeaG4Akw0MVc5/dB/j5t0iCdX0Uf2UZDmDSkgZt/fDWH6vF
1DLXlOWHve8dyEY4rM7jPK4Go41Kqoqq3uGd/+1/9uvmpasZHtUSFn0WDmcmkG9csr/7uD8vtfZI
8D00tfa0//1sg0T+9FvzHrGw49cPnrX7ye6br2WgyLZ43d6Ocvh7nMbUw46u9/DAY1S858HRjR1U
+6TN3qT20APhuIRpEVKi2DXV71HPEczlD4fn4G8eegjp03ZJau++/Pmd5JIB3nIfd01tQ8dXueVv
3FXfwQAd1hGk72cFXpqdr8zZERnlPYB9N9unvfjEt/Xyd46RDBy0AwbTcYQUyi89FmXQ6Hd30u8n
spG2zCmvD5rtldMPXZMTguDBKTkGFGBCbRpo2a53/aIZo1o/de1BlDpGZHa9Tsq7AEw48QJg5iN8
55zB0dtbYxw6yLN1GN9T0OYx33/eCDMQVOY6i4e8xO8Thb4/CaeY62VDYJg2wl3sdyWPLW8m+n2M
dgPfz59X8fhv3HOndrI++rjOHgbH8asMhje2PNt4pFmKwYzXRzgx506bFE+HYQyEGNYCNqARD+0U
9BOiIeix9+M8dLrPM6/Yw1KOEdbPCxf3vuF2PUZ1/5ZlfwyOediyOUL4cAzgYrC5miPc14+B9Q+O
ge8H6t9f2c8nAjI3h8+E6W//t1gfPfzjaRV7Q5gcbs2HN3++jtrBULzAXvvxaPLCu9uPCqQxbumA
YuLCHRwu3OoOHwX6uzcKvT/uoYt4CWbIsXPi311b29h3jGOEokJcDPFBiO7vHvPz0XqPfqoHe7Ck
jTC+NLvX6AireMlBer+f6B5hSSxtsF+YJA7vQvoIa/mx5f1krDTGMbeMu37/RYZsNwm2c22Mevyl
R4g/aHWMI2Pb6vC8wCFp95ifn8GP27Aw8fLcLnfNbccCPa+Dl/T1b/9WRkj17Vp6bHiEveKam8lQ
WA/by91Tfn40btbtvbsOgvVgMqNbPELTj+TcZ0RtFE1HaLxPlw5rIXLvcXfolnzTa/bZRxdr6EC7
1vp3iPH57ssDBptCyx6DAtfBEdp92Qz+QDYQlkSDgxTjxBG6+tv/jo9u4/C3f9tCsN5lv/2f6N4b
ktllZYSxRqnC2+N+kHA9/APc2lG3v0FjR3h4wx+cZwt8jII9eQIfgNvRws6Hb3OM4jean95eTC+P
kiAlD4NcxSAkQAv58EH+8uwOgkvfCM164Z19Vw93jDH0hB6pbTfP1vcY1W9sZkBb10PxREQNDh+O
X+7aIQ3WgP0CjbB3N6R8w0b9/fvUn5eH3Sp+/BdMxL4ob6J9P4X/J76JnQzsoW/j6Ufoj+9/lyrU
L1l5N7wpj7CSOMNRWtyelRM7u2Mj2DW6jUp2X/x8TEImvfSCYS59DHpd31sKXIOwcozCbZ9JQsmQ
ws6g6THoz1O7BQjzUuF2DDTXdG92jHFtnsUhp+RQB2mM82zX7st54jG4uSh67wuFj4GRovz5gM52
OQwox7jYnaBtOIhHcN09fPWdMY/33p80hjIe6Kg+ftq/7Y9RSeixKnl/SRokzaUxigfvwHEXcV9y
H4aqY6h+Pkqyn3tFkW9308t15Q13kDGInI9PuSjvh4kLeZSdD8Cb92A/bLt/G9+hHLWbgNuzYAzU
8C23hcfxmTIv4/ylzRA7+91zf/7YeRyojx40A5Tye7xMXxl83BWeEcnHyLVO+pRd7h599DLHe3GT
R/bv8M/14ebVJ4xwg56A3t1L9OP+fnjPp6A70I7YNbSdUmPk8W7sYVSE2eXuGQdMn95fYQ7xjGvi
MA8rj5EjfJydhDCF+9u/Beuw3fW4HxVtnDwTH2Bp84QhfJNL0hj1x8cP8HgKHP3TI53nn59+CAXV
sO/e9J6GzfNvSK3/GCxMDz6z/iuiYXqu5H4OcAxINIjJr3Hgf9uvn75pHUgmXhqWrgNwNE3EHL9b
Wvnz3vtLCouHXv5ewU/9WeKlj3YqaM/aYTy40I2xtUxgre3fE0c42W5694r4xZNzDIGoadyHG/90
vgbLGTn//FLgMUYYsEUW97K/PX+AIv9LzxmDYzON491iHESZYxBtFt5mcBMZQ3xoAY+gF+neWQlt
sd3effZcFe1VV543Ynm+WYtAlGmfqa6Ngfz81v42e9q/7D6+/F3etxe9exi8lDF8Nrh5DkgHz6Vh
yx/H3K7hjHybodvPsLyfEf0Fu+8NPsTWJu/Q8tc56hh3xFRPDxBpjHLM1M2QFyJp88IJJY1BYb9c
10dTO3iBMDAGi+LS26ubjwG2+mhHoMSGNegxguNL8AnDVsdYs/0Af1kD/xgS+iE07CbLz4fz77zi
nkvNi4cLwsQjPMBOyKL2H+EFFNY42i/BPppAO7zbHFI5miwva8L9f+6uYAVBIIj+ih/QQQSxUxBC
dQtiow8IoUgUsj30b936sd66Doy2aeRg4lHwsOPO7M4bZ96T6Oq3OGGTpKjGzbxlATReoHvBlhhM
xKIeCl6jWGenWp4Cvuj+1qn8ghHwmqcGEqmEQn9xfbUSLJNKY4ivsVgBzzxge8+25LLSNxCA0Xct
AbhEkfgtyQwkmJRiQ/lnynUUtHzdIdBlFIGgOsRUlQ/uJomx2j2XOoSiYpZfva0GgxnyRWcaFxnW
KB9aDnPAH1C2d/fd/hH4OEjf+wIfbo05m9v/evG3Cex/pUbRNQJT9eQYf3Yxzg9rpW3TLcdryEha
QNuE2TrJUTasxaYEJedOF80eFYm/Cur5QNPHPeEhCT0Bevx0T7s8YJhyj0sagLbl11Eobs04vN+l
STBBKx2CCNOz0qW/MDIreQDQWccO9Oo2OKYAmYsXAAAA//8=</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ln>
                <a:noFill/>
              </a:ln>
              <a:solidFill>
                <a:sysClr val="windowText" lastClr="000000">
                  <a:lumMod val="65000"/>
                  <a:lumOff val="35000"/>
                </a:sysClr>
              </a:solidFill>
            </a:defRPr>
          </a:pPr>
          <a:endParaRPr lang="en-US" sz="900" b="0" i="0" u="none" strike="noStrike" baseline="0">
            <a:ln>
              <a:noFill/>
            </a:ln>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1.png"/><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672352</xdr:colOff>
      <xdr:row>3</xdr:row>
      <xdr:rowOff>100853</xdr:rowOff>
    </xdr:from>
    <xdr:to>
      <xdr:col>28</xdr:col>
      <xdr:colOff>593913</xdr:colOff>
      <xdr:row>22</xdr:row>
      <xdr:rowOff>145677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9CAB451-4694-4C09-A0E5-9CCDBAF504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303002" y="662828"/>
              <a:ext cx="5407961" cy="35023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352425</xdr:colOff>
      <xdr:row>0</xdr:row>
      <xdr:rowOff>111499</xdr:rowOff>
    </xdr:from>
    <xdr:to>
      <xdr:col>2</xdr:col>
      <xdr:colOff>344153</xdr:colOff>
      <xdr:row>4</xdr:row>
      <xdr:rowOff>28494</xdr:rowOff>
    </xdr:to>
    <xdr:pic>
      <xdr:nvPicPr>
        <xdr:cNvPr id="3" name="Picture 2" descr="File:Logo TV 2015.png">
          <a:extLst>
            <a:ext uri="{FF2B5EF4-FFF2-40B4-BE49-F238E27FC236}">
              <a16:creationId xmlns:a16="http://schemas.microsoft.com/office/drawing/2014/main" id="{A646782B-60A3-4D2E-B3F3-2FA078D10F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984" y="111499"/>
          <a:ext cx="675287" cy="667789"/>
        </a:xfrm>
        <a:prstGeom prst="rect">
          <a:avLst/>
        </a:prstGeom>
        <a:solidFill>
          <a:srgbClr val="9FEDEB"/>
        </a:solidFill>
        <a:extLst/>
      </xdr:spPr>
    </xdr:pic>
    <xdr:clientData/>
  </xdr:twoCellAnchor>
  <xdr:twoCellAnchor>
    <xdr:from>
      <xdr:col>18</xdr:col>
      <xdr:colOff>201706</xdr:colOff>
      <xdr:row>23</xdr:row>
      <xdr:rowOff>112058</xdr:rowOff>
    </xdr:from>
    <xdr:to>
      <xdr:col>28</xdr:col>
      <xdr:colOff>504265</xdr:colOff>
      <xdr:row>44</xdr:row>
      <xdr:rowOff>56028</xdr:rowOff>
    </xdr:to>
    <xdr:graphicFrame macro="">
      <xdr:nvGraphicFramePr>
        <xdr:cNvPr id="4" name="Chart 3">
          <a:extLst>
            <a:ext uri="{FF2B5EF4-FFF2-40B4-BE49-F238E27FC236}">
              <a16:creationId xmlns:a16="http://schemas.microsoft.com/office/drawing/2014/main" id="{2B7CD488-16B1-4E4A-8AB6-10A4E44BA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799</xdr:colOff>
      <xdr:row>3</xdr:row>
      <xdr:rowOff>89647</xdr:rowOff>
    </xdr:from>
    <xdr:to>
      <xdr:col>14</xdr:col>
      <xdr:colOff>739589</xdr:colOff>
      <xdr:row>23</xdr:row>
      <xdr:rowOff>22412</xdr:rowOff>
    </xdr:to>
    <xdr:graphicFrame macro="">
      <xdr:nvGraphicFramePr>
        <xdr:cNvPr id="5" name="Chart 4">
          <a:extLst>
            <a:ext uri="{FF2B5EF4-FFF2-40B4-BE49-F238E27FC236}">
              <a16:creationId xmlns:a16="http://schemas.microsoft.com/office/drawing/2014/main" id="{68FF00D0-4127-44D5-AA9F-A3E902F2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1008529</xdr:colOff>
      <xdr:row>3</xdr:row>
      <xdr:rowOff>100853</xdr:rowOff>
    </xdr:from>
    <xdr:to>
      <xdr:col>21</xdr:col>
      <xdr:colOff>44824</xdr:colOff>
      <xdr:row>23</xdr:row>
      <xdr:rowOff>22412</xdr:rowOff>
    </xdr:to>
    <xdr:graphicFrame macro="">
      <xdr:nvGraphicFramePr>
        <xdr:cNvPr id="6" name="Chart 5">
          <a:extLst>
            <a:ext uri="{FF2B5EF4-FFF2-40B4-BE49-F238E27FC236}">
              <a16:creationId xmlns:a16="http://schemas.microsoft.com/office/drawing/2014/main" id="{B31D4898-CE4E-4EBA-ADC3-493CBFC7E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89649</xdr:colOff>
      <xdr:row>3</xdr:row>
      <xdr:rowOff>156882</xdr:rowOff>
    </xdr:from>
    <xdr:to>
      <xdr:col>8</xdr:col>
      <xdr:colOff>1389529</xdr:colOff>
      <xdr:row>22</xdr:row>
      <xdr:rowOff>168088</xdr:rowOff>
    </xdr:to>
    <xdr:graphicFrame macro="">
      <xdr:nvGraphicFramePr>
        <xdr:cNvPr id="7" name="Chart 6">
          <a:extLst>
            <a:ext uri="{FF2B5EF4-FFF2-40B4-BE49-F238E27FC236}">
              <a16:creationId xmlns:a16="http://schemas.microsoft.com/office/drawing/2014/main" id="{C5912C73-D3D2-4005-BADA-B70B904D5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201386</xdr:colOff>
      <xdr:row>23</xdr:row>
      <xdr:rowOff>91088</xdr:rowOff>
    </xdr:from>
    <xdr:to>
      <xdr:col>18</xdr:col>
      <xdr:colOff>246529</xdr:colOff>
      <xdr:row>43</xdr:row>
      <xdr:rowOff>0</xdr:rowOff>
    </xdr:to>
    <xdr:graphicFrame macro="">
      <xdr:nvGraphicFramePr>
        <xdr:cNvPr id="8" name="Chart 7">
          <a:extLst>
            <a:ext uri="{FF2B5EF4-FFF2-40B4-BE49-F238E27FC236}">
              <a16:creationId xmlns:a16="http://schemas.microsoft.com/office/drawing/2014/main" id="{7CC22DAE-BC38-46F0-BE61-8971EA6C6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44824</xdr:colOff>
      <xdr:row>10</xdr:row>
      <xdr:rowOff>145673</xdr:rowOff>
    </xdr:from>
    <xdr:to>
      <xdr:col>3</xdr:col>
      <xdr:colOff>638736</xdr:colOff>
      <xdr:row>17</xdr:row>
      <xdr:rowOff>44822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5E098E1E-A059-4817-950E-5E8839B08E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4824" y="1983438"/>
              <a:ext cx="2644588" cy="1154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56029</xdr:colOff>
      <xdr:row>5</xdr:row>
      <xdr:rowOff>144876</xdr:rowOff>
    </xdr:from>
    <xdr:to>
      <xdr:col>3</xdr:col>
      <xdr:colOff>638736</xdr:colOff>
      <xdr:row>10</xdr:row>
      <xdr:rowOff>100852</xdr:rowOff>
    </xdr:to>
    <mc:AlternateContent xmlns:mc="http://schemas.openxmlformats.org/markup-compatibility/2006" xmlns:a14="http://schemas.microsoft.com/office/drawing/2010/main">
      <mc:Choice Requires="a14">
        <xdr:graphicFrame macro="">
          <xdr:nvGraphicFramePr>
            <xdr:cNvPr id="11" name="Work Type">
              <a:extLst>
                <a:ext uri="{FF2B5EF4-FFF2-40B4-BE49-F238E27FC236}">
                  <a16:creationId xmlns:a16="http://schemas.microsoft.com/office/drawing/2014/main" id="{73F62CBC-C9CB-48EB-B656-334B0B072EC2}"/>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56029" y="1086170"/>
              <a:ext cx="2633383" cy="852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44824</xdr:colOff>
      <xdr:row>33</xdr:row>
      <xdr:rowOff>112059</xdr:rowOff>
    </xdr:from>
    <xdr:to>
      <xdr:col>3</xdr:col>
      <xdr:colOff>616324</xdr:colOff>
      <xdr:row>41</xdr:row>
      <xdr:rowOff>33617</xdr:rowOff>
    </xdr:to>
    <mc:AlternateContent xmlns:mc="http://schemas.openxmlformats.org/markup-compatibility/2006" xmlns:tsle="http://schemas.microsoft.com/office/drawing/2012/timeslicer">
      <mc:Choice Requires="tsle">
        <xdr:graphicFrame macro="">
          <xdr:nvGraphicFramePr>
            <xdr:cNvPr id="13" name="Hiring Date">
              <a:extLst>
                <a:ext uri="{FF2B5EF4-FFF2-40B4-BE49-F238E27FC236}">
                  <a16:creationId xmlns:a16="http://schemas.microsoft.com/office/drawing/2014/main" id="{FC3EA8F6-5A59-4AA0-84E0-F6A0AE55D7C2}"/>
                </a:ext>
              </a:extLst>
            </xdr:cNvPr>
            <xdr:cNvGraphicFramePr/>
          </xdr:nvGraphicFramePr>
          <xdr:xfrm>
            <a:off x="0" y="0"/>
            <a:ext cx="0" cy="0"/>
          </xdr:xfrm>
          <a:graphic>
            <a:graphicData uri="http://schemas.microsoft.com/office/drawing/2012/timeslicer">
              <tsle:timeslicer name="Hiring Date"/>
            </a:graphicData>
          </a:graphic>
        </xdr:graphicFrame>
      </mc:Choice>
      <mc:Fallback xmlns="">
        <xdr:sp macro="" textlink="">
          <xdr:nvSpPr>
            <xdr:cNvPr id="0" name=""/>
            <xdr:cNvSpPr>
              <a:spLocks noTextEdit="1"/>
            </xdr:cNvSpPr>
          </xdr:nvSpPr>
          <xdr:spPr>
            <a:xfrm>
              <a:off x="44824" y="6073588"/>
              <a:ext cx="2622176" cy="13559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44821</xdr:colOff>
      <xdr:row>17</xdr:row>
      <xdr:rowOff>67235</xdr:rowOff>
    </xdr:from>
    <xdr:to>
      <xdr:col>3</xdr:col>
      <xdr:colOff>638736</xdr:colOff>
      <xdr:row>33</xdr:row>
      <xdr:rowOff>78441</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931A338C-90DB-4A06-95D2-04B1B4551F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821" y="3160059"/>
              <a:ext cx="2644591" cy="2879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hmed/Desktop/Exc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as"/>
      <sheetName val="AutoFill"/>
      <sheetName val="Data Type"/>
      <sheetName val="Table &amp; Pivot"/>
      <sheetName val="Absolute Cell Reference"/>
      <sheetName val="IF"/>
      <sheetName val="Lookup"/>
      <sheetName val="Customer Info"/>
      <sheetName val="Order Info"/>
      <sheetName val="Payment Info"/>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543831828705" createdVersion="6" refreshedVersion="6" minRefreshableVersion="3" recordCount="300" xr:uid="{B878E8C3-74A6-470D-9E68-D59559A613A2}">
  <cacheSource type="worksheet">
    <worksheetSource ref="A1:W301" sheet="Range"/>
  </cacheSource>
  <cacheFields count="25">
    <cacheField name="ID" numFmtId="0">
      <sharedItems containsSemiMixedTypes="0" containsString="0" containsNumber="1" containsInteger="1" minValue="1001" maxValue="1300" count="3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First Name" numFmtId="0">
      <sharedItems/>
    </cacheField>
    <cacheField name="Last Name" numFmtId="0">
      <sharedItems/>
    </cacheField>
    <cacheField name="Full Name" numFmtId="0">
      <sharedItems/>
    </cacheField>
    <cacheField name="Gender" numFmtId="0">
      <sharedItems count="2">
        <s v="Female"/>
        <s v="Male"/>
      </sharedItems>
    </cacheField>
    <cacheField name="Phone" numFmtId="0">
      <sharedItems/>
    </cacheField>
    <cacheField name="Country" numFmtId="0">
      <sharedItems count="5">
        <s v="Sudan"/>
        <s v="Syria"/>
        <s v="Saudi Arabia"/>
        <s v="Egypt"/>
        <s v="Iraq"/>
      </sharedItems>
    </cacheField>
    <cacheField name="Work Type" numFmtId="0">
      <sharedItems count="4">
        <s v="Full Time"/>
        <s v="Contract"/>
        <s v="Half-Time"/>
        <s v="Hourly"/>
      </sharedItems>
    </cacheField>
    <cacheField name="Department" numFmtId="0">
      <sharedItems count="9">
        <s v="Manufacturing"/>
        <s v="Marketing"/>
        <s v="Account Management"/>
        <s v="Quality Control"/>
        <s v="Engineering"/>
        <s v="IT"/>
        <s v="Product Development"/>
        <s v="Creative"/>
        <s v="Sales"/>
      </sharedItems>
    </cacheField>
    <cacheField name="MonyTransfere" numFmtId="49">
      <sharedItems count="4">
        <s v="Debt Card"/>
        <s v="Hawala"/>
        <s v="Master Card"/>
        <s v="Western Union"/>
      </sharedItems>
    </cacheField>
    <cacheField name="Email" numFmtId="0">
      <sharedItems/>
    </cacheField>
    <cacheField name="Hire Day" numFmtId="0">
      <sharedItems containsSemiMixedTypes="0" containsString="0" containsNumber="1" containsInteger="1" minValue="1" maxValue="31"/>
    </cacheField>
    <cacheField name="Hire Month" numFmtId="0">
      <sharedItems containsSemiMixedTypes="0" containsString="0" containsNumber="1" containsInteger="1" minValue="1" maxValue="12"/>
    </cacheField>
    <cacheField name="Hire Year" numFmtId="0">
      <sharedItems containsSemiMixedTypes="0" containsString="0" containsNumber="1" containsInteger="1" minValue="1990" maxValue="2023" count="34">
        <n v="2023"/>
        <n v="2001"/>
        <n v="2007"/>
        <n v="1993"/>
        <n v="2019"/>
        <n v="2003"/>
        <n v="1994"/>
        <n v="2012"/>
        <n v="2004"/>
        <n v="2005"/>
        <n v="2011"/>
        <n v="2020"/>
        <n v="1999"/>
        <n v="1996"/>
        <n v="2002"/>
        <n v="2016"/>
        <n v="2000"/>
        <n v="2015"/>
        <n v="1997"/>
        <n v="2008"/>
        <n v="2014"/>
        <n v="2013"/>
        <n v="2017"/>
        <n v="1990"/>
        <n v="2022"/>
        <n v="2009"/>
        <n v="2010"/>
        <n v="2006"/>
        <n v="1998"/>
        <n v="2021"/>
        <n v="2018"/>
        <n v="1995"/>
        <n v="1991"/>
        <n v="1992"/>
      </sharedItems>
    </cacheField>
    <cacheField name="Hiring Date" numFmtId="14">
      <sharedItems containsSemiMixedTypes="0" containsNonDate="0" containsDate="1" containsString="0" minDate="1990-01-04T00:00:00" maxDate="2023-11-29T00:00:00" count="298">
        <d v="2023-04-05T00:00:00"/>
        <d v="2001-01-06T00:00:00"/>
        <d v="2007-01-07T00:00:00"/>
        <d v="1993-01-21T00:00:00"/>
        <d v="2019-01-26T00:00:00"/>
        <d v="2003-01-26T00:00:00"/>
        <d v="1994-01-29T00:00:00"/>
        <d v="2012-01-29T00:00:00"/>
        <d v="2004-01-30T00:00:00"/>
        <d v="2003-02-11T00:00:00"/>
        <d v="1993-02-11T00:00:00"/>
        <d v="2005-02-17T00:00:00"/>
        <d v="2019-02-25T00:00:00"/>
        <d v="2004-02-26T00:00:00"/>
        <d v="2011-03-02T00:00:00"/>
        <d v="2020-03-10T00:00:00"/>
        <d v="1999-04-06T00:00:00"/>
        <d v="2004-04-12T00:00:00"/>
        <d v="1999-04-13T00:00:00"/>
        <d v="2020-04-28T00:00:00"/>
        <d v="2012-05-01T00:00:00"/>
        <d v="1996-05-07T00:00:00"/>
        <d v="2007-05-12T00:00:00"/>
        <d v="2002-05-18T00:00:00"/>
        <d v="2002-05-19T00:00:00"/>
        <d v="2016-05-20T00:00:00"/>
        <d v="2000-05-26T00:00:00"/>
        <d v="2000-06-07T00:00:00"/>
        <d v="2015-06-08T00:00:00"/>
        <d v="2020-06-10T00:00:00"/>
        <d v="1993-06-14T00:00:00"/>
        <d v="1999-06-18T00:00:00"/>
        <d v="2011-06-21T00:00:00"/>
        <d v="1997-07-01T00:00:00"/>
        <d v="2008-07-08T00:00:00"/>
        <d v="1994-07-09T00:00:00"/>
        <d v="2014-07-11T00:00:00"/>
        <d v="2013-07-15T00:00:00"/>
        <d v="2008-07-16T00:00:00"/>
        <d v="2005-07-28T00:00:00"/>
        <d v="2005-07-30T00:00:00"/>
        <d v="2017-07-31T00:00:00"/>
        <d v="1990-08-13T00:00:00"/>
        <d v="2022-08-16T00:00:00"/>
        <d v="2009-08-26T00:00:00"/>
        <d v="2010-09-04T00:00:00"/>
        <d v="2004-09-10T00:00:00"/>
        <d v="2005-09-16T00:00:00"/>
        <d v="1997-09-24T00:00:00"/>
        <d v="1993-09-27T00:00:00"/>
        <d v="2004-02-11T00:00:00"/>
        <d v="2001-02-11T00:00:00"/>
        <d v="1999-02-17T00:00:00"/>
        <d v="2006-02-25T00:00:00"/>
        <d v="1998-02-26T00:00:00"/>
        <d v="2020-03-02T00:00:00"/>
        <d v="1996-03-10T00:00:00"/>
        <d v="2011-04-06T00:00:00"/>
        <d v="2011-04-12T00:00:00"/>
        <d v="2021-04-13T00:00:00"/>
        <d v="2013-04-28T00:00:00"/>
        <d v="1993-05-01T00:00:00"/>
        <d v="1999-02-12T00:00:00"/>
        <d v="2006-01-21T00:00:00"/>
        <d v="1996-03-09T00:00:00"/>
        <d v="2006-11-04T00:00:00"/>
        <d v="2021-12-20T00:00:00"/>
        <d v="2011-12-18T00:00:00"/>
        <d v="1994-03-08T00:00:00"/>
        <d v="2000-03-24T00:00:00"/>
        <d v="2016-10-04T00:00:00"/>
        <d v="2018-08-11T00:00:00"/>
        <d v="1993-11-10T00:00:00"/>
        <d v="2002-02-13T00:00:00"/>
        <d v="2012-02-20T00:00:00"/>
        <d v="1994-03-20T00:00:00"/>
        <d v="2006-01-07T00:00:00"/>
        <d v="2001-06-13T00:00:00"/>
        <d v="2017-06-28T00:00:00"/>
        <d v="2019-10-22T00:00:00"/>
        <d v="2011-09-02T00:00:00"/>
        <d v="2002-10-15T00:00:00"/>
        <d v="1995-05-22T00:00:00"/>
        <d v="2019-01-17T00:00:00"/>
        <d v="2015-12-04T00:00:00"/>
        <d v="2018-12-14T00:00:00"/>
        <d v="1993-12-14T00:00:00"/>
        <d v="2002-05-20T00:00:00"/>
        <d v="2008-09-16T00:00:00"/>
        <d v="2015-11-06T00:00:00"/>
        <d v="2004-05-28T00:00:00"/>
        <d v="2011-07-27T00:00:00"/>
        <d v="2019-08-11T00:00:00"/>
        <d v="2007-10-16T00:00:00"/>
        <d v="2020-12-25T00:00:00"/>
        <d v="1997-10-28T00:00:00"/>
        <d v="2008-04-03T00:00:00"/>
        <d v="1998-01-03T00:00:00"/>
        <d v="2006-04-21T00:00:00"/>
        <d v="2003-09-25T00:00:00"/>
        <d v="1996-09-23T00:00:00"/>
        <d v="2022-08-26T00:00:00"/>
        <d v="1995-07-19T00:00:00"/>
        <d v="2009-01-02T00:00:00"/>
        <d v="2005-07-20T00:00:00"/>
        <d v="1991-06-05T00:00:00"/>
        <d v="1990-01-04T00:00:00"/>
        <d v="2021-08-12T00:00:00"/>
        <d v="1994-11-18T00:00:00"/>
        <d v="1995-03-24T00:00:00"/>
        <d v="1995-10-27T00:00:00"/>
        <d v="2004-09-09T00:00:00"/>
        <d v="2001-02-24T00:00:00"/>
        <d v="1994-08-14T00:00:00"/>
        <d v="1990-12-10T00:00:00"/>
        <d v="2010-11-09T00:00:00"/>
        <d v="2014-10-18T00:00:00"/>
        <d v="1995-11-22T00:00:00"/>
        <d v="1995-12-17T00:00:00"/>
        <d v="1991-01-26T00:00:00"/>
        <d v="2020-09-24T00:00:00"/>
        <d v="2018-04-26T00:00:00"/>
        <d v="2019-11-10T00:00:00"/>
        <d v="2002-05-02T00:00:00"/>
        <d v="2023-11-28T00:00:00"/>
        <d v="1997-06-08T00:00:00"/>
        <d v="2001-04-01T00:00:00"/>
        <d v="2018-06-25T00:00:00"/>
        <d v="1993-05-22T00:00:00"/>
        <d v="2022-08-15T00:00:00"/>
        <d v="2021-10-25T00:00:00"/>
        <d v="2014-03-08T00:00:00"/>
        <d v="1996-07-03T00:00:00"/>
        <d v="1992-09-24T00:00:00"/>
        <d v="2014-06-17T00:00:00"/>
        <d v="1992-05-12T00:00:00"/>
        <d v="2009-07-18T00:00:00"/>
        <d v="2001-04-09T00:00:00"/>
        <d v="2011-03-23T00:00:00"/>
        <d v="2020-07-03T00:00:00"/>
        <d v="1991-03-04T00:00:00"/>
        <d v="2015-09-18T00:00:00"/>
        <d v="1998-12-08T00:00:00"/>
        <d v="2018-11-23T00:00:00"/>
        <d v="2018-09-21T00:00:00"/>
        <d v="1994-12-04T00:00:00"/>
        <d v="2019-06-02T00:00:00"/>
        <d v="2019-08-06T00:00:00"/>
        <d v="1992-02-10T00:00:00"/>
        <d v="1992-10-22T00:00:00"/>
        <d v="1991-02-08T00:00:00"/>
        <d v="2023-03-15T00:00:00"/>
        <d v="2004-08-20T00:00:00"/>
        <d v="1996-01-10T00:00:00"/>
        <d v="2008-03-17T00:00:00"/>
        <d v="2020-09-04T00:00:00"/>
        <d v="2013-06-20T00:00:00"/>
        <d v="2021-01-13T00:00:00"/>
        <d v="2008-09-25T00:00:00"/>
        <d v="1994-02-11T00:00:00"/>
        <d v="2022-03-22T00:00:00"/>
        <d v="2016-09-04T00:00:00"/>
        <d v="1998-01-28T00:00:00"/>
        <d v="2023-01-15T00:00:00"/>
        <d v="2010-12-01T00:00:00"/>
        <d v="2004-02-25T00:00:00"/>
        <d v="1990-10-06T00:00:00"/>
        <d v="1992-10-23T00:00:00"/>
        <d v="2020-11-09T00:00:00"/>
        <d v="2009-12-15T00:00:00"/>
        <d v="1992-12-06T00:00:00"/>
        <d v="2011-10-08T00:00:00"/>
        <d v="1993-04-24T00:00:00"/>
        <d v="2008-05-21T00:00:00"/>
        <d v="2004-06-23T00:00:00"/>
        <d v="2010-07-26T00:00:00"/>
        <d v="2015-06-24T00:00:00"/>
        <d v="2004-08-04T00:00:00"/>
        <d v="2014-03-26T00:00:00"/>
        <d v="2013-05-27T00:00:00"/>
        <d v="2012-03-25T00:00:00"/>
        <d v="2004-09-22T00:00:00"/>
        <d v="2018-11-21T00:00:00"/>
        <d v="2018-02-12T00:00:00"/>
        <d v="1991-08-16T00:00:00"/>
        <d v="1992-01-17T00:00:00"/>
        <d v="1998-10-03T00:00:00"/>
        <d v="2017-09-26T00:00:00"/>
        <d v="1997-10-22T00:00:00"/>
        <d v="2000-04-02T00:00:00"/>
        <d v="1997-10-25T00:00:00"/>
        <d v="2013-07-04T00:00:00"/>
        <d v="2023-10-09T00:00:00"/>
        <d v="2001-04-20T00:00:00"/>
        <d v="1998-01-26T00:00:00"/>
        <d v="2017-07-26T00:00:00"/>
        <d v="2016-06-06T00:00:00"/>
        <d v="1999-05-20T00:00:00"/>
        <d v="2023-02-25T00:00:00"/>
        <d v="2011-09-07T00:00:00"/>
        <d v="2001-12-24T00:00:00"/>
        <d v="2003-05-28T00:00:00"/>
        <d v="1995-09-10T00:00:00"/>
        <d v="2011-01-12T00:00:00"/>
        <d v="1990-05-18T00:00:00"/>
        <d v="2021-10-16T00:00:00"/>
        <d v="1996-11-18T00:00:00"/>
        <d v="1991-04-05T00:00:00"/>
        <d v="2019-02-01T00:00:00"/>
        <d v="1995-08-24T00:00:00"/>
        <d v="1996-04-17T00:00:00"/>
        <d v="2002-02-09T00:00:00"/>
        <d v="1996-01-13T00:00:00"/>
        <d v="2005-03-23T00:00:00"/>
        <d v="2016-01-05T00:00:00"/>
        <d v="2010-11-06T00:00:00"/>
        <d v="2018-09-17T00:00:00"/>
        <d v="1992-07-19T00:00:00"/>
        <d v="2014-09-09T00:00:00"/>
        <d v="1996-06-15T00:00:00"/>
        <d v="2007-08-07T00:00:00"/>
        <d v="2001-09-02T00:00:00"/>
        <d v="2017-02-11T00:00:00"/>
        <d v="1992-01-20T00:00:00"/>
        <d v="2017-07-17T00:00:00"/>
        <d v="2013-11-21T00:00:00"/>
        <d v="2012-10-23T00:00:00"/>
        <d v="1995-09-07T00:00:00"/>
        <d v="2019-07-01T00:00:00"/>
        <d v="1997-09-03T00:00:00"/>
        <d v="1990-10-10T00:00:00"/>
        <d v="2010-01-09T00:00:00"/>
        <d v="2012-02-15T00:00:00"/>
        <d v="2012-06-11T00:00:00"/>
        <d v="2017-04-22T00:00:00"/>
        <d v="1990-02-28T00:00:00"/>
        <d v="2002-06-11T00:00:00"/>
        <d v="2014-05-22T00:00:00"/>
        <d v="1991-12-10T00:00:00"/>
        <d v="2022-09-15T00:00:00"/>
        <d v="2017-12-18T00:00:00"/>
        <d v="2000-07-21T00:00:00"/>
        <d v="2002-12-03T00:00:00"/>
        <d v="1994-06-14T00:00:00"/>
        <d v="2022-07-25T00:00:00"/>
        <d v="2003-06-04T00:00:00"/>
        <d v="2002-07-15T00:00:00"/>
        <d v="2012-10-26T00:00:00"/>
        <d v="2008-01-02T00:00:00"/>
        <d v="2008-01-16T00:00:00"/>
        <d v="1991-03-12T00:00:00"/>
        <d v="2015-06-09T00:00:00"/>
        <d v="1991-04-24T00:00:00"/>
        <d v="2006-05-22T00:00:00"/>
        <d v="1992-10-09T00:00:00"/>
        <d v="2020-11-25T00:00:00"/>
        <d v="2011-07-10T00:00:00"/>
        <d v="2013-05-12T00:00:00"/>
        <d v="2003-09-05T00:00:00"/>
        <d v="2009-09-04T00:00:00"/>
        <d v="2007-10-18T00:00:00"/>
        <d v="2000-02-05T00:00:00"/>
        <d v="1992-08-21T00:00:00"/>
        <d v="2001-09-03T00:00:00"/>
        <d v="2012-09-25T00:00:00"/>
        <d v="2010-09-24T00:00:00"/>
        <d v="1993-01-24T00:00:00"/>
        <d v="2013-07-21T00:00:00"/>
        <d v="1996-12-08T00:00:00"/>
        <d v="2001-11-10T00:00:00"/>
        <d v="2020-08-11T00:00:00"/>
        <d v="1993-05-19T00:00:00"/>
        <d v="2018-03-09T00:00:00"/>
        <d v="1995-02-24T00:00:00"/>
        <d v="2023-02-26T00:00:00"/>
        <d v="2005-08-28T00:00:00"/>
        <d v="1994-11-06T00:00:00"/>
        <d v="2007-12-25T00:00:00"/>
        <d v="2007-10-25T00:00:00"/>
        <d v="2015-11-05T00:00:00"/>
        <d v="2008-07-05T00:00:00"/>
        <d v="2016-01-14T00:00:00"/>
        <d v="1994-05-19T00:00:00"/>
        <d v="2022-04-08T00:00:00"/>
        <d v="2000-05-16T00:00:00"/>
        <d v="2002-04-01T00:00:00"/>
        <d v="2000-04-15T00:00:00"/>
        <d v="2003-10-26T00:00:00"/>
        <d v="2021-12-08T00:00:00"/>
        <d v="1997-11-07T00:00:00"/>
        <d v="1993-07-28T00:00:00"/>
        <d v="1992-04-28T00:00:00"/>
        <d v="2015-08-13T00:00:00"/>
        <d v="1992-11-09T00:00:00"/>
        <d v="2001-04-10T00:00:00"/>
        <d v="2010-01-21T00:00:00"/>
        <d v="2001-07-13T00:00:00"/>
        <d v="2015-03-08T00:00:00"/>
      </sharedItems>
      <fieldGroup par="24" base="14">
        <rangePr groupBy="months" startDate="1990-01-04T00:00:00" endDate="2023-11-29T00:00:00"/>
        <groupItems count="14">
          <s v="&lt;04/01/1990"/>
          <s v="Jan"/>
          <s v="Feb"/>
          <s v="Mar"/>
          <s v="Apr"/>
          <s v="May"/>
          <s v="Jun"/>
          <s v="Jul"/>
          <s v="Aug"/>
          <s v="Sep"/>
          <s v="Oct"/>
          <s v="Nov"/>
          <s v="Dec"/>
          <s v="&gt;29/11/2023"/>
        </groupItems>
      </fieldGroup>
    </cacheField>
    <cacheField name="current date" numFmtId="14">
      <sharedItems containsSemiMixedTypes="0" containsNonDate="0" containsDate="1" containsString="0" minDate="2026-01-28T00:00:00" maxDate="2026-01-29T00:00:00"/>
    </cacheField>
    <cacheField name="Experience Year" numFmtId="0">
      <sharedItems containsSemiMixedTypes="0" containsString="0" containsNumber="1" containsInteger="1" minValue="2" maxValue="36"/>
    </cacheField>
    <cacheField name="Salary" numFmtId="0">
      <sharedItems containsSemiMixedTypes="0" containsString="0" containsNumber="1" containsInteger="1" minValue="742" maxValue="7478"/>
    </cacheField>
    <cacheField name="Tax 10%" numFmtId="165">
      <sharedItems containsSemiMixedTypes="0" containsString="0" containsNumber="1" minValue="74.2" maxValue="747.80000000000007"/>
    </cacheField>
    <cacheField name="Bonus 3%" numFmtId="43">
      <sharedItems containsSemiMixedTypes="0" containsString="0" containsNumber="1" minValue="22.259999999999998" maxValue="224.34"/>
    </cacheField>
    <cacheField name="Net Salary" numFmtId="2">
      <sharedItems containsSemiMixedTypes="0" containsString="0" containsNumber="1" minValue="690.06" maxValue="6954.54" count="48">
        <n v="6089.6399999999994"/>
        <n v="6672.75"/>
        <n v="3785.1"/>
        <n v="1772.5800000000002"/>
        <n v="2418"/>
        <n v="3490.29"/>
        <n v="4729.9799999999996"/>
        <n v="2260.83"/>
        <n v="2748.15"/>
        <n v="1811.64"/>
        <n v="3063.42"/>
        <n v="6624.3899999999994"/>
        <n v="6729.48"/>
        <n v="6363.99"/>
        <n v="995.1"/>
        <n v="1388.49"/>
        <n v="5447.01"/>
        <n v="4908.54"/>
        <n v="5310.3"/>
        <n v="5714.85"/>
        <n v="5960.3700000000008"/>
        <n v="6954.54"/>
        <n v="4297.53"/>
        <n v="1946.49"/>
        <n v="6819.69"/>
        <n v="1110.4199999999998"/>
        <n v="4759.74"/>
        <n v="4996.8899999999994"/>
        <n v="1588.44"/>
        <n v="2695.14"/>
        <n v="5776.23"/>
        <n v="5557.6799999999994"/>
        <n v="690.06"/>
        <n v="5503.74"/>
        <n v="2858.8199999999997"/>
        <n v="5289.84"/>
        <n v="3126.6600000000003"/>
        <n v="5619.99"/>
        <n v="5821.8"/>
        <n v="3491.22"/>
        <n v="6118.47"/>
        <n v="1293.6300000000001"/>
        <n v="2351.04"/>
        <n v="5617.2"/>
        <n v="3573.0600000000004"/>
        <n v="1434.06"/>
        <n v="2914.62"/>
        <n v="4576.53"/>
      </sharedItems>
    </cacheField>
    <cacheField name="Salary Status" numFmtId="0">
      <sharedItems/>
    </cacheField>
    <cacheField name="Extra Bonus" numFmtId="9">
      <sharedItems containsSemiMixedTypes="0" containsString="0" containsNumber="1" minValue="0.02" maxValue="0.1" count="4">
        <n v="0.02"/>
        <n v="0.05"/>
        <n v="0.08"/>
        <n v="0.1"/>
      </sharedItems>
    </cacheField>
    <cacheField name="Quarters" numFmtId="0" databaseField="0">
      <fieldGroup base="14">
        <rangePr groupBy="quarters" startDate="1990-01-04T00:00:00" endDate="2023-11-29T00:00:00"/>
        <groupItems count="6">
          <s v="&lt;04/01/1990"/>
          <s v="Qtr1"/>
          <s v="Qtr2"/>
          <s v="Qtr3"/>
          <s v="Qtr4"/>
          <s v="&gt;29/11/2023"/>
        </groupItems>
      </fieldGroup>
    </cacheField>
    <cacheField name="Years" numFmtId="0" databaseField="0">
      <fieldGroup base="14">
        <rangePr groupBy="years" startDate="1990-01-04T00:00:00" endDate="2023-11-29T00:00:00"/>
        <groupItems count="36">
          <s v="&lt;04/01/1990"/>
          <s v="1990"/>
          <s v="1991"/>
          <s v="1992"/>
          <s v="1993"/>
          <s v="1994"/>
          <s v="1995"/>
          <s v="1996"/>
          <s v="1997"/>
          <s v="1998"/>
          <s v="1999"/>
          <s v="2000"/>
          <s v="2001"/>
          <s v="2002"/>
          <s v="2003"/>
          <s v="2004"/>
          <s v="2005"/>
          <s v="2006"/>
          <s v="2007"/>
          <s v="2008"/>
          <s v="2009"/>
          <s v="2010"/>
          <s v="2011"/>
          <s v="2012"/>
          <s v="2013"/>
          <s v="2014"/>
          <s v="2015"/>
          <s v="2016"/>
          <s v="2017"/>
          <s v="2018"/>
          <s v="2019"/>
          <s v="2020"/>
          <s v="2021"/>
          <s v="2022"/>
          <s v="2023"/>
          <s v="&gt;29/11/2023"/>
        </groupItems>
      </fieldGroup>
    </cacheField>
  </cacheFields>
  <extLst>
    <ext xmlns:x14="http://schemas.microsoft.com/office/spreadsheetml/2009/9/main" uri="{725AE2AE-9491-48be-B2B4-4EB974FC3084}">
      <x14:pivotCacheDefinition pivotCacheId="1550830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    Ghadir"/>
    <s v="AhmeD"/>
    <s v="Ahmed Ahmed"/>
    <x v="0"/>
    <s v="012  2910-2426"/>
    <x v="0"/>
    <x v="0"/>
    <x v="0"/>
    <x v="0"/>
    <s v="g.ahmed@email.com"/>
    <n v="5"/>
    <n v="4"/>
    <x v="0"/>
    <x v="0"/>
    <d v="2026-01-28T00:00:00"/>
    <n v="2"/>
    <n v="6548"/>
    <n v="654.80000000000007"/>
    <n v="196.44"/>
    <x v="0"/>
    <s v="Over"/>
    <x v="0"/>
  </r>
  <r>
    <x v="1"/>
    <s v="OmAr    "/>
    <s v="    hisham"/>
    <s v="Hisham Hisham"/>
    <x v="1"/>
    <s v="011  2304-6179"/>
    <x v="1"/>
    <x v="1"/>
    <x v="1"/>
    <x v="1"/>
    <s v="o.hishan@email.com"/>
    <n v="6"/>
    <n v="1"/>
    <x v="1"/>
    <x v="1"/>
    <d v="2026-01-28T00:00:00"/>
    <n v="25"/>
    <n v="7175"/>
    <n v="717.5"/>
    <n v="215.25"/>
    <x v="1"/>
    <s v="Over"/>
    <x v="0"/>
  </r>
  <r>
    <x v="2"/>
    <s v="    Ailya"/>
    <s v="ShaRaf"/>
    <s v="Sharaf Sharaf"/>
    <x v="0"/>
    <s v="012  4071-7821"/>
    <x v="2"/>
    <x v="2"/>
    <x v="0"/>
    <x v="0"/>
    <s v="a.sharaf@email.com"/>
    <n v="7"/>
    <n v="1"/>
    <x v="2"/>
    <x v="2"/>
    <d v="2026-01-28T00:00:00"/>
    <n v="19"/>
    <n v="4070"/>
    <n v="407"/>
    <n v="122.1"/>
    <x v="2"/>
    <s v="Normal"/>
    <x v="1"/>
  </r>
  <r>
    <x v="3"/>
    <s v="       Lwiy"/>
    <s v="Qbany"/>
    <s v="Qbany Qbany"/>
    <x v="1"/>
    <s v="010  5618-2492"/>
    <x v="0"/>
    <x v="0"/>
    <x v="2"/>
    <x v="1"/>
    <s v="l.qbany@email.com"/>
    <n v="21"/>
    <n v="1"/>
    <x v="3"/>
    <x v="3"/>
    <d v="2026-01-28T00:00:00"/>
    <n v="33"/>
    <n v="1906"/>
    <n v="190.60000000000002"/>
    <n v="57.18"/>
    <x v="3"/>
    <s v="Normal"/>
    <x v="2"/>
  </r>
  <r>
    <x v="4"/>
    <s v="     Ahmad"/>
    <s v="       bikri"/>
    <s v="Bikri Bikri"/>
    <x v="1"/>
    <s v="011  7329-6122"/>
    <x v="3"/>
    <x v="2"/>
    <x v="2"/>
    <x v="1"/>
    <s v="a.bikri@email.com"/>
    <n v="26"/>
    <n v="1"/>
    <x v="4"/>
    <x v="4"/>
    <d v="2026-01-28T00:00:00"/>
    <n v="7"/>
    <n v="2600"/>
    <n v="260"/>
    <n v="78"/>
    <x v="4"/>
    <s v="Normal"/>
    <x v="2"/>
  </r>
  <r>
    <x v="5"/>
    <s v="Muhamad"/>
    <s v="Zueitr"/>
    <s v="Zueitr Zueitr"/>
    <x v="1"/>
    <s v="011  2527-4512"/>
    <x v="2"/>
    <x v="1"/>
    <x v="3"/>
    <x v="1"/>
    <s v="m.zueitr@email.com"/>
    <n v="26"/>
    <n v="1"/>
    <x v="5"/>
    <x v="5"/>
    <d v="2026-01-28T00:00:00"/>
    <n v="23"/>
    <n v="3753"/>
    <n v="375.3"/>
    <n v="112.58999999999999"/>
    <x v="5"/>
    <s v="Normal"/>
    <x v="1"/>
  </r>
  <r>
    <x v="6"/>
    <s v="Iin"/>
    <s v="Alhalaliu"/>
    <s v="Alhalaliu Alhalaliu"/>
    <x v="0"/>
    <s v="012  2640-9521"/>
    <x v="4"/>
    <x v="0"/>
    <x v="4"/>
    <x v="2"/>
    <s v="i.alhalaliu@email.com"/>
    <n v="29"/>
    <n v="1"/>
    <x v="6"/>
    <x v="6"/>
    <d v="2026-01-28T00:00:00"/>
    <n v="31"/>
    <n v="5086"/>
    <n v="508.6"/>
    <n v="152.57999999999998"/>
    <x v="6"/>
    <s v="Normal"/>
    <x v="1"/>
  </r>
  <r>
    <x v="7"/>
    <s v="Muhamad"/>
    <s v="Alaya"/>
    <s v="Alaya Alaya"/>
    <x v="1"/>
    <s v="010  8241-1311"/>
    <x v="2"/>
    <x v="3"/>
    <x v="0"/>
    <x v="3"/>
    <s v="m.alaya@email.com"/>
    <n v="29"/>
    <n v="1"/>
    <x v="7"/>
    <x v="7"/>
    <d v="2026-01-28T00:00:00"/>
    <n v="13"/>
    <n v="2431"/>
    <n v="243.10000000000002"/>
    <n v="72.929999999999993"/>
    <x v="7"/>
    <s v="Normal"/>
    <x v="2"/>
  </r>
  <r>
    <x v="8"/>
    <s v="Susin"/>
    <s v="Almilat"/>
    <s v="Almilat Almilat"/>
    <x v="0"/>
    <s v="012  1039-8810"/>
    <x v="3"/>
    <x v="0"/>
    <x v="0"/>
    <x v="1"/>
    <s v="s.almilat@email.com"/>
    <n v="30"/>
    <n v="1"/>
    <x v="8"/>
    <x v="8"/>
    <d v="2026-01-28T00:00:00"/>
    <n v="21"/>
    <n v="2955"/>
    <n v="295.5"/>
    <n v="88.649999999999991"/>
    <x v="8"/>
    <s v="Normal"/>
    <x v="2"/>
  </r>
  <r>
    <x v="9"/>
    <s v="Muhamad"/>
    <s v="Alrifaei"/>
    <s v="Alrifaei Alrifaei"/>
    <x v="1"/>
    <s v="010  7467-7662"/>
    <x v="3"/>
    <x v="2"/>
    <x v="4"/>
    <x v="1"/>
    <s v="m.alrifaei@email.com"/>
    <n v="11"/>
    <n v="2"/>
    <x v="5"/>
    <x v="9"/>
    <d v="2026-01-28T00:00:00"/>
    <n v="22"/>
    <n v="1948"/>
    <n v="194.8"/>
    <n v="58.44"/>
    <x v="9"/>
    <s v="Normal"/>
    <x v="2"/>
  </r>
  <r>
    <x v="10"/>
    <s v="Muhamad"/>
    <s v="Alqadah"/>
    <s v="Alqadah Alqadah"/>
    <x v="1"/>
    <s v="011  8317-7634"/>
    <x v="4"/>
    <x v="2"/>
    <x v="1"/>
    <x v="3"/>
    <s v="m.alqadah@email.com"/>
    <n v="11"/>
    <n v="2"/>
    <x v="3"/>
    <x v="10"/>
    <d v="2026-01-28T00:00:00"/>
    <n v="32"/>
    <n v="3294"/>
    <n v="329.40000000000003"/>
    <n v="98.82"/>
    <x v="10"/>
    <s v="Normal"/>
    <x v="1"/>
  </r>
  <r>
    <x v="11"/>
    <s v="Muhamad"/>
    <s v="Iad"/>
    <s v="Iad Iad"/>
    <x v="1"/>
    <s v="011  6548-2919"/>
    <x v="0"/>
    <x v="1"/>
    <x v="4"/>
    <x v="0"/>
    <s v="m.iad@email.com"/>
    <n v="17"/>
    <n v="2"/>
    <x v="9"/>
    <x v="11"/>
    <d v="2026-01-28T00:00:00"/>
    <n v="20"/>
    <n v="7123"/>
    <n v="712.30000000000007"/>
    <n v="213.69"/>
    <x v="11"/>
    <s v="Over"/>
    <x v="0"/>
  </r>
  <r>
    <x v="12"/>
    <s v="Razaan"/>
    <s v="Nasif"/>
    <s v="Nasif Nasif"/>
    <x v="0"/>
    <s v="010  6241-6559"/>
    <x v="2"/>
    <x v="0"/>
    <x v="1"/>
    <x v="0"/>
    <s v="r.nasif@email.com"/>
    <n v="25"/>
    <n v="2"/>
    <x v="4"/>
    <x v="12"/>
    <d v="2026-01-28T00:00:00"/>
    <n v="6"/>
    <n v="7236"/>
    <n v="723.6"/>
    <n v="217.07999999999998"/>
    <x v="12"/>
    <s v="Over"/>
    <x v="0"/>
  </r>
  <r>
    <x v="13"/>
    <s v="Iilian"/>
    <s v="mohamed"/>
    <s v="Mohamed Mohamed"/>
    <x v="0"/>
    <s v="012  0080-0351"/>
    <x v="0"/>
    <x v="0"/>
    <x v="4"/>
    <x v="1"/>
    <s v="i.dbs@email.com"/>
    <n v="26"/>
    <n v="2"/>
    <x v="8"/>
    <x v="13"/>
    <d v="2026-01-28T00:00:00"/>
    <n v="21"/>
    <n v="6843"/>
    <n v="684.30000000000007"/>
    <n v="205.29"/>
    <x v="13"/>
    <s v="Over"/>
    <x v="0"/>
  </r>
  <r>
    <x v="14"/>
    <s v="Bayan"/>
    <s v="   mostafa"/>
    <s v="Mostafa Mostafa"/>
    <x v="0"/>
    <s v="011  5953-5296"/>
    <x v="0"/>
    <x v="3"/>
    <x v="4"/>
    <x v="1"/>
    <s v="b.qdw@email.com"/>
    <n v="2"/>
    <n v="3"/>
    <x v="10"/>
    <x v="14"/>
    <d v="2026-01-28T00:00:00"/>
    <n v="14"/>
    <n v="1070"/>
    <n v="107"/>
    <n v="32.1"/>
    <x v="14"/>
    <s v="Normal"/>
    <x v="3"/>
  </r>
  <r>
    <x v="15"/>
    <s v="Alaa"/>
    <s v="Muhamad"/>
    <s v="Muhamad Muhamad"/>
    <x v="1"/>
    <s v="010  5319-7669"/>
    <x v="2"/>
    <x v="3"/>
    <x v="4"/>
    <x v="0"/>
    <s v="a.muhamad@email.com"/>
    <n v="10"/>
    <n v="3"/>
    <x v="11"/>
    <x v="15"/>
    <d v="2026-01-28T00:00:00"/>
    <n v="5"/>
    <n v="1493"/>
    <n v="149.30000000000001"/>
    <n v="44.79"/>
    <x v="15"/>
    <s v="Normal"/>
    <x v="2"/>
  </r>
  <r>
    <x v="16"/>
    <s v="Sandra"/>
    <s v="Ziad"/>
    <s v="Ziad Ziad"/>
    <x v="0"/>
    <s v="011  2332-0982"/>
    <x v="4"/>
    <x v="0"/>
    <x v="1"/>
    <x v="1"/>
    <s v="s.ziad@email.com"/>
    <n v="6"/>
    <n v="4"/>
    <x v="12"/>
    <x v="16"/>
    <d v="2026-01-28T00:00:00"/>
    <n v="26"/>
    <n v="5857"/>
    <n v="585.70000000000005"/>
    <n v="175.70999999999998"/>
    <x v="16"/>
    <s v="Normal"/>
    <x v="1"/>
  </r>
  <r>
    <x v="17"/>
    <s v="Farahad"/>
    <s v="Husayn"/>
    <s v="Husayn Husayn"/>
    <x v="1"/>
    <s v="010  1442-5932"/>
    <x v="4"/>
    <x v="1"/>
    <x v="5"/>
    <x v="1"/>
    <s v="f.husayn@email.com"/>
    <n v="12"/>
    <n v="4"/>
    <x v="8"/>
    <x v="17"/>
    <d v="2026-01-28T00:00:00"/>
    <n v="21"/>
    <n v="5278"/>
    <n v="527.80000000000007"/>
    <n v="158.34"/>
    <x v="17"/>
    <s v="Normal"/>
    <x v="1"/>
  </r>
  <r>
    <x v="18"/>
    <s v="Ahed"/>
    <s v="Salim"/>
    <s v="Salim Salim"/>
    <x v="0"/>
    <s v="011  6732-2351"/>
    <x v="0"/>
    <x v="0"/>
    <x v="5"/>
    <x v="1"/>
    <s v="a.salim@email.com"/>
    <n v="13"/>
    <n v="4"/>
    <x v="12"/>
    <x v="18"/>
    <d v="2026-01-28T00:00:00"/>
    <n v="26"/>
    <n v="5710"/>
    <n v="571"/>
    <n v="171.29999999999998"/>
    <x v="18"/>
    <s v="Normal"/>
    <x v="1"/>
  </r>
  <r>
    <x v="19"/>
    <s v="Ayham"/>
    <s v="Tutwnji"/>
    <s v="Tutwnji Tutwnji"/>
    <x v="1"/>
    <s v="011  8295-8045"/>
    <x v="2"/>
    <x v="0"/>
    <x v="2"/>
    <x v="1"/>
    <s v="a.tutwnji@email.com"/>
    <n v="28"/>
    <n v="4"/>
    <x v="11"/>
    <x v="19"/>
    <d v="2026-01-28T00:00:00"/>
    <n v="5"/>
    <n v="6145"/>
    <n v="614.5"/>
    <n v="184.35"/>
    <x v="19"/>
    <s v="Normal"/>
    <x v="1"/>
  </r>
  <r>
    <x v="20"/>
    <s v="Samir"/>
    <s v="Alsafdi"/>
    <s v="Alsafdi Alsafdi"/>
    <x v="1"/>
    <s v="010  8655-8298"/>
    <x v="3"/>
    <x v="1"/>
    <x v="5"/>
    <x v="3"/>
    <s v="s.alsafdi@email.com"/>
    <n v="1"/>
    <n v="5"/>
    <x v="7"/>
    <x v="20"/>
    <d v="2026-01-28T00:00:00"/>
    <n v="13"/>
    <n v="5278"/>
    <n v="527.80000000000007"/>
    <n v="158.34"/>
    <x v="17"/>
    <s v="Normal"/>
    <x v="1"/>
  </r>
  <r>
    <x v="21"/>
    <s v="Bilal"/>
    <s v="Jalal"/>
    <s v="Jalal Jalal"/>
    <x v="1"/>
    <s v="010  2145-8500"/>
    <x v="3"/>
    <x v="1"/>
    <x v="0"/>
    <x v="0"/>
    <s v="b.jalal@email.com"/>
    <n v="7"/>
    <n v="5"/>
    <x v="13"/>
    <x v="21"/>
    <d v="2026-01-28T00:00:00"/>
    <n v="29"/>
    <n v="6409"/>
    <n v="640.90000000000009"/>
    <n v="192.26999999999998"/>
    <x v="20"/>
    <s v="Normal"/>
    <x v="1"/>
  </r>
  <r>
    <x v="22"/>
    <s v="Riad"/>
    <s v="Sahalul"/>
    <s v="Sahalul Sahalul"/>
    <x v="1"/>
    <s v="010  3436-0371"/>
    <x v="2"/>
    <x v="0"/>
    <x v="0"/>
    <x v="1"/>
    <s v="r.sahalul@email.com"/>
    <n v="12"/>
    <n v="5"/>
    <x v="2"/>
    <x v="22"/>
    <d v="2026-01-28T00:00:00"/>
    <n v="18"/>
    <n v="7478"/>
    <n v="747.80000000000007"/>
    <n v="224.34"/>
    <x v="21"/>
    <s v="Over"/>
    <x v="0"/>
  </r>
  <r>
    <x v="23"/>
    <s v="Ahmad"/>
    <s v="Ahmad"/>
    <s v="Ahmad Ahmad"/>
    <x v="1"/>
    <s v="011  2766-3217"/>
    <x v="0"/>
    <x v="0"/>
    <x v="0"/>
    <x v="2"/>
    <s v="a.ahmad@email.com"/>
    <n v="18"/>
    <n v="5"/>
    <x v="14"/>
    <x v="23"/>
    <d v="2026-01-28T00:00:00"/>
    <n v="23"/>
    <n v="4621"/>
    <n v="462.1"/>
    <n v="138.63"/>
    <x v="22"/>
    <s v="Normal"/>
    <x v="1"/>
  </r>
  <r>
    <x v="24"/>
    <s v="Muhamad"/>
    <s v="Altarah"/>
    <s v="Altarah Altarah"/>
    <x v="1"/>
    <s v="012  3389-6143"/>
    <x v="3"/>
    <x v="1"/>
    <x v="6"/>
    <x v="2"/>
    <s v="m.altarah@email.com"/>
    <n v="19"/>
    <n v="5"/>
    <x v="14"/>
    <x v="24"/>
    <d v="2026-01-28T00:00:00"/>
    <n v="23"/>
    <n v="2093"/>
    <n v="209.3"/>
    <n v="62.79"/>
    <x v="23"/>
    <s v="Normal"/>
    <x v="2"/>
  </r>
  <r>
    <x v="25"/>
    <s v="Lwna"/>
    <s v="Abu"/>
    <s v="Abu Abu"/>
    <x v="0"/>
    <s v="012  8625-1136"/>
    <x v="0"/>
    <x v="1"/>
    <x v="4"/>
    <x v="1"/>
    <s v="l.abu@email.com"/>
    <n v="20"/>
    <n v="5"/>
    <x v="15"/>
    <x v="25"/>
    <d v="2026-01-28T00:00:00"/>
    <n v="9"/>
    <n v="7333"/>
    <n v="733.30000000000007"/>
    <n v="219.98999999999998"/>
    <x v="24"/>
    <s v="Over"/>
    <x v="0"/>
  </r>
  <r>
    <x v="26"/>
    <s v="Jalal"/>
    <s v="Almuluhi"/>
    <s v="Almuluhi Almuluhi"/>
    <x v="1"/>
    <s v="012  4625-1433"/>
    <x v="3"/>
    <x v="3"/>
    <x v="2"/>
    <x v="0"/>
    <s v="j.almuluhi@email.com"/>
    <n v="26"/>
    <n v="5"/>
    <x v="16"/>
    <x v="26"/>
    <d v="2026-01-28T00:00:00"/>
    <n v="25"/>
    <n v="1194"/>
    <n v="119.4"/>
    <n v="35.82"/>
    <x v="25"/>
    <s v="Normal"/>
    <x v="2"/>
  </r>
  <r>
    <x v="27"/>
    <s v="Rana"/>
    <s v="Mius"/>
    <s v="Mius Mius"/>
    <x v="0"/>
    <s v="012  0257-2928"/>
    <x v="1"/>
    <x v="0"/>
    <x v="2"/>
    <x v="3"/>
    <s v="r.mius@email.com"/>
    <n v="7"/>
    <n v="6"/>
    <x v="16"/>
    <x v="27"/>
    <d v="2026-01-28T00:00:00"/>
    <n v="25"/>
    <n v="5118"/>
    <n v="511.8"/>
    <n v="153.54"/>
    <x v="26"/>
    <s v="Normal"/>
    <x v="1"/>
  </r>
  <r>
    <x v="28"/>
    <s v="Lina"/>
    <s v="Aljabaan"/>
    <s v="Aljabaan Aljabaan"/>
    <x v="0"/>
    <s v="012  4501-4254"/>
    <x v="3"/>
    <x v="1"/>
    <x v="7"/>
    <x v="1"/>
    <s v="l.aljabaan@email.com"/>
    <n v="8"/>
    <n v="6"/>
    <x v="17"/>
    <x v="28"/>
    <d v="2026-01-28T00:00:00"/>
    <n v="10"/>
    <n v="5373"/>
    <n v="537.30000000000007"/>
    <n v="161.19"/>
    <x v="27"/>
    <s v="Normal"/>
    <x v="1"/>
  </r>
  <r>
    <x v="29"/>
    <s v="Rami"/>
    <s v="Shanan"/>
    <s v="Shanan Shanan"/>
    <x v="1"/>
    <s v="012  3910-3574"/>
    <x v="3"/>
    <x v="2"/>
    <x v="8"/>
    <x v="1"/>
    <s v="r.shanan@email.com"/>
    <n v="10"/>
    <n v="6"/>
    <x v="11"/>
    <x v="29"/>
    <d v="2026-01-28T00:00:00"/>
    <n v="5"/>
    <n v="1708"/>
    <n v="170.8"/>
    <n v="51.239999999999995"/>
    <x v="28"/>
    <s v="Normal"/>
    <x v="2"/>
  </r>
  <r>
    <x v="30"/>
    <s v="Eala"/>
    <s v="Alhaj"/>
    <s v="Alhaj Alhaj"/>
    <x v="0"/>
    <s v="011  8626-6402"/>
    <x v="4"/>
    <x v="0"/>
    <x v="4"/>
    <x v="1"/>
    <s v="e.alhaj@email.com"/>
    <n v="14"/>
    <n v="6"/>
    <x v="3"/>
    <x v="30"/>
    <d v="2026-01-28T00:00:00"/>
    <n v="32"/>
    <n v="2898"/>
    <n v="289.8"/>
    <n v="86.94"/>
    <x v="29"/>
    <s v="Normal"/>
    <x v="2"/>
  </r>
  <r>
    <x v="31"/>
    <s v="Ghalib"/>
    <s v="Zakianiin"/>
    <s v="Zakianiin Zakianiin"/>
    <x v="1"/>
    <s v="011  9168-5404"/>
    <x v="1"/>
    <x v="0"/>
    <x v="5"/>
    <x v="0"/>
    <s v="g.zakianiin@email.com"/>
    <n v="18"/>
    <n v="6"/>
    <x v="12"/>
    <x v="31"/>
    <d v="2026-01-28T00:00:00"/>
    <n v="26"/>
    <n v="6211"/>
    <n v="621.1"/>
    <n v="186.32999999999998"/>
    <x v="30"/>
    <s v="Normal"/>
    <x v="1"/>
  </r>
  <r>
    <x v="32"/>
    <s v="Muhamad"/>
    <s v="Eurul"/>
    <s v="Eurul Eurul"/>
    <x v="1"/>
    <s v="011  2668-9895"/>
    <x v="4"/>
    <x v="1"/>
    <x v="0"/>
    <x v="0"/>
    <s v="m.eurul@email.com"/>
    <n v="21"/>
    <n v="6"/>
    <x v="10"/>
    <x v="32"/>
    <d v="2026-01-28T00:00:00"/>
    <n v="14"/>
    <n v="5976"/>
    <n v="597.6"/>
    <n v="179.28"/>
    <x v="31"/>
    <s v="Normal"/>
    <x v="1"/>
  </r>
  <r>
    <x v="33"/>
    <s v="Eizat"/>
    <s v="Ghanim"/>
    <s v="Ghanim Ghanim"/>
    <x v="1"/>
    <s v="010  6953-9820"/>
    <x v="4"/>
    <x v="3"/>
    <x v="0"/>
    <x v="1"/>
    <s v="e.ghanim@email.com"/>
    <n v="1"/>
    <n v="7"/>
    <x v="18"/>
    <x v="33"/>
    <d v="2026-01-28T00:00:00"/>
    <n v="28"/>
    <n v="742"/>
    <n v="74.2"/>
    <n v="22.259999999999998"/>
    <x v="32"/>
    <s v="Normal"/>
    <x v="3"/>
  </r>
  <r>
    <x v="34"/>
    <s v="Ahmad"/>
    <s v="Swyd"/>
    <s v="Swyd Swyd"/>
    <x v="1"/>
    <s v="010  4964-9184"/>
    <x v="2"/>
    <x v="0"/>
    <x v="6"/>
    <x v="2"/>
    <s v="a.swyd@email.com"/>
    <n v="8"/>
    <n v="7"/>
    <x v="19"/>
    <x v="34"/>
    <d v="2026-01-28T00:00:00"/>
    <n v="17"/>
    <n v="5918"/>
    <n v="591.80000000000007"/>
    <n v="177.54"/>
    <x v="33"/>
    <s v="Normal"/>
    <x v="1"/>
  </r>
  <r>
    <x v="35"/>
    <s v="Muhamad"/>
    <s v="Aleass"/>
    <s v="Aleass Aleass"/>
    <x v="1"/>
    <s v="010  4140-8892"/>
    <x v="2"/>
    <x v="0"/>
    <x v="2"/>
    <x v="2"/>
    <s v="m.aleass@email.com"/>
    <n v="9"/>
    <n v="7"/>
    <x v="6"/>
    <x v="35"/>
    <d v="2026-01-28T00:00:00"/>
    <n v="31"/>
    <n v="3074"/>
    <n v="307.40000000000003"/>
    <n v="92.22"/>
    <x v="34"/>
    <s v="Normal"/>
    <x v="2"/>
  </r>
  <r>
    <x v="36"/>
    <s v="Rima"/>
    <s v="AlAsfar"/>
    <s v="Alasfar Alasfar"/>
    <x v="0"/>
    <s v="010  8208-5862"/>
    <x v="4"/>
    <x v="1"/>
    <x v="8"/>
    <x v="0"/>
    <s v="r.alasfar@email.com"/>
    <n v="11"/>
    <n v="7"/>
    <x v="20"/>
    <x v="36"/>
    <d v="2026-01-28T00:00:00"/>
    <n v="11"/>
    <n v="5688"/>
    <n v="568.80000000000007"/>
    <n v="170.64"/>
    <x v="35"/>
    <s v="Normal"/>
    <x v="1"/>
  </r>
  <r>
    <x v="37"/>
    <s v="Zayn"/>
    <s v="Atef"/>
    <s v="Atef Atef"/>
    <x v="0"/>
    <s v="011  7361-0501"/>
    <x v="2"/>
    <x v="0"/>
    <x v="8"/>
    <x v="3"/>
    <s v="z.atef@email.com"/>
    <n v="15"/>
    <n v="7"/>
    <x v="21"/>
    <x v="37"/>
    <d v="2026-01-28T00:00:00"/>
    <n v="12"/>
    <n v="3362"/>
    <n v="336.20000000000005"/>
    <n v="100.86"/>
    <x v="36"/>
    <s v="Normal"/>
    <x v="1"/>
  </r>
  <r>
    <x v="38"/>
    <s v="Hazim"/>
    <s v="Alshshatim"/>
    <s v="Alshshatim Alshshatim"/>
    <x v="1"/>
    <s v="011  1741-5520"/>
    <x v="3"/>
    <x v="1"/>
    <x v="8"/>
    <x v="1"/>
    <s v="h.alshshatim@email.com"/>
    <n v="16"/>
    <n v="7"/>
    <x v="19"/>
    <x v="38"/>
    <d v="2026-01-28T00:00:00"/>
    <n v="17"/>
    <n v="6043"/>
    <n v="604.30000000000007"/>
    <n v="181.29"/>
    <x v="37"/>
    <s v="Normal"/>
    <x v="1"/>
  </r>
  <r>
    <x v="39"/>
    <s v="Dia"/>
    <s v="Alshahf"/>
    <s v="Alshahf Alshahf"/>
    <x v="1"/>
    <s v="010  3478-7173"/>
    <x v="3"/>
    <x v="0"/>
    <x v="8"/>
    <x v="3"/>
    <s v="d.alshahf@email.com"/>
    <n v="28"/>
    <n v="7"/>
    <x v="9"/>
    <x v="39"/>
    <d v="2026-01-28T00:00:00"/>
    <n v="20"/>
    <n v="6260"/>
    <n v="626"/>
    <n v="187.79999999999998"/>
    <x v="38"/>
    <s v="Normal"/>
    <x v="1"/>
  </r>
  <r>
    <x v="40"/>
    <s v="Ayham"/>
    <s v="Almusaa"/>
    <s v="Almusaa Almusaa"/>
    <x v="1"/>
    <s v="011  0193-2313"/>
    <x v="3"/>
    <x v="1"/>
    <x v="0"/>
    <x v="3"/>
    <s v="a.almusaa@email.com"/>
    <n v="30"/>
    <n v="7"/>
    <x v="9"/>
    <x v="40"/>
    <d v="2026-01-28T00:00:00"/>
    <n v="20"/>
    <n v="3754"/>
    <n v="375.40000000000003"/>
    <n v="112.61999999999999"/>
    <x v="39"/>
    <s v="Normal"/>
    <x v="1"/>
  </r>
  <r>
    <x v="41"/>
    <s v="Abd Allatif"/>
    <s v="Mabrukh"/>
    <s v="Mabrukh Mabrukh"/>
    <x v="1"/>
    <s v="010  4618-3103"/>
    <x v="2"/>
    <x v="0"/>
    <x v="1"/>
    <x v="1"/>
    <s v="a.mabrukh@email.com"/>
    <n v="31"/>
    <n v="7"/>
    <x v="22"/>
    <x v="41"/>
    <d v="2026-01-28T00:00:00"/>
    <n v="8"/>
    <n v="6579"/>
    <n v="657.90000000000009"/>
    <n v="197.37"/>
    <x v="40"/>
    <s v="Over"/>
    <x v="0"/>
  </r>
  <r>
    <x v="42"/>
    <s v="Salim"/>
    <s v="Abumaeun"/>
    <s v="Abumaeun Abumaeun"/>
    <x v="1"/>
    <s v="011  2489-3299"/>
    <x v="3"/>
    <x v="0"/>
    <x v="3"/>
    <x v="0"/>
    <s v="s.abumaeun@email.com"/>
    <n v="13"/>
    <n v="8"/>
    <x v="23"/>
    <x v="42"/>
    <d v="2026-01-28T00:00:00"/>
    <n v="35"/>
    <n v="5373"/>
    <n v="537.30000000000007"/>
    <n v="161.19"/>
    <x v="27"/>
    <s v="Normal"/>
    <x v="1"/>
  </r>
  <r>
    <x v="43"/>
    <s v="Rafat"/>
    <s v="Hamza"/>
    <s v="Hamza Hamza"/>
    <x v="1"/>
    <s v="010  1138-0035"/>
    <x v="2"/>
    <x v="3"/>
    <x v="2"/>
    <x v="0"/>
    <s v="r.hamza@email.com"/>
    <n v="16"/>
    <n v="8"/>
    <x v="24"/>
    <x v="43"/>
    <d v="2026-01-28T00:00:00"/>
    <n v="3"/>
    <n v="1391"/>
    <n v="139.1"/>
    <n v="41.73"/>
    <x v="41"/>
    <s v="Normal"/>
    <x v="2"/>
  </r>
  <r>
    <x v="44"/>
    <s v="Ahmad"/>
    <s v="Laylana"/>
    <s v="Laylana Laylana"/>
    <x v="1"/>
    <s v="010  2588-7176"/>
    <x v="3"/>
    <x v="1"/>
    <x v="4"/>
    <x v="1"/>
    <s v="a.laylana@email.com"/>
    <n v="26"/>
    <n v="8"/>
    <x v="25"/>
    <x v="44"/>
    <d v="2026-01-28T00:00:00"/>
    <n v="16"/>
    <n v="2528"/>
    <n v="252.8"/>
    <n v="75.84"/>
    <x v="42"/>
    <s v="Normal"/>
    <x v="2"/>
  </r>
  <r>
    <x v="45"/>
    <s v="Lobnaa"/>
    <s v="Khalifih"/>
    <s v="Khalifih Khalifih"/>
    <x v="0"/>
    <s v="011  9617-0308"/>
    <x v="3"/>
    <x v="1"/>
    <x v="8"/>
    <x v="2"/>
    <s v="l.khalifih@email.com"/>
    <n v="4"/>
    <n v="9"/>
    <x v="26"/>
    <x v="45"/>
    <d v="2026-01-28T00:00:00"/>
    <n v="15"/>
    <n v="6040"/>
    <n v="604"/>
    <n v="181.2"/>
    <x v="43"/>
    <s v="Normal"/>
    <x v="1"/>
  </r>
  <r>
    <x v="46"/>
    <s v="Sami"/>
    <s v="Alkhujih"/>
    <s v="Alkhujih Alkhujih"/>
    <x v="1"/>
    <s v="010  2952-2470"/>
    <x v="0"/>
    <x v="2"/>
    <x v="3"/>
    <x v="0"/>
    <s v="s.alkhujih@email.com"/>
    <n v="10"/>
    <n v="9"/>
    <x v="8"/>
    <x v="46"/>
    <d v="2026-01-28T00:00:00"/>
    <n v="21"/>
    <n v="3842"/>
    <n v="384.20000000000005"/>
    <n v="115.25999999999999"/>
    <x v="44"/>
    <s v="Normal"/>
    <x v="1"/>
  </r>
  <r>
    <x v="47"/>
    <s v="Salam"/>
    <s v="Alealbi"/>
    <s v="Alealbi Alealbi"/>
    <x v="0"/>
    <s v="012  4800-6218"/>
    <x v="3"/>
    <x v="3"/>
    <x v="4"/>
    <x v="1"/>
    <s v="s.alealbi@email.com"/>
    <n v="16"/>
    <n v="9"/>
    <x v="9"/>
    <x v="47"/>
    <d v="2026-01-28T00:00:00"/>
    <n v="20"/>
    <n v="1542"/>
    <n v="154.20000000000002"/>
    <n v="46.26"/>
    <x v="45"/>
    <s v="Normal"/>
    <x v="2"/>
  </r>
  <r>
    <x v="48"/>
    <s v="Rim"/>
    <s v="Almusaa"/>
    <s v="Almusaa Almusaa"/>
    <x v="0"/>
    <s v="012  5827-0039"/>
    <x v="3"/>
    <x v="3"/>
    <x v="0"/>
    <x v="1"/>
    <s v="r.almusaa@email.com"/>
    <n v="24"/>
    <n v="9"/>
    <x v="18"/>
    <x v="48"/>
    <d v="2026-01-28T00:00:00"/>
    <n v="28"/>
    <n v="3134"/>
    <n v="313.40000000000003"/>
    <n v="94.02"/>
    <x v="46"/>
    <s v="Normal"/>
    <x v="2"/>
  </r>
  <r>
    <x v="49"/>
    <s v="Ghada"/>
    <s v="Aleasimii"/>
    <s v="Aleasimii Aleasimii"/>
    <x v="0"/>
    <s v="010  6343-6964"/>
    <x v="3"/>
    <x v="1"/>
    <x v="1"/>
    <x v="0"/>
    <s v="g.aleasimii@email.com"/>
    <n v="27"/>
    <n v="9"/>
    <x v="3"/>
    <x v="49"/>
    <d v="2026-01-28T00:00:00"/>
    <n v="32"/>
    <n v="4921"/>
    <n v="492.1"/>
    <n v="147.63"/>
    <x v="47"/>
    <s v="Normal"/>
    <x v="1"/>
  </r>
  <r>
    <x v="50"/>
    <s v="Abd Alwahhab"/>
    <s v="Muhamad"/>
    <s v="Muhamad Muhamad"/>
    <x v="1"/>
    <s v="011  7467-7667"/>
    <x v="3"/>
    <x v="2"/>
    <x v="4"/>
    <x v="1"/>
    <s v="a.muhamad@email.com"/>
    <n v="11"/>
    <n v="2"/>
    <x v="8"/>
    <x v="50"/>
    <d v="2026-01-28T00:00:00"/>
    <n v="21"/>
    <n v="1948"/>
    <n v="194.8"/>
    <n v="58.44"/>
    <x v="9"/>
    <s v="Normal"/>
    <x v="2"/>
  </r>
  <r>
    <x v="51"/>
    <s v="Ayman"/>
    <s v="Eubayd"/>
    <s v="Eubayd Eubayd"/>
    <x v="1"/>
    <s v="011  8317-7630"/>
    <x v="4"/>
    <x v="2"/>
    <x v="1"/>
    <x v="3"/>
    <s v="a.eubayd@email.com"/>
    <n v="11"/>
    <n v="2"/>
    <x v="1"/>
    <x v="51"/>
    <d v="2026-01-28T00:00:00"/>
    <n v="24"/>
    <n v="3294"/>
    <n v="329.40000000000003"/>
    <n v="98.82"/>
    <x v="10"/>
    <s v="Normal"/>
    <x v="1"/>
  </r>
  <r>
    <x v="52"/>
    <s v="Faras"/>
    <s v="Karim"/>
    <s v="Karim Karim"/>
    <x v="1"/>
    <s v="011  6548-2913"/>
    <x v="0"/>
    <x v="1"/>
    <x v="4"/>
    <x v="0"/>
    <s v="f.karim@email.com"/>
    <n v="17"/>
    <n v="2"/>
    <x v="12"/>
    <x v="52"/>
    <d v="2026-01-28T00:00:00"/>
    <n v="26"/>
    <n v="7123"/>
    <n v="712.30000000000007"/>
    <n v="213.69"/>
    <x v="11"/>
    <s v="Over"/>
    <x v="0"/>
  </r>
  <r>
    <x v="53"/>
    <s v="Shadi"/>
    <s v="Salayk"/>
    <s v="Salayk Salayk"/>
    <x v="1"/>
    <s v="012  6241-6555"/>
    <x v="2"/>
    <x v="0"/>
    <x v="1"/>
    <x v="0"/>
    <s v="s.salayk@email.com"/>
    <n v="25"/>
    <n v="2"/>
    <x v="27"/>
    <x v="53"/>
    <d v="2026-01-28T00:00:00"/>
    <n v="19"/>
    <n v="7236"/>
    <n v="723.6"/>
    <n v="217.07999999999998"/>
    <x v="12"/>
    <s v="Over"/>
    <x v="0"/>
  </r>
  <r>
    <x v="54"/>
    <s v="Eubay"/>
    <s v="Alttahir"/>
    <s v="Alttahir Alttahir"/>
    <x v="1"/>
    <s v="012  0080-0358"/>
    <x v="0"/>
    <x v="0"/>
    <x v="8"/>
    <x v="1"/>
    <s v="e.alttahir@email.com"/>
    <n v="26"/>
    <n v="2"/>
    <x v="28"/>
    <x v="54"/>
    <d v="2026-01-28T00:00:00"/>
    <n v="27"/>
    <n v="6843"/>
    <n v="684.30000000000007"/>
    <n v="205.29"/>
    <x v="13"/>
    <s v="Over"/>
    <x v="0"/>
  </r>
  <r>
    <x v="55"/>
    <s v="Abd Alhadi"/>
    <s v="Alzzahir"/>
    <s v="Alzzahir Alzzahir"/>
    <x v="1"/>
    <s v="011  5953-5298"/>
    <x v="0"/>
    <x v="3"/>
    <x v="8"/>
    <x v="1"/>
    <s v="a.alzzahir@email.com"/>
    <n v="2"/>
    <n v="3"/>
    <x v="11"/>
    <x v="55"/>
    <d v="2026-01-28T00:00:00"/>
    <n v="5"/>
    <n v="1070"/>
    <n v="107"/>
    <n v="32.1"/>
    <x v="14"/>
    <s v="Normal"/>
    <x v="3"/>
  </r>
  <r>
    <x v="56"/>
    <s v="Majdulin"/>
    <s v="Ashbrh"/>
    <s v="Ashbrh Ashbrh"/>
    <x v="0"/>
    <s v="011  5319-7666"/>
    <x v="2"/>
    <x v="3"/>
    <x v="1"/>
    <x v="0"/>
    <s v="m.ashbrh@email.com"/>
    <n v="10"/>
    <n v="3"/>
    <x v="13"/>
    <x v="56"/>
    <d v="2026-01-28T00:00:00"/>
    <n v="29"/>
    <n v="1493"/>
    <n v="149.30000000000001"/>
    <n v="44.79"/>
    <x v="15"/>
    <s v="Normal"/>
    <x v="2"/>
  </r>
  <r>
    <x v="57"/>
    <s v="Aylyn"/>
    <s v="Dahadal"/>
    <s v="Dahadal Dahadal"/>
    <x v="0"/>
    <s v="012  2332-0986"/>
    <x v="4"/>
    <x v="0"/>
    <x v="1"/>
    <x v="1"/>
    <s v="a.dahadal@email.com"/>
    <n v="6"/>
    <n v="4"/>
    <x v="10"/>
    <x v="57"/>
    <d v="2026-01-28T00:00:00"/>
    <n v="14"/>
    <n v="5857"/>
    <n v="585.70000000000005"/>
    <n v="175.70999999999998"/>
    <x v="16"/>
    <s v="Normal"/>
    <x v="1"/>
  </r>
  <r>
    <x v="58"/>
    <s v="Tala"/>
    <s v="Tuish"/>
    <s v="Tuish Tuish"/>
    <x v="0"/>
    <s v="012  1442-5931"/>
    <x v="4"/>
    <x v="1"/>
    <x v="4"/>
    <x v="1"/>
    <s v="t.tuish@email.com"/>
    <n v="12"/>
    <n v="4"/>
    <x v="10"/>
    <x v="58"/>
    <d v="2026-01-28T00:00:00"/>
    <n v="14"/>
    <n v="5278"/>
    <n v="527.80000000000007"/>
    <n v="158.34"/>
    <x v="17"/>
    <s v="Normal"/>
    <x v="1"/>
  </r>
  <r>
    <x v="59"/>
    <s v="Muhamad"/>
    <s v="Qarh"/>
    <s v="Qarh Qarh"/>
    <x v="1"/>
    <s v="010  6732-2354"/>
    <x v="0"/>
    <x v="0"/>
    <x v="5"/>
    <x v="1"/>
    <s v="m.qarh@email.com"/>
    <n v="13"/>
    <n v="4"/>
    <x v="29"/>
    <x v="59"/>
    <d v="2026-01-28T00:00:00"/>
    <n v="4"/>
    <n v="5710"/>
    <n v="571"/>
    <n v="171.29999999999998"/>
    <x v="18"/>
    <s v="Normal"/>
    <x v="1"/>
  </r>
  <r>
    <x v="60"/>
    <s v="Eala"/>
    <s v="Almisri"/>
    <s v="Almisri Almisri"/>
    <x v="0"/>
    <s v="012  8295-8040"/>
    <x v="2"/>
    <x v="0"/>
    <x v="2"/>
    <x v="1"/>
    <s v="e.almisri@email.com"/>
    <n v="28"/>
    <n v="4"/>
    <x v="21"/>
    <x v="60"/>
    <d v="2026-01-28T00:00:00"/>
    <n v="12"/>
    <n v="6145"/>
    <n v="614.5"/>
    <n v="184.35"/>
    <x v="19"/>
    <s v="Normal"/>
    <x v="1"/>
  </r>
  <r>
    <x v="61"/>
    <s v="Muhamad"/>
    <s v="Alzaybq"/>
    <s v="Alzaybq Alzaybq"/>
    <x v="1"/>
    <s v="010  8655-8296"/>
    <x v="3"/>
    <x v="1"/>
    <x v="5"/>
    <x v="3"/>
    <s v="m.alzaybq@email.com"/>
    <n v="1"/>
    <n v="5"/>
    <x v="3"/>
    <x v="61"/>
    <d v="2026-01-28T00:00:00"/>
    <n v="32"/>
    <n v="5278"/>
    <n v="527.80000000000007"/>
    <n v="158.34"/>
    <x v="17"/>
    <s v="Normal"/>
    <x v="1"/>
  </r>
  <r>
    <x v="62"/>
    <s v="Muhamad"/>
    <s v="Rajab"/>
    <s v="Rajab Rajab"/>
    <x v="1"/>
    <s v="011  6987-2784"/>
    <x v="0"/>
    <x v="1"/>
    <x v="0"/>
    <x v="1"/>
    <s v="m.rajab@email.com"/>
    <n v="12"/>
    <n v="2"/>
    <x v="12"/>
    <x v="62"/>
    <d v="2026-01-28T00:00:00"/>
    <n v="26"/>
    <n v="6548"/>
    <n v="654.80000000000007"/>
    <n v="196.44"/>
    <x v="0"/>
    <s v="Over"/>
    <x v="0"/>
  </r>
  <r>
    <x v="63"/>
    <s v="Ghadir"/>
    <s v="Hmshw"/>
    <s v="Hmshw Hmshw"/>
    <x v="0"/>
    <s v="011  3511-1589"/>
    <x v="1"/>
    <x v="1"/>
    <x v="1"/>
    <x v="1"/>
    <s v="g.hmshw@email.com"/>
    <n v="21"/>
    <n v="1"/>
    <x v="27"/>
    <x v="63"/>
    <d v="2026-01-28T00:00:00"/>
    <n v="20"/>
    <n v="7175"/>
    <n v="717.5"/>
    <n v="215.25"/>
    <x v="1"/>
    <s v="Over"/>
    <x v="0"/>
  </r>
  <r>
    <x v="64"/>
    <s v="Ailya"/>
    <s v="Sharaf"/>
    <s v="Sharaf Sharaf"/>
    <x v="0"/>
    <s v="010  4688-8466"/>
    <x v="2"/>
    <x v="0"/>
    <x v="0"/>
    <x v="0"/>
    <s v="a.sharaf@email.com"/>
    <n v="9"/>
    <n v="3"/>
    <x v="13"/>
    <x v="64"/>
    <d v="2026-01-28T00:00:00"/>
    <n v="29"/>
    <n v="4070"/>
    <n v="407"/>
    <n v="122.1"/>
    <x v="2"/>
    <s v="Normal"/>
    <x v="1"/>
  </r>
  <r>
    <x v="65"/>
    <s v="Ahmad"/>
    <s v="Bikri"/>
    <s v="Bikri Bikri"/>
    <x v="1"/>
    <s v="011  8428-3949"/>
    <x v="0"/>
    <x v="1"/>
    <x v="2"/>
    <x v="0"/>
    <s v="a.bikri@email.com"/>
    <n v="4"/>
    <n v="11"/>
    <x v="27"/>
    <x v="65"/>
    <d v="2026-01-28T00:00:00"/>
    <n v="19"/>
    <n v="1906"/>
    <n v="190.60000000000002"/>
    <n v="57.18"/>
    <x v="3"/>
    <s v="Normal"/>
    <x v="2"/>
  </r>
  <r>
    <x v="66"/>
    <s v="Hamdah"/>
    <s v="Alkhalifa"/>
    <s v="Alkhalifa Alkhalifa"/>
    <x v="1"/>
    <s v="011  7474-1200"/>
    <x v="3"/>
    <x v="0"/>
    <x v="2"/>
    <x v="0"/>
    <s v="h.alkhalifa@email.com"/>
    <n v="20"/>
    <n v="12"/>
    <x v="29"/>
    <x v="66"/>
    <d v="2026-01-28T00:00:00"/>
    <n v="4"/>
    <n v="2600"/>
    <n v="260"/>
    <n v="78"/>
    <x v="4"/>
    <s v="Normal"/>
    <x v="2"/>
  </r>
  <r>
    <x v="67"/>
    <s v="Salah"/>
    <s v="Ramadan"/>
    <s v="Ramadan Ramadan"/>
    <x v="1"/>
    <s v="010  4497-5883"/>
    <x v="2"/>
    <x v="1"/>
    <x v="3"/>
    <x v="2"/>
    <s v="s.ramadan@email.com"/>
    <n v="18"/>
    <n v="12"/>
    <x v="10"/>
    <x v="67"/>
    <d v="2026-01-28T00:00:00"/>
    <n v="14"/>
    <n v="3753"/>
    <n v="375.3"/>
    <n v="112.58999999999999"/>
    <x v="5"/>
    <s v="Normal"/>
    <x v="1"/>
  </r>
  <r>
    <x v="68"/>
    <s v="Salam"/>
    <s v="Alkhatib"/>
    <s v="Alkhatib Alkhatib"/>
    <x v="1"/>
    <s v="012  3524-3161"/>
    <x v="4"/>
    <x v="0"/>
    <x v="4"/>
    <x v="3"/>
    <s v="s.alkhatib@email.com"/>
    <n v="8"/>
    <n v="3"/>
    <x v="6"/>
    <x v="68"/>
    <d v="2026-01-28T00:00:00"/>
    <n v="31"/>
    <n v="5086"/>
    <n v="508.6"/>
    <n v="152.57999999999998"/>
    <x v="6"/>
    <s v="Normal"/>
    <x v="1"/>
  </r>
  <r>
    <x v="69"/>
    <s v="Amira"/>
    <s v="Akrym"/>
    <s v="Akrym Akrym"/>
    <x v="0"/>
    <s v="012  6831-6580"/>
    <x v="2"/>
    <x v="0"/>
    <x v="0"/>
    <x v="2"/>
    <s v="a.akrym@email.com"/>
    <n v="24"/>
    <n v="3"/>
    <x v="16"/>
    <x v="69"/>
    <d v="2026-01-28T00:00:00"/>
    <n v="25"/>
    <n v="2431"/>
    <n v="243.10000000000002"/>
    <n v="72.929999999999993"/>
    <x v="7"/>
    <s v="Normal"/>
    <x v="2"/>
  </r>
  <r>
    <x v="70"/>
    <s v="Samah"/>
    <s v="Almaydanii"/>
    <s v="Almaydanii Almaydanii"/>
    <x v="0"/>
    <s v="011  8080-1211"/>
    <x v="3"/>
    <x v="0"/>
    <x v="0"/>
    <x v="0"/>
    <s v="s.almaydanii@email.com"/>
    <n v="4"/>
    <n v="10"/>
    <x v="15"/>
    <x v="70"/>
    <d v="2026-01-28T00:00:00"/>
    <n v="9"/>
    <n v="2955"/>
    <n v="295.5"/>
    <n v="88.649999999999991"/>
    <x v="8"/>
    <s v="Normal"/>
    <x v="2"/>
  </r>
  <r>
    <x v="71"/>
    <s v="Ibrahim"/>
    <s v="Alhamid"/>
    <s v="Alhamid Alhamid"/>
    <x v="1"/>
    <s v="011  5796-6726"/>
    <x v="3"/>
    <x v="3"/>
    <x v="4"/>
    <x v="3"/>
    <s v="i.alhamid@email.com"/>
    <n v="11"/>
    <n v="8"/>
    <x v="30"/>
    <x v="71"/>
    <d v="2026-01-28T00:00:00"/>
    <n v="7"/>
    <n v="1948"/>
    <n v="194.8"/>
    <n v="58.44"/>
    <x v="9"/>
    <s v="Normal"/>
    <x v="2"/>
  </r>
  <r>
    <x v="72"/>
    <s v="Zaydun"/>
    <s v="Jabir"/>
    <s v="Jabir Jabir"/>
    <x v="1"/>
    <s v="010  3471-2814"/>
    <x v="4"/>
    <x v="3"/>
    <x v="1"/>
    <x v="3"/>
    <s v="z.jabir@email.com"/>
    <n v="10"/>
    <n v="11"/>
    <x v="3"/>
    <x v="72"/>
    <d v="2026-01-28T00:00:00"/>
    <n v="32"/>
    <n v="3294"/>
    <n v="329.40000000000003"/>
    <n v="98.82"/>
    <x v="10"/>
    <s v="Normal"/>
    <x v="1"/>
  </r>
  <r>
    <x v="73"/>
    <s v="Ruyda"/>
    <s v="Alhamadii"/>
    <s v="Alhamadii Alhamadii"/>
    <x v="0"/>
    <s v="012  5491-6955"/>
    <x v="0"/>
    <x v="1"/>
    <x v="4"/>
    <x v="2"/>
    <s v="r.alhamadii@email.com"/>
    <n v="13"/>
    <n v="2"/>
    <x v="14"/>
    <x v="73"/>
    <d v="2026-01-28T00:00:00"/>
    <n v="23"/>
    <n v="7123"/>
    <n v="712.30000000000007"/>
    <n v="213.69"/>
    <x v="11"/>
    <s v="Over"/>
    <x v="0"/>
  </r>
  <r>
    <x v="74"/>
    <s v="Karam"/>
    <s v="Kiali"/>
    <s v="Kiali Kiali"/>
    <x v="1"/>
    <s v="012  9118-4107"/>
    <x v="2"/>
    <x v="0"/>
    <x v="1"/>
    <x v="0"/>
    <s v="k.kiali@email.com"/>
    <n v="20"/>
    <n v="2"/>
    <x v="7"/>
    <x v="74"/>
    <d v="2026-01-28T00:00:00"/>
    <n v="13"/>
    <n v="7236"/>
    <n v="723.6"/>
    <n v="217.07999999999998"/>
    <x v="12"/>
    <s v="Over"/>
    <x v="0"/>
  </r>
  <r>
    <x v="75"/>
    <s v="Iilyas"/>
    <s v="Dahadal"/>
    <s v="Dahadal Dahadal"/>
    <x v="0"/>
    <s v="010  6763-9649"/>
    <x v="0"/>
    <x v="1"/>
    <x v="1"/>
    <x v="3"/>
    <s v="i.dahadal@email.com"/>
    <n v="20"/>
    <n v="3"/>
    <x v="6"/>
    <x v="75"/>
    <d v="2026-01-28T00:00:00"/>
    <n v="31"/>
    <n v="6843"/>
    <n v="684.30000000000007"/>
    <n v="205.29"/>
    <x v="13"/>
    <s v="Over"/>
    <x v="0"/>
  </r>
  <r>
    <x v="76"/>
    <s v="Iin"/>
    <s v="Qisi"/>
    <s v="Qisi Qisi"/>
    <x v="0"/>
    <s v="012  3935-3123"/>
    <x v="0"/>
    <x v="3"/>
    <x v="1"/>
    <x v="3"/>
    <s v="i.qisi@email.com"/>
    <n v="7"/>
    <n v="1"/>
    <x v="27"/>
    <x v="76"/>
    <d v="2026-01-28T00:00:00"/>
    <n v="20"/>
    <n v="1070"/>
    <n v="107"/>
    <n v="32.1"/>
    <x v="14"/>
    <s v="Normal"/>
    <x v="3"/>
  </r>
  <r>
    <x v="77"/>
    <s v="Eala"/>
    <s v="Dahbur"/>
    <s v="Dahbur Dahbur"/>
    <x v="0"/>
    <s v="010  7962-9017"/>
    <x v="2"/>
    <x v="0"/>
    <x v="1"/>
    <x v="0"/>
    <s v="e.dahbur@email.com"/>
    <n v="13"/>
    <n v="6"/>
    <x v="1"/>
    <x v="77"/>
    <d v="2026-01-28T00:00:00"/>
    <n v="24"/>
    <n v="1493"/>
    <n v="149.30000000000001"/>
    <n v="44.79"/>
    <x v="15"/>
    <s v="Normal"/>
    <x v="2"/>
  </r>
  <r>
    <x v="78"/>
    <s v="Khalil"/>
    <s v="Alzaebii"/>
    <s v="Alzaebii Alzaebii"/>
    <x v="1"/>
    <s v="010  4824-6123"/>
    <x v="4"/>
    <x v="1"/>
    <x v="1"/>
    <x v="3"/>
    <s v="k.alzaebii@email.com"/>
    <n v="28"/>
    <n v="6"/>
    <x v="22"/>
    <x v="78"/>
    <d v="2026-01-28T00:00:00"/>
    <n v="8"/>
    <n v="5857"/>
    <n v="585.70000000000005"/>
    <n v="175.70999999999998"/>
    <x v="16"/>
    <s v="Normal"/>
    <x v="1"/>
  </r>
  <r>
    <x v="79"/>
    <s v="Rahaf"/>
    <s v="Alaleppoy"/>
    <s v="Alaleppoy Alaleppoy"/>
    <x v="0"/>
    <s v="011  8935-1772"/>
    <x v="4"/>
    <x v="1"/>
    <x v="4"/>
    <x v="2"/>
    <s v="r.alaleppoy@email.com"/>
    <n v="22"/>
    <n v="10"/>
    <x v="4"/>
    <x v="79"/>
    <d v="2026-01-28T00:00:00"/>
    <n v="6"/>
    <n v="5278"/>
    <n v="527.80000000000007"/>
    <n v="158.34"/>
    <x v="17"/>
    <s v="Normal"/>
    <x v="1"/>
  </r>
  <r>
    <x v="80"/>
    <s v="Isam"/>
    <s v="Jadid"/>
    <s v="Jadid Jadid"/>
    <x v="1"/>
    <s v="011  7933-3977"/>
    <x v="0"/>
    <x v="1"/>
    <x v="5"/>
    <x v="0"/>
    <s v="i.jadid@email.com"/>
    <n v="2"/>
    <n v="9"/>
    <x v="10"/>
    <x v="80"/>
    <d v="2026-01-28T00:00:00"/>
    <n v="14"/>
    <n v="5710"/>
    <n v="571"/>
    <n v="171.29999999999998"/>
    <x v="18"/>
    <s v="Normal"/>
    <x v="1"/>
  </r>
  <r>
    <x v="81"/>
    <s v="Rybal"/>
    <s v="Sabagh"/>
    <s v="Sabagh Sabagh"/>
    <x v="1"/>
    <s v="011  4434-4138"/>
    <x v="2"/>
    <x v="0"/>
    <x v="2"/>
    <x v="2"/>
    <s v="r.sabagh@email.com"/>
    <n v="15"/>
    <n v="10"/>
    <x v="14"/>
    <x v="81"/>
    <d v="2026-01-28T00:00:00"/>
    <n v="23"/>
    <n v="6145"/>
    <n v="614.5"/>
    <n v="184.35"/>
    <x v="19"/>
    <s v="Normal"/>
    <x v="1"/>
  </r>
  <r>
    <x v="82"/>
    <s v="Ihsan"/>
    <s v="Eazu"/>
    <s v="Eazu Eazu"/>
    <x v="1"/>
    <s v="011  8496-7687"/>
    <x v="3"/>
    <x v="1"/>
    <x v="5"/>
    <x v="2"/>
    <s v="i.eazu@email.com"/>
    <n v="22"/>
    <n v="5"/>
    <x v="31"/>
    <x v="82"/>
    <d v="2026-01-28T00:00:00"/>
    <n v="30"/>
    <n v="5278"/>
    <n v="527.80000000000007"/>
    <n v="158.34"/>
    <x v="17"/>
    <s v="Normal"/>
    <x v="1"/>
  </r>
  <r>
    <x v="83"/>
    <s v="Abdalrahmin"/>
    <s v="Turkmany"/>
    <s v="Turkmany Turkmany"/>
    <x v="1"/>
    <s v="012  7210-8768"/>
    <x v="3"/>
    <x v="0"/>
    <x v="0"/>
    <x v="0"/>
    <s v="a.turkmany@email.com"/>
    <n v="17"/>
    <n v="1"/>
    <x v="4"/>
    <x v="83"/>
    <d v="2026-01-28T00:00:00"/>
    <n v="7"/>
    <n v="6409"/>
    <n v="640.90000000000009"/>
    <n v="192.26999999999998"/>
    <x v="20"/>
    <s v="Normal"/>
    <x v="1"/>
  </r>
  <r>
    <x v="84"/>
    <s v="Lama"/>
    <s v="Sabiq"/>
    <s v="Sabiq Sabiq"/>
    <x v="0"/>
    <s v="010  5141-8325"/>
    <x v="2"/>
    <x v="3"/>
    <x v="0"/>
    <x v="3"/>
    <s v="l.sabiq@email.com"/>
    <n v="4"/>
    <n v="12"/>
    <x v="17"/>
    <x v="84"/>
    <d v="2026-01-28T00:00:00"/>
    <n v="10"/>
    <n v="7478"/>
    <n v="747.80000000000007"/>
    <n v="224.34"/>
    <x v="21"/>
    <s v="Over"/>
    <x v="0"/>
  </r>
  <r>
    <x v="85"/>
    <s v="Faras"/>
    <s v="Shaykh"/>
    <s v="Shaykh Shaykh"/>
    <x v="1"/>
    <s v="011  6312-9808"/>
    <x v="0"/>
    <x v="1"/>
    <x v="0"/>
    <x v="0"/>
    <s v="f.shaykh@email.com"/>
    <n v="14"/>
    <n v="12"/>
    <x v="30"/>
    <x v="85"/>
    <d v="2026-01-28T00:00:00"/>
    <n v="7"/>
    <n v="4621"/>
    <n v="462.1"/>
    <n v="138.63"/>
    <x v="22"/>
    <s v="Normal"/>
    <x v="1"/>
  </r>
  <r>
    <x v="86"/>
    <s v="Khaldun"/>
    <s v="Suqbani"/>
    <s v="Suqbani Suqbani"/>
    <x v="1"/>
    <s v="010  4252-8729"/>
    <x v="3"/>
    <x v="0"/>
    <x v="6"/>
    <x v="0"/>
    <s v="k.suqbani@email.com"/>
    <n v="14"/>
    <n v="12"/>
    <x v="3"/>
    <x v="86"/>
    <d v="2026-01-28T00:00:00"/>
    <n v="32"/>
    <n v="2093"/>
    <n v="209.3"/>
    <n v="62.79"/>
    <x v="23"/>
    <s v="Normal"/>
    <x v="2"/>
  </r>
  <r>
    <x v="87"/>
    <s v="Kawkab"/>
    <s v="Qarqazan"/>
    <s v="Qarqazan Qarqazan"/>
    <x v="0"/>
    <s v="011  5230-3355"/>
    <x v="0"/>
    <x v="0"/>
    <x v="4"/>
    <x v="2"/>
    <s v="k.qarqazan@email.com"/>
    <n v="20"/>
    <n v="5"/>
    <x v="14"/>
    <x v="87"/>
    <d v="2026-01-28T00:00:00"/>
    <n v="23"/>
    <n v="7333"/>
    <n v="733.30000000000007"/>
    <n v="219.98999999999998"/>
    <x v="24"/>
    <s v="Over"/>
    <x v="0"/>
  </r>
  <r>
    <x v="88"/>
    <s v="Samir"/>
    <s v="Alsaeid"/>
    <s v="Alsaeid Alsaeid"/>
    <x v="1"/>
    <s v="011  5806-8087"/>
    <x v="3"/>
    <x v="1"/>
    <x v="2"/>
    <x v="2"/>
    <s v="s.alsaeid@email.com"/>
    <n v="16"/>
    <n v="9"/>
    <x v="19"/>
    <x v="88"/>
    <d v="2026-01-28T00:00:00"/>
    <n v="17"/>
    <n v="1194"/>
    <n v="119.4"/>
    <n v="35.82"/>
    <x v="25"/>
    <s v="Normal"/>
    <x v="2"/>
  </r>
  <r>
    <x v="89"/>
    <s v="Amir"/>
    <s v="Alhifar"/>
    <s v="Alhifar Alhifar"/>
    <x v="1"/>
    <s v="011  7532-2588"/>
    <x v="1"/>
    <x v="0"/>
    <x v="2"/>
    <x v="3"/>
    <s v="a.alhifar@email.com"/>
    <n v="6"/>
    <n v="11"/>
    <x v="17"/>
    <x v="89"/>
    <d v="2026-01-28T00:00:00"/>
    <n v="10"/>
    <n v="5118"/>
    <n v="511.8"/>
    <n v="153.54"/>
    <x v="26"/>
    <s v="Normal"/>
    <x v="1"/>
  </r>
  <r>
    <x v="90"/>
    <s v="Amjad"/>
    <s v="Alrz"/>
    <s v="Alrz Alrz"/>
    <x v="1"/>
    <s v="012  3200-6218"/>
    <x v="3"/>
    <x v="0"/>
    <x v="7"/>
    <x v="2"/>
    <s v="a.alrz@email.com"/>
    <n v="28"/>
    <n v="5"/>
    <x v="8"/>
    <x v="90"/>
    <d v="2026-01-28T00:00:00"/>
    <n v="21"/>
    <n v="5373"/>
    <n v="537.30000000000007"/>
    <n v="161.19"/>
    <x v="27"/>
    <s v="Normal"/>
    <x v="1"/>
  </r>
  <r>
    <x v="91"/>
    <s v="Daniah"/>
    <s v="Alhariri"/>
    <s v="Alhariri Alhariri"/>
    <x v="0"/>
    <s v="011  5955-3175"/>
    <x v="3"/>
    <x v="2"/>
    <x v="8"/>
    <x v="0"/>
    <s v="d.alhariri@email.com"/>
    <n v="27"/>
    <n v="7"/>
    <x v="10"/>
    <x v="91"/>
    <d v="2026-01-28T00:00:00"/>
    <n v="14"/>
    <n v="1708"/>
    <n v="170.8"/>
    <n v="51.239999999999995"/>
    <x v="28"/>
    <s v="Normal"/>
    <x v="2"/>
  </r>
  <r>
    <x v="92"/>
    <s v="Sana"/>
    <s v="Alhusayn"/>
    <s v="Alhusayn Alhusayn"/>
    <x v="0"/>
    <s v="010  6074-6101"/>
    <x v="4"/>
    <x v="0"/>
    <x v="4"/>
    <x v="3"/>
    <s v="s.alhusayn@email.com"/>
    <n v="11"/>
    <n v="8"/>
    <x v="4"/>
    <x v="92"/>
    <d v="2026-01-28T00:00:00"/>
    <n v="6"/>
    <n v="2898"/>
    <n v="289.8"/>
    <n v="86.94"/>
    <x v="29"/>
    <s v="Normal"/>
    <x v="2"/>
  </r>
  <r>
    <x v="93"/>
    <s v="Alaa"/>
    <s v="Alqasir"/>
    <s v="Alqasir Alqasir"/>
    <x v="1"/>
    <s v="010  4522-3037"/>
    <x v="1"/>
    <x v="1"/>
    <x v="5"/>
    <x v="0"/>
    <s v="a.alqasir@email.com"/>
    <n v="16"/>
    <n v="10"/>
    <x v="2"/>
    <x v="93"/>
    <d v="2026-01-28T00:00:00"/>
    <n v="18"/>
    <n v="6211"/>
    <n v="621.1"/>
    <n v="186.32999999999998"/>
    <x v="30"/>
    <s v="Normal"/>
    <x v="1"/>
  </r>
  <r>
    <x v="94"/>
    <s v="Abd Alruhmin"/>
    <s v="Salih"/>
    <s v="Salih Salih"/>
    <x v="1"/>
    <s v="011  8620-7920"/>
    <x v="4"/>
    <x v="0"/>
    <x v="0"/>
    <x v="0"/>
    <s v="a.salih@email.com"/>
    <n v="25"/>
    <n v="12"/>
    <x v="11"/>
    <x v="94"/>
    <d v="2026-01-28T00:00:00"/>
    <n v="5"/>
    <n v="5976"/>
    <n v="597.6"/>
    <n v="179.28"/>
    <x v="31"/>
    <s v="Normal"/>
    <x v="1"/>
  </r>
  <r>
    <x v="95"/>
    <s v="Iin"/>
    <s v="Alhumwi"/>
    <s v="Alhumwi Alhumwi"/>
    <x v="0"/>
    <s v="011  8887-9513"/>
    <x v="4"/>
    <x v="1"/>
    <x v="0"/>
    <x v="2"/>
    <s v="i.alhumwi@email.com"/>
    <n v="28"/>
    <n v="10"/>
    <x v="18"/>
    <x v="95"/>
    <d v="2026-01-28T00:00:00"/>
    <n v="28"/>
    <n v="742"/>
    <n v="74.2"/>
    <n v="22.259999999999998"/>
    <x v="32"/>
    <s v="Normal"/>
    <x v="3"/>
  </r>
  <r>
    <x v="96"/>
    <s v="Alaa"/>
    <s v="Saed"/>
    <s v="Saed Saed"/>
    <x v="0"/>
    <s v="011  5535-8485"/>
    <x v="2"/>
    <x v="1"/>
    <x v="6"/>
    <x v="0"/>
    <s v="a.saed@email.com"/>
    <n v="3"/>
    <n v="4"/>
    <x v="19"/>
    <x v="96"/>
    <d v="2026-01-28T00:00:00"/>
    <n v="17"/>
    <n v="5918"/>
    <n v="591.80000000000007"/>
    <n v="177.54"/>
    <x v="33"/>
    <s v="Normal"/>
    <x v="1"/>
  </r>
  <r>
    <x v="97"/>
    <s v="Safa"/>
    <s v="AlAhmar"/>
    <s v="Alahmar Alahmar"/>
    <x v="0"/>
    <s v="012  6048-9135"/>
    <x v="2"/>
    <x v="1"/>
    <x v="2"/>
    <x v="3"/>
    <s v="s.alahmar@email.com"/>
    <n v="3"/>
    <n v="1"/>
    <x v="28"/>
    <x v="97"/>
    <d v="2026-01-28T00:00:00"/>
    <n v="28"/>
    <n v="3074"/>
    <n v="307.40000000000003"/>
    <n v="92.22"/>
    <x v="34"/>
    <s v="Normal"/>
    <x v="2"/>
  </r>
  <r>
    <x v="98"/>
    <s v="Afra"/>
    <s v="Sharabi"/>
    <s v="Sharabi Sharabi"/>
    <x v="0"/>
    <s v="010  6341-2062"/>
    <x v="4"/>
    <x v="0"/>
    <x v="0"/>
    <x v="3"/>
    <s v="a.sharabi@email.com"/>
    <n v="21"/>
    <n v="4"/>
    <x v="27"/>
    <x v="98"/>
    <d v="2026-01-28T00:00:00"/>
    <n v="19"/>
    <n v="5688"/>
    <n v="568.80000000000007"/>
    <n v="170.64"/>
    <x v="35"/>
    <s v="Normal"/>
    <x v="1"/>
  </r>
  <r>
    <x v="99"/>
    <s v="Rawan"/>
    <s v="Durkzili"/>
    <s v="Durkzili Durkzili"/>
    <x v="0"/>
    <s v="012  8875-3528"/>
    <x v="2"/>
    <x v="1"/>
    <x v="0"/>
    <x v="0"/>
    <s v="r.durkzili@email.com"/>
    <n v="25"/>
    <n v="9"/>
    <x v="5"/>
    <x v="99"/>
    <d v="2026-01-28T00:00:00"/>
    <n v="22"/>
    <n v="3362"/>
    <n v="336.20000000000005"/>
    <n v="100.86"/>
    <x v="36"/>
    <s v="Normal"/>
    <x v="1"/>
  </r>
  <r>
    <x v="100"/>
    <s v="Dijwar"/>
    <s v="Husu"/>
    <s v="Husu Husu"/>
    <x v="1"/>
    <s v="010  7408-8451"/>
    <x v="3"/>
    <x v="1"/>
    <x v="0"/>
    <x v="3"/>
    <s v="d.husu@email.com"/>
    <n v="23"/>
    <n v="9"/>
    <x v="13"/>
    <x v="100"/>
    <d v="2026-01-28T00:00:00"/>
    <n v="29"/>
    <n v="6043"/>
    <n v="604.30000000000007"/>
    <n v="181.29"/>
    <x v="37"/>
    <s v="Normal"/>
    <x v="1"/>
  </r>
  <r>
    <x v="101"/>
    <s v="Asama"/>
    <s v="Eilwan"/>
    <s v="Eilwan Eilwan"/>
    <x v="0"/>
    <s v="011  5377-6417"/>
    <x v="3"/>
    <x v="0"/>
    <x v="0"/>
    <x v="0"/>
    <s v="a.eilwan@email.com"/>
    <n v="26"/>
    <n v="8"/>
    <x v="24"/>
    <x v="101"/>
    <d v="2026-01-28T00:00:00"/>
    <n v="3"/>
    <n v="6260"/>
    <n v="626"/>
    <n v="187.79999999999998"/>
    <x v="38"/>
    <s v="Normal"/>
    <x v="1"/>
  </r>
  <r>
    <x v="102"/>
    <s v="Ali"/>
    <s v="Zyny"/>
    <s v="Zyny Zyny"/>
    <x v="1"/>
    <s v="010  8556-8480"/>
    <x v="3"/>
    <x v="1"/>
    <x v="0"/>
    <x v="0"/>
    <s v="a.zyny@email.com"/>
    <n v="19"/>
    <n v="7"/>
    <x v="31"/>
    <x v="102"/>
    <d v="2026-01-28T00:00:00"/>
    <n v="30"/>
    <n v="3754"/>
    <n v="375.40000000000003"/>
    <n v="112.61999999999999"/>
    <x v="39"/>
    <s v="Normal"/>
    <x v="1"/>
  </r>
  <r>
    <x v="103"/>
    <s v="Ahmad"/>
    <s v="Iidlibi"/>
    <s v="Iidlibi Iidlibi"/>
    <x v="1"/>
    <s v="012  6707-5871"/>
    <x v="2"/>
    <x v="0"/>
    <x v="1"/>
    <x v="0"/>
    <s v="a.iidlibi@email.com"/>
    <n v="2"/>
    <n v="1"/>
    <x v="25"/>
    <x v="103"/>
    <d v="2026-01-28T00:00:00"/>
    <n v="17"/>
    <n v="6579"/>
    <n v="657.90000000000009"/>
    <n v="197.37"/>
    <x v="40"/>
    <s v="Over"/>
    <x v="0"/>
  </r>
  <r>
    <x v="104"/>
    <s v="Ahmad"/>
    <s v="Zynu"/>
    <s v="Zynu Zynu"/>
    <x v="1"/>
    <s v="012  6770-4372"/>
    <x v="3"/>
    <x v="0"/>
    <x v="3"/>
    <x v="0"/>
    <s v="a.zynu@email.com"/>
    <n v="20"/>
    <n v="7"/>
    <x v="9"/>
    <x v="104"/>
    <d v="2026-01-28T00:00:00"/>
    <n v="20"/>
    <n v="5373"/>
    <n v="537.30000000000007"/>
    <n v="161.19"/>
    <x v="27"/>
    <s v="Normal"/>
    <x v="1"/>
  </r>
  <r>
    <x v="105"/>
    <s v="Rahaf"/>
    <s v="Eijluni"/>
    <s v="Eijluni Eijluni"/>
    <x v="0"/>
    <s v="012  4644-7781"/>
    <x v="2"/>
    <x v="0"/>
    <x v="2"/>
    <x v="0"/>
    <s v="r.eijluni@email.com"/>
    <n v="5"/>
    <n v="6"/>
    <x v="32"/>
    <x v="105"/>
    <d v="2026-01-28T00:00:00"/>
    <n v="34"/>
    <n v="1391"/>
    <n v="139.1"/>
    <n v="41.73"/>
    <x v="41"/>
    <s v="Normal"/>
    <x v="2"/>
  </r>
  <r>
    <x v="106"/>
    <s v="Ali"/>
    <s v="Marwan"/>
    <s v="Marwan Marwan"/>
    <x v="1"/>
    <s v="010  7643-7964"/>
    <x v="3"/>
    <x v="1"/>
    <x v="4"/>
    <x v="3"/>
    <s v="a.marwan@email.com"/>
    <n v="4"/>
    <n v="1"/>
    <x v="23"/>
    <x v="106"/>
    <d v="2026-01-28T00:00:00"/>
    <n v="36"/>
    <n v="2528"/>
    <n v="252.8"/>
    <n v="75.84"/>
    <x v="42"/>
    <s v="Normal"/>
    <x v="2"/>
  </r>
  <r>
    <x v="107"/>
    <s v="Sayban"/>
    <s v="Musur"/>
    <s v="Musur Musur"/>
    <x v="0"/>
    <s v="011  4477-1264"/>
    <x v="3"/>
    <x v="1"/>
    <x v="8"/>
    <x v="0"/>
    <s v="s.musur@email.com"/>
    <n v="12"/>
    <n v="8"/>
    <x v="29"/>
    <x v="107"/>
    <d v="2026-01-28T00:00:00"/>
    <n v="4"/>
    <n v="6040"/>
    <n v="604"/>
    <n v="181.2"/>
    <x v="43"/>
    <s v="Normal"/>
    <x v="1"/>
  </r>
  <r>
    <x v="108"/>
    <s v="Ali"/>
    <s v="Alnuwri"/>
    <s v="Alnuwri Alnuwri"/>
    <x v="1"/>
    <s v="011  4108-2581"/>
    <x v="0"/>
    <x v="2"/>
    <x v="3"/>
    <x v="0"/>
    <s v="a.alnuwri@email.com"/>
    <n v="18"/>
    <n v="11"/>
    <x v="6"/>
    <x v="108"/>
    <d v="2026-01-28T00:00:00"/>
    <n v="31"/>
    <n v="3842"/>
    <n v="384.20000000000005"/>
    <n v="115.25999999999999"/>
    <x v="44"/>
    <s v="Normal"/>
    <x v="1"/>
  </r>
  <r>
    <x v="109"/>
    <s v="Ahmad"/>
    <s v="Shakir"/>
    <s v="Shakir Shakir"/>
    <x v="1"/>
    <s v="012  8947-6396"/>
    <x v="3"/>
    <x v="0"/>
    <x v="4"/>
    <x v="3"/>
    <s v="a.shakir@email.com"/>
    <n v="24"/>
    <n v="3"/>
    <x v="31"/>
    <x v="109"/>
    <d v="2026-01-28T00:00:00"/>
    <n v="30"/>
    <n v="1542"/>
    <n v="154.20000000000002"/>
    <n v="46.26"/>
    <x v="45"/>
    <s v="Normal"/>
    <x v="2"/>
  </r>
  <r>
    <x v="110"/>
    <s v="Ayham"/>
    <s v="Kharbutli"/>
    <s v="Kharbutli Kharbutli"/>
    <x v="1"/>
    <s v="012  7025-4019"/>
    <x v="3"/>
    <x v="0"/>
    <x v="0"/>
    <x v="3"/>
    <s v="a.kharbutli@email.com"/>
    <n v="27"/>
    <n v="10"/>
    <x v="31"/>
    <x v="110"/>
    <d v="2026-01-28T00:00:00"/>
    <n v="30"/>
    <n v="3134"/>
    <n v="313.40000000000003"/>
    <n v="94.02"/>
    <x v="46"/>
    <s v="Normal"/>
    <x v="2"/>
  </r>
  <r>
    <x v="111"/>
    <s v="Sahar"/>
    <s v="Jaridiun"/>
    <s v="Jaridiun Jaridiun"/>
    <x v="0"/>
    <s v="011  6947-8107"/>
    <x v="3"/>
    <x v="1"/>
    <x v="1"/>
    <x v="0"/>
    <s v="s.jaridiun@email.com"/>
    <n v="9"/>
    <n v="9"/>
    <x v="8"/>
    <x v="111"/>
    <d v="2026-01-28T00:00:00"/>
    <n v="21"/>
    <n v="4921"/>
    <n v="492.1"/>
    <n v="147.63"/>
    <x v="47"/>
    <s v="Normal"/>
    <x v="1"/>
  </r>
  <r>
    <x v="112"/>
    <s v="Abdalrhim"/>
    <s v="Eimaruh"/>
    <s v="Eimaruh Eimaruh"/>
    <x v="1"/>
    <s v="010  7791-8954"/>
    <x v="3"/>
    <x v="0"/>
    <x v="4"/>
    <x v="0"/>
    <s v="a.eimaruh@email.com"/>
    <n v="24"/>
    <n v="2"/>
    <x v="1"/>
    <x v="112"/>
    <d v="2026-01-28T00:00:00"/>
    <n v="24"/>
    <n v="1948"/>
    <n v="194.8"/>
    <n v="58.44"/>
    <x v="9"/>
    <s v="Normal"/>
    <x v="2"/>
  </r>
  <r>
    <x v="113"/>
    <s v="Baha Aldiyn"/>
    <s v="Marzuq"/>
    <s v="Marzuq Marzuq"/>
    <x v="1"/>
    <s v="012  9175-7619"/>
    <x v="4"/>
    <x v="1"/>
    <x v="1"/>
    <x v="0"/>
    <s v="b.marzuq@email.com"/>
    <n v="20"/>
    <n v="12"/>
    <x v="29"/>
    <x v="66"/>
    <d v="2026-01-28T00:00:00"/>
    <n v="4"/>
    <n v="3294"/>
    <n v="329.40000000000003"/>
    <n v="98.82"/>
    <x v="10"/>
    <s v="Normal"/>
    <x v="1"/>
  </r>
  <r>
    <x v="114"/>
    <s v="Abd Alruhmin"/>
    <s v="Hamj"/>
    <s v="Hamj Hamj"/>
    <x v="1"/>
    <s v="010  6501-9681"/>
    <x v="0"/>
    <x v="2"/>
    <x v="4"/>
    <x v="2"/>
    <s v="a.hamj@email.com"/>
    <n v="14"/>
    <n v="8"/>
    <x v="6"/>
    <x v="113"/>
    <d v="2026-01-28T00:00:00"/>
    <n v="31"/>
    <n v="7123"/>
    <n v="712.30000000000007"/>
    <n v="213.69"/>
    <x v="11"/>
    <s v="Over"/>
    <x v="0"/>
  </r>
  <r>
    <x v="115"/>
    <s v="Ahmad"/>
    <s v="Bradey"/>
    <s v="Bradey Bradey"/>
    <x v="1"/>
    <s v="010  4297-2383"/>
    <x v="2"/>
    <x v="0"/>
    <x v="1"/>
    <x v="0"/>
    <s v="a.bradey@email.com"/>
    <n v="10"/>
    <n v="12"/>
    <x v="23"/>
    <x v="114"/>
    <d v="2026-01-28T00:00:00"/>
    <n v="35"/>
    <n v="7236"/>
    <n v="723.6"/>
    <n v="217.07999999999998"/>
    <x v="12"/>
    <s v="Over"/>
    <x v="0"/>
  </r>
  <r>
    <x v="116"/>
    <s v="Bakr"/>
    <s v="Eubdallah"/>
    <s v="Eubdallah Eubdallah"/>
    <x v="1"/>
    <s v="010  6365-4222"/>
    <x v="0"/>
    <x v="0"/>
    <x v="1"/>
    <x v="0"/>
    <s v="b.eubdallah@email.com"/>
    <n v="9"/>
    <n v="11"/>
    <x v="26"/>
    <x v="115"/>
    <d v="2026-01-28T00:00:00"/>
    <n v="15"/>
    <n v="6843"/>
    <n v="684.30000000000007"/>
    <n v="205.29"/>
    <x v="13"/>
    <s v="Over"/>
    <x v="0"/>
  </r>
  <r>
    <x v="117"/>
    <s v="Ahmad"/>
    <s v="Alnajar"/>
    <s v="Alnajar Alnajar"/>
    <x v="1"/>
    <s v="012  8995-3131"/>
    <x v="0"/>
    <x v="0"/>
    <x v="1"/>
    <x v="0"/>
    <s v="a.alnajar@email.com"/>
    <n v="18"/>
    <n v="10"/>
    <x v="20"/>
    <x v="116"/>
    <d v="2026-01-28T00:00:00"/>
    <n v="11"/>
    <n v="1070"/>
    <n v="107"/>
    <n v="32.1"/>
    <x v="14"/>
    <s v="Normal"/>
    <x v="3"/>
  </r>
  <r>
    <x v="118"/>
    <s v="Raghid"/>
    <s v="Hutayniun"/>
    <s v="Hutayniun Hutayniun"/>
    <x v="1"/>
    <s v="011  4083-9738"/>
    <x v="2"/>
    <x v="0"/>
    <x v="1"/>
    <x v="0"/>
    <s v="r.hutayniun@email.com"/>
    <n v="22"/>
    <n v="11"/>
    <x v="31"/>
    <x v="117"/>
    <d v="2026-01-28T00:00:00"/>
    <n v="30"/>
    <n v="1493"/>
    <n v="149.30000000000001"/>
    <n v="44.79"/>
    <x v="15"/>
    <s v="Normal"/>
    <x v="2"/>
  </r>
  <r>
    <x v="119"/>
    <s v="Khalid"/>
    <s v="Siriul"/>
    <s v="Siriul Siriul"/>
    <x v="1"/>
    <s v="010  4217-2318"/>
    <x v="4"/>
    <x v="1"/>
    <x v="1"/>
    <x v="0"/>
    <s v="k.siriul@email.com"/>
    <n v="17"/>
    <n v="12"/>
    <x v="31"/>
    <x v="118"/>
    <d v="2026-01-28T00:00:00"/>
    <n v="30"/>
    <n v="5857"/>
    <n v="585.70000000000005"/>
    <n v="175.70999999999998"/>
    <x v="16"/>
    <s v="Normal"/>
    <x v="1"/>
  </r>
  <r>
    <x v="120"/>
    <s v="Bashshar"/>
    <s v="Mareiun"/>
    <s v="Mareiun Mareiun"/>
    <x v="1"/>
    <s v="011  6371-8373"/>
    <x v="4"/>
    <x v="2"/>
    <x v="4"/>
    <x v="0"/>
    <s v="b.mareiun@email.com"/>
    <n v="26"/>
    <n v="1"/>
    <x v="32"/>
    <x v="119"/>
    <d v="2026-01-28T00:00:00"/>
    <n v="35"/>
    <n v="5278"/>
    <n v="527.80000000000007"/>
    <n v="158.34"/>
    <x v="17"/>
    <s v="Normal"/>
    <x v="1"/>
  </r>
  <r>
    <x v="121"/>
    <s v="Akram"/>
    <s v="Alhulwanii"/>
    <s v="Alhulwanii Alhulwanii"/>
    <x v="1"/>
    <s v="011  6895-5407"/>
    <x v="0"/>
    <x v="0"/>
    <x v="5"/>
    <x v="3"/>
    <s v="a.alhulwanii@email.com"/>
    <n v="24"/>
    <n v="9"/>
    <x v="11"/>
    <x v="120"/>
    <d v="2026-01-28T00:00:00"/>
    <n v="5"/>
    <n v="5710"/>
    <n v="571"/>
    <n v="171.29999999999998"/>
    <x v="18"/>
    <s v="Normal"/>
    <x v="1"/>
  </r>
  <r>
    <x v="122"/>
    <s v="Lama"/>
    <s v="Alhasan"/>
    <s v="Alhasan Alhasan"/>
    <x v="0"/>
    <s v="012  9091-1270"/>
    <x v="2"/>
    <x v="0"/>
    <x v="2"/>
    <x v="3"/>
    <s v="l.alhasan@email.com"/>
    <n v="26"/>
    <n v="4"/>
    <x v="30"/>
    <x v="121"/>
    <d v="2026-01-28T00:00:00"/>
    <n v="7"/>
    <n v="6145"/>
    <n v="614.5"/>
    <n v="184.35"/>
    <x v="19"/>
    <s v="Normal"/>
    <x v="1"/>
  </r>
  <r>
    <x v="123"/>
    <s v="Abdallah"/>
    <s v="Zakariaa"/>
    <s v="Zakariaa Zakariaa"/>
    <x v="1"/>
    <s v="011  5166-2931"/>
    <x v="3"/>
    <x v="1"/>
    <x v="5"/>
    <x v="0"/>
    <s v="a.zakariaa@email.com"/>
    <n v="10"/>
    <n v="11"/>
    <x v="4"/>
    <x v="122"/>
    <d v="2026-01-28T00:00:00"/>
    <n v="6"/>
    <n v="5278"/>
    <n v="527.80000000000007"/>
    <n v="158.34"/>
    <x v="17"/>
    <s v="Normal"/>
    <x v="1"/>
  </r>
  <r>
    <x v="124"/>
    <s v="Bilal"/>
    <s v="Aywbi"/>
    <s v="Aywbi Aywbi"/>
    <x v="1"/>
    <s v="012  4733-7899"/>
    <x v="0"/>
    <x v="0"/>
    <x v="0"/>
    <x v="0"/>
    <s v="b.aywbi@email.com"/>
    <n v="2"/>
    <n v="5"/>
    <x v="14"/>
    <x v="123"/>
    <d v="2026-01-28T00:00:00"/>
    <n v="23"/>
    <n v="6548"/>
    <n v="654.80000000000007"/>
    <n v="196.44"/>
    <x v="0"/>
    <s v="Over"/>
    <x v="0"/>
  </r>
  <r>
    <x v="125"/>
    <s v="Madlin"/>
    <s v="Alsaed"/>
    <s v="Alsaed Alsaed"/>
    <x v="0"/>
    <s v="010  6210-7094"/>
    <x v="1"/>
    <x v="2"/>
    <x v="1"/>
    <x v="0"/>
    <s v="m.alsaed@email.com"/>
    <n v="28"/>
    <n v="11"/>
    <x v="0"/>
    <x v="124"/>
    <d v="2026-01-28T00:00:00"/>
    <n v="2"/>
    <n v="7175"/>
    <n v="717.5"/>
    <n v="215.25"/>
    <x v="1"/>
    <s v="Over"/>
    <x v="0"/>
  </r>
  <r>
    <x v="126"/>
    <s v="Adnan"/>
    <s v="Aleaqla"/>
    <s v="Aleaqla Aleaqla"/>
    <x v="1"/>
    <s v="010  6193-3004"/>
    <x v="2"/>
    <x v="1"/>
    <x v="0"/>
    <x v="3"/>
    <s v="a.aleaqla@email.com"/>
    <n v="8"/>
    <n v="6"/>
    <x v="18"/>
    <x v="125"/>
    <d v="2026-01-28T00:00:00"/>
    <n v="28"/>
    <n v="4070"/>
    <n v="407"/>
    <n v="122.1"/>
    <x v="2"/>
    <s v="Normal"/>
    <x v="1"/>
  </r>
  <r>
    <x v="127"/>
    <s v="Sarah"/>
    <s v="Haydar"/>
    <s v="Haydar Haydar"/>
    <x v="0"/>
    <s v="010  9048-4281"/>
    <x v="0"/>
    <x v="0"/>
    <x v="2"/>
    <x v="0"/>
    <s v="s.haydar@email.com"/>
    <n v="1"/>
    <n v="4"/>
    <x v="1"/>
    <x v="126"/>
    <d v="2026-01-28T00:00:00"/>
    <n v="24"/>
    <n v="1906"/>
    <n v="190.60000000000002"/>
    <n v="57.18"/>
    <x v="3"/>
    <s v="Normal"/>
    <x v="2"/>
  </r>
  <r>
    <x v="128"/>
    <s v="Abdalkarim"/>
    <s v="Shueayb"/>
    <s v="Shueayb Shueayb"/>
    <x v="1"/>
    <s v="011  7450-5741"/>
    <x v="3"/>
    <x v="1"/>
    <x v="2"/>
    <x v="0"/>
    <s v="a.shueayb@email.com"/>
    <n v="25"/>
    <n v="6"/>
    <x v="30"/>
    <x v="127"/>
    <d v="2026-01-28T00:00:00"/>
    <n v="7"/>
    <n v="2600"/>
    <n v="260"/>
    <n v="78"/>
    <x v="4"/>
    <s v="Normal"/>
    <x v="2"/>
  </r>
  <r>
    <x v="129"/>
    <s v="Ahmad"/>
    <s v="Dahman"/>
    <s v="Dahman Dahman"/>
    <x v="1"/>
    <s v="011  7018-6351"/>
    <x v="2"/>
    <x v="1"/>
    <x v="3"/>
    <x v="2"/>
    <s v="a.dahman@email.com"/>
    <n v="22"/>
    <n v="5"/>
    <x v="3"/>
    <x v="128"/>
    <d v="2026-01-28T00:00:00"/>
    <n v="32"/>
    <n v="3753"/>
    <n v="375.3"/>
    <n v="112.58999999999999"/>
    <x v="5"/>
    <s v="Normal"/>
    <x v="1"/>
  </r>
  <r>
    <x v="130"/>
    <s v="Zaynab"/>
    <s v="Eirat"/>
    <s v="Eirat Eirat"/>
    <x v="0"/>
    <s v="010  7440-7736"/>
    <x v="4"/>
    <x v="0"/>
    <x v="4"/>
    <x v="0"/>
    <s v="z.eirat@email.com"/>
    <n v="15"/>
    <n v="8"/>
    <x v="24"/>
    <x v="129"/>
    <d v="2026-01-28T00:00:00"/>
    <n v="3"/>
    <n v="5086"/>
    <n v="508.6"/>
    <n v="152.57999999999998"/>
    <x v="6"/>
    <s v="Normal"/>
    <x v="1"/>
  </r>
  <r>
    <x v="131"/>
    <s v="Iad"/>
    <s v="Badran"/>
    <s v="Badran Badran"/>
    <x v="1"/>
    <s v="011  5215-7179"/>
    <x v="2"/>
    <x v="3"/>
    <x v="0"/>
    <x v="2"/>
    <s v="i.badran@email.com"/>
    <n v="25"/>
    <n v="10"/>
    <x v="29"/>
    <x v="130"/>
    <d v="2026-01-28T00:00:00"/>
    <n v="4"/>
    <n v="2431"/>
    <n v="243.10000000000002"/>
    <n v="72.929999999999993"/>
    <x v="7"/>
    <s v="Normal"/>
    <x v="2"/>
  </r>
  <r>
    <x v="132"/>
    <s v="Zahir"/>
    <s v="Aleitar"/>
    <s v="Aleitar Aleitar"/>
    <x v="1"/>
    <s v="011  4814-4047"/>
    <x v="3"/>
    <x v="0"/>
    <x v="0"/>
    <x v="0"/>
    <s v="z.aleitar@email.com"/>
    <n v="8"/>
    <n v="3"/>
    <x v="20"/>
    <x v="131"/>
    <d v="2026-01-28T00:00:00"/>
    <n v="11"/>
    <n v="2955"/>
    <n v="295.5"/>
    <n v="88.649999999999991"/>
    <x v="8"/>
    <s v="Normal"/>
    <x v="2"/>
  </r>
  <r>
    <x v="133"/>
    <s v="Hamzaa"/>
    <s v="Astitih"/>
    <s v="Astitih Astitih"/>
    <x v="1"/>
    <s v="011  5017-9759"/>
    <x v="3"/>
    <x v="2"/>
    <x v="4"/>
    <x v="3"/>
    <s v="h.astitih@email.com"/>
    <n v="3"/>
    <n v="7"/>
    <x v="13"/>
    <x v="132"/>
    <d v="2026-01-28T00:00:00"/>
    <n v="29"/>
    <n v="1948"/>
    <n v="194.8"/>
    <n v="58.44"/>
    <x v="9"/>
    <s v="Normal"/>
    <x v="2"/>
  </r>
  <r>
    <x v="134"/>
    <s v="Omar"/>
    <s v="Shawqi"/>
    <s v="Shawqi Shawqi"/>
    <x v="1"/>
    <s v="011  6086-3552"/>
    <x v="4"/>
    <x v="0"/>
    <x v="1"/>
    <x v="0"/>
    <s v="o.shawqi@email.com"/>
    <n v="24"/>
    <n v="9"/>
    <x v="33"/>
    <x v="133"/>
    <d v="2026-01-28T00:00:00"/>
    <n v="33"/>
    <n v="3294"/>
    <n v="329.40000000000003"/>
    <n v="98.82"/>
    <x v="10"/>
    <s v="Normal"/>
    <x v="1"/>
  </r>
  <r>
    <x v="135"/>
    <s v="Omar"/>
    <s v="Zaqzuq"/>
    <s v="Zaqzuq Zaqzuq"/>
    <x v="1"/>
    <s v="012  6254-7335"/>
    <x v="0"/>
    <x v="2"/>
    <x v="4"/>
    <x v="1"/>
    <s v="o.zaqzuq@email.com"/>
    <n v="17"/>
    <n v="6"/>
    <x v="20"/>
    <x v="134"/>
    <d v="2026-01-28T00:00:00"/>
    <n v="11"/>
    <n v="7123"/>
    <n v="712.30000000000007"/>
    <n v="213.69"/>
    <x v="11"/>
    <s v="Over"/>
    <x v="0"/>
  </r>
  <r>
    <x v="136"/>
    <s v="Yasmin"/>
    <s v="Eamir"/>
    <s v="Eamir Eamir"/>
    <x v="0"/>
    <s v="011  5729-6583"/>
    <x v="2"/>
    <x v="0"/>
    <x v="1"/>
    <x v="2"/>
    <s v="y.eamir@email.com"/>
    <n v="12"/>
    <n v="5"/>
    <x v="33"/>
    <x v="135"/>
    <d v="2026-01-28T00:00:00"/>
    <n v="33"/>
    <n v="7236"/>
    <n v="723.6"/>
    <n v="217.07999999999998"/>
    <x v="12"/>
    <s v="Over"/>
    <x v="0"/>
  </r>
  <r>
    <x v="137"/>
    <s v="Muayid"/>
    <s v="Siedih"/>
    <s v="Siedih Siedih"/>
    <x v="1"/>
    <s v="011  5990-9346"/>
    <x v="0"/>
    <x v="3"/>
    <x v="1"/>
    <x v="1"/>
    <s v="m.siedih@email.com"/>
    <n v="18"/>
    <n v="7"/>
    <x v="25"/>
    <x v="136"/>
    <d v="2026-01-28T00:00:00"/>
    <n v="16"/>
    <n v="6843"/>
    <n v="684.30000000000007"/>
    <n v="205.29"/>
    <x v="13"/>
    <s v="Over"/>
    <x v="0"/>
  </r>
  <r>
    <x v="138"/>
    <s v="Sahar"/>
    <s v="Qisam"/>
    <s v="Qisam Qisam"/>
    <x v="0"/>
    <s v="011  5421-6848"/>
    <x v="0"/>
    <x v="1"/>
    <x v="1"/>
    <x v="1"/>
    <s v="s.qisam@email.com"/>
    <n v="9"/>
    <n v="4"/>
    <x v="1"/>
    <x v="137"/>
    <d v="2026-01-28T00:00:00"/>
    <n v="24"/>
    <n v="1070"/>
    <n v="107"/>
    <n v="32.1"/>
    <x v="14"/>
    <s v="Normal"/>
    <x v="3"/>
  </r>
  <r>
    <x v="139"/>
    <s v="Hind"/>
    <s v="Almueasaeas"/>
    <s v="Almueasaeas Almueasaeas"/>
    <x v="0"/>
    <s v="012  3218-3876"/>
    <x v="2"/>
    <x v="3"/>
    <x v="1"/>
    <x v="3"/>
    <s v="h.almueasaeas@email.com"/>
    <n v="23"/>
    <n v="3"/>
    <x v="10"/>
    <x v="138"/>
    <d v="2026-01-28T00:00:00"/>
    <n v="14"/>
    <n v="1493"/>
    <n v="149.30000000000001"/>
    <n v="44.79"/>
    <x v="15"/>
    <s v="Normal"/>
    <x v="2"/>
  </r>
  <r>
    <x v="140"/>
    <s v="Ghassan"/>
    <s v="Aljamal"/>
    <s v="Aljamal Aljamal"/>
    <x v="1"/>
    <s v="012  6359-7797"/>
    <x v="4"/>
    <x v="1"/>
    <x v="1"/>
    <x v="1"/>
    <s v="g.aljamal@email.com"/>
    <n v="3"/>
    <n v="7"/>
    <x v="11"/>
    <x v="139"/>
    <d v="2026-01-28T00:00:00"/>
    <n v="5"/>
    <n v="5857"/>
    <n v="585.70000000000005"/>
    <n v="175.70999999999998"/>
    <x v="16"/>
    <s v="Normal"/>
    <x v="1"/>
  </r>
  <r>
    <x v="141"/>
    <s v="Omar"/>
    <s v="Kahulus"/>
    <s v="Kahulus Kahulus"/>
    <x v="1"/>
    <s v="011  8190-9541"/>
    <x v="4"/>
    <x v="0"/>
    <x v="4"/>
    <x v="1"/>
    <s v="o.kahulus@email.com"/>
    <n v="4"/>
    <n v="3"/>
    <x v="32"/>
    <x v="140"/>
    <d v="2026-01-28T00:00:00"/>
    <n v="34"/>
    <n v="5278"/>
    <n v="527.80000000000007"/>
    <n v="158.34"/>
    <x v="17"/>
    <s v="Normal"/>
    <x v="1"/>
  </r>
  <r>
    <x v="142"/>
    <s v="Alysia"/>
    <s v="Alyaghshiu"/>
    <s v="Alyaghshiu Alyaghshiu"/>
    <x v="0"/>
    <s v="010  8181-4218"/>
    <x v="0"/>
    <x v="0"/>
    <x v="5"/>
    <x v="0"/>
    <s v="a.alyaghshiu@email.com"/>
    <n v="18"/>
    <n v="9"/>
    <x v="17"/>
    <x v="141"/>
    <d v="2026-01-28T00:00:00"/>
    <n v="10"/>
    <n v="5710"/>
    <n v="571"/>
    <n v="171.29999999999998"/>
    <x v="18"/>
    <s v="Normal"/>
    <x v="1"/>
  </r>
  <r>
    <x v="143"/>
    <s v="Ahmad"/>
    <s v="Zayd"/>
    <s v="Zayd Zayd"/>
    <x v="1"/>
    <s v="012  8361-8696"/>
    <x v="2"/>
    <x v="0"/>
    <x v="2"/>
    <x v="3"/>
    <s v="a.zayd@email.com"/>
    <n v="8"/>
    <n v="12"/>
    <x v="28"/>
    <x v="142"/>
    <d v="2026-01-28T00:00:00"/>
    <n v="27"/>
    <n v="6145"/>
    <n v="614.5"/>
    <n v="184.35"/>
    <x v="19"/>
    <s v="Normal"/>
    <x v="1"/>
  </r>
  <r>
    <x v="144"/>
    <s v="Darin"/>
    <s v="Ghunum"/>
    <s v="Ghunum Ghunum"/>
    <x v="0"/>
    <s v="012  6158-7511"/>
    <x v="3"/>
    <x v="1"/>
    <x v="5"/>
    <x v="0"/>
    <s v="d.ghunum@email.com"/>
    <n v="23"/>
    <n v="11"/>
    <x v="30"/>
    <x v="143"/>
    <d v="2026-01-28T00:00:00"/>
    <n v="7"/>
    <n v="5278"/>
    <n v="527.80000000000007"/>
    <n v="158.34"/>
    <x v="17"/>
    <s v="Normal"/>
    <x v="1"/>
  </r>
  <r>
    <x v="145"/>
    <s v="Tariq"/>
    <s v="Bryghl"/>
    <s v="Bryghl Bryghl"/>
    <x v="1"/>
    <s v="010  8861-8228"/>
    <x v="3"/>
    <x v="3"/>
    <x v="0"/>
    <x v="1"/>
    <s v="t.bryghl@email.com"/>
    <n v="21"/>
    <n v="9"/>
    <x v="30"/>
    <x v="144"/>
    <d v="2026-01-28T00:00:00"/>
    <n v="7"/>
    <n v="6409"/>
    <n v="640.90000000000009"/>
    <n v="192.26999999999998"/>
    <x v="20"/>
    <s v="Normal"/>
    <x v="1"/>
  </r>
  <r>
    <x v="146"/>
    <s v="Rami"/>
    <s v="Abu Adhan"/>
    <s v="Abu Adhan Abu Adhan"/>
    <x v="1"/>
    <s v="012  7940-4723"/>
    <x v="2"/>
    <x v="0"/>
    <x v="0"/>
    <x v="1"/>
    <s v="r.abu adhan@email.com"/>
    <n v="4"/>
    <n v="12"/>
    <x v="6"/>
    <x v="145"/>
    <d v="2026-01-28T00:00:00"/>
    <n v="31"/>
    <n v="7478"/>
    <n v="747.80000000000007"/>
    <n v="224.34"/>
    <x v="21"/>
    <s v="Over"/>
    <x v="0"/>
  </r>
  <r>
    <x v="147"/>
    <s v="Ehab"/>
    <s v="Alkhibaz"/>
    <s v="Alkhibaz Alkhibaz"/>
    <x v="1"/>
    <s v="010  3617-6600"/>
    <x v="0"/>
    <x v="0"/>
    <x v="0"/>
    <x v="3"/>
    <s v="e.alkhibaz@email.com"/>
    <n v="2"/>
    <n v="6"/>
    <x v="4"/>
    <x v="146"/>
    <d v="2026-01-28T00:00:00"/>
    <n v="6"/>
    <n v="4621"/>
    <n v="462.1"/>
    <n v="138.63"/>
    <x v="22"/>
    <s v="Normal"/>
    <x v="1"/>
  </r>
  <r>
    <x v="148"/>
    <s v="Rym"/>
    <s v="Alsydawi"/>
    <s v="Alsydawi Alsydawi"/>
    <x v="0"/>
    <s v="012  7129-6791"/>
    <x v="3"/>
    <x v="1"/>
    <x v="6"/>
    <x v="1"/>
    <s v="r.alsydawi@email.com"/>
    <n v="6"/>
    <n v="8"/>
    <x v="4"/>
    <x v="147"/>
    <d v="2026-01-28T00:00:00"/>
    <n v="6"/>
    <n v="2093"/>
    <n v="209.3"/>
    <n v="62.79"/>
    <x v="23"/>
    <s v="Normal"/>
    <x v="2"/>
  </r>
  <r>
    <x v="149"/>
    <s v="Alaa"/>
    <s v="Almunzilijiu"/>
    <s v="Almunzilijiu Almunzilijiu"/>
    <x v="1"/>
    <s v="012  4616-8271"/>
    <x v="0"/>
    <x v="2"/>
    <x v="4"/>
    <x v="1"/>
    <s v="a.almunzilijiu@email.com"/>
    <n v="10"/>
    <n v="2"/>
    <x v="33"/>
    <x v="148"/>
    <d v="2026-01-28T00:00:00"/>
    <n v="33"/>
    <n v="7333"/>
    <n v="733.30000000000007"/>
    <n v="219.98999999999998"/>
    <x v="24"/>
    <s v="Over"/>
    <x v="0"/>
  </r>
  <r>
    <x v="150"/>
    <s v="Omar"/>
    <s v="Milatu"/>
    <s v="Milatu Milatu"/>
    <x v="1"/>
    <s v="010  5828-1841"/>
    <x v="3"/>
    <x v="2"/>
    <x v="2"/>
    <x v="0"/>
    <s v="o.milatu@email.com"/>
    <n v="22"/>
    <n v="10"/>
    <x v="33"/>
    <x v="149"/>
    <d v="2026-01-28T00:00:00"/>
    <n v="33"/>
    <n v="1194"/>
    <n v="119.4"/>
    <n v="35.82"/>
    <x v="25"/>
    <s v="Normal"/>
    <x v="2"/>
  </r>
  <r>
    <x v="151"/>
    <s v="Zunar"/>
    <s v="Eali"/>
    <s v="Eali Eali"/>
    <x v="1"/>
    <s v="011  8905-5476"/>
    <x v="1"/>
    <x v="1"/>
    <x v="2"/>
    <x v="0"/>
    <s v="z.eali@email.com"/>
    <n v="8"/>
    <n v="2"/>
    <x v="32"/>
    <x v="150"/>
    <d v="2026-01-28T00:00:00"/>
    <n v="34"/>
    <n v="5118"/>
    <n v="511.8"/>
    <n v="153.54"/>
    <x v="26"/>
    <s v="Normal"/>
    <x v="1"/>
  </r>
  <r>
    <x v="152"/>
    <s v="Ghazal"/>
    <s v="Hisan"/>
    <s v="Hisan Hisan"/>
    <x v="0"/>
    <s v="010  9076-4445"/>
    <x v="3"/>
    <x v="1"/>
    <x v="7"/>
    <x v="3"/>
    <s v="g.hisan@email.com"/>
    <n v="15"/>
    <n v="3"/>
    <x v="0"/>
    <x v="151"/>
    <d v="2026-01-28T00:00:00"/>
    <n v="2"/>
    <n v="5373"/>
    <n v="537.30000000000007"/>
    <n v="161.19"/>
    <x v="27"/>
    <s v="Normal"/>
    <x v="1"/>
  </r>
  <r>
    <x v="153"/>
    <s v="Majd"/>
    <s v="Yasin"/>
    <s v="Yasin Yasin"/>
    <x v="0"/>
    <s v="011  6387-8100"/>
    <x v="3"/>
    <x v="0"/>
    <x v="8"/>
    <x v="1"/>
    <s v="m.yasin@email.com"/>
    <n v="20"/>
    <n v="8"/>
    <x v="8"/>
    <x v="152"/>
    <d v="2026-01-28T00:00:00"/>
    <n v="21"/>
    <n v="1708"/>
    <n v="170.8"/>
    <n v="51.239999999999995"/>
    <x v="28"/>
    <s v="Normal"/>
    <x v="2"/>
  </r>
  <r>
    <x v="154"/>
    <s v="Muwmin"/>
    <s v="Ewad"/>
    <s v="Ewad Ewad"/>
    <x v="1"/>
    <s v="011  6922-8724"/>
    <x v="4"/>
    <x v="0"/>
    <x v="4"/>
    <x v="0"/>
    <s v="m.ewad@email.com"/>
    <n v="10"/>
    <n v="1"/>
    <x v="13"/>
    <x v="153"/>
    <d v="2026-01-28T00:00:00"/>
    <n v="30"/>
    <n v="2898"/>
    <n v="289.8"/>
    <n v="86.94"/>
    <x v="29"/>
    <s v="Normal"/>
    <x v="2"/>
  </r>
  <r>
    <x v="155"/>
    <s v="Samiah"/>
    <s v="Alsaedi"/>
    <s v="Alsaedi Alsaedi"/>
    <x v="0"/>
    <s v="010  7745-5777"/>
    <x v="1"/>
    <x v="0"/>
    <x v="5"/>
    <x v="2"/>
    <s v="s.alsaedi@email.com"/>
    <n v="17"/>
    <n v="3"/>
    <x v="19"/>
    <x v="154"/>
    <d v="2026-01-28T00:00:00"/>
    <n v="17"/>
    <n v="6211"/>
    <n v="621.1"/>
    <n v="186.32999999999998"/>
    <x v="30"/>
    <s v="Normal"/>
    <x v="1"/>
  </r>
  <r>
    <x v="156"/>
    <s v="Bisam"/>
    <s v="Almisri"/>
    <s v="Almisri Almisri"/>
    <x v="0"/>
    <s v="010  4700-5397"/>
    <x v="4"/>
    <x v="1"/>
    <x v="0"/>
    <x v="1"/>
    <s v="b.almisri@email.com"/>
    <n v="4"/>
    <n v="9"/>
    <x v="11"/>
    <x v="155"/>
    <d v="2026-01-28T00:00:00"/>
    <n v="5"/>
    <n v="5976"/>
    <n v="597.6"/>
    <n v="179.28"/>
    <x v="31"/>
    <s v="Normal"/>
    <x v="1"/>
  </r>
  <r>
    <x v="157"/>
    <s v="Abd Alruhmin"/>
    <s v="Alnasar"/>
    <s v="Alnasar Alnasar"/>
    <x v="1"/>
    <s v="010  4787-5446"/>
    <x v="4"/>
    <x v="1"/>
    <x v="0"/>
    <x v="0"/>
    <s v="a.alnasar@email.com"/>
    <n v="20"/>
    <n v="6"/>
    <x v="21"/>
    <x v="156"/>
    <d v="2026-01-28T00:00:00"/>
    <n v="12"/>
    <n v="742"/>
    <n v="74.2"/>
    <n v="22.259999999999998"/>
    <x v="32"/>
    <s v="Normal"/>
    <x v="3"/>
  </r>
  <r>
    <x v="158"/>
    <s v="Rima"/>
    <s v="Dwalyby"/>
    <s v="Dwalyby Dwalyby"/>
    <x v="0"/>
    <s v="010  7823-2941"/>
    <x v="2"/>
    <x v="0"/>
    <x v="6"/>
    <x v="0"/>
    <s v="r.dwalyby@email.com"/>
    <n v="13"/>
    <n v="1"/>
    <x v="29"/>
    <x v="157"/>
    <d v="2026-01-28T00:00:00"/>
    <n v="5"/>
    <n v="5918"/>
    <n v="591.80000000000007"/>
    <n v="177.54"/>
    <x v="33"/>
    <s v="Normal"/>
    <x v="1"/>
  </r>
  <r>
    <x v="159"/>
    <s v="Rashad"/>
    <s v="Iidris"/>
    <s v="Iidris Iidris"/>
    <x v="1"/>
    <s v="012  5136-6669"/>
    <x v="2"/>
    <x v="3"/>
    <x v="2"/>
    <x v="3"/>
    <s v="r.iidris@email.com"/>
    <n v="25"/>
    <n v="9"/>
    <x v="19"/>
    <x v="158"/>
    <d v="2026-01-28T00:00:00"/>
    <n v="17"/>
    <n v="3074"/>
    <n v="307.40000000000003"/>
    <n v="92.22"/>
    <x v="34"/>
    <s v="Normal"/>
    <x v="2"/>
  </r>
  <r>
    <x v="160"/>
    <s v="Fuad"/>
    <s v="Alsyqly"/>
    <s v="Alsyqly Alsyqly"/>
    <x v="1"/>
    <s v="010  7784-2499"/>
    <x v="4"/>
    <x v="0"/>
    <x v="0"/>
    <x v="3"/>
    <s v="f.alsyqly@email.com"/>
    <n v="11"/>
    <n v="2"/>
    <x v="6"/>
    <x v="159"/>
    <d v="2026-01-28T00:00:00"/>
    <n v="31"/>
    <n v="5688"/>
    <n v="568.80000000000007"/>
    <n v="170.64"/>
    <x v="35"/>
    <s v="Normal"/>
    <x v="1"/>
  </r>
  <r>
    <x v="161"/>
    <s v="Ibrahim"/>
    <s v="Alyasin"/>
    <s v="Alyasin Alyasin"/>
    <x v="1"/>
    <s v="010  6682-7599"/>
    <x v="2"/>
    <x v="1"/>
    <x v="0"/>
    <x v="2"/>
    <s v="i.alyasin@email.com"/>
    <n v="22"/>
    <n v="3"/>
    <x v="24"/>
    <x v="160"/>
    <d v="2026-01-28T00:00:00"/>
    <n v="3"/>
    <n v="3362"/>
    <n v="336.20000000000005"/>
    <n v="100.86"/>
    <x v="36"/>
    <s v="Normal"/>
    <x v="1"/>
  </r>
  <r>
    <x v="162"/>
    <s v="Iin"/>
    <s v="Mulaliyun"/>
    <s v="Mulaliyun Mulaliyun"/>
    <x v="0"/>
    <s v="012  3882-9176"/>
    <x v="3"/>
    <x v="2"/>
    <x v="0"/>
    <x v="0"/>
    <s v="i.mulaliyun@email.com"/>
    <n v="4"/>
    <n v="9"/>
    <x v="15"/>
    <x v="161"/>
    <d v="2026-01-28T00:00:00"/>
    <n v="9"/>
    <n v="6043"/>
    <n v="604.30000000000007"/>
    <n v="181.29"/>
    <x v="37"/>
    <s v="Normal"/>
    <x v="1"/>
  </r>
  <r>
    <x v="163"/>
    <s v="Khadijah"/>
    <s v="Abu Taqih"/>
    <s v="Abu Taqih Abu Taqih"/>
    <x v="0"/>
    <s v="010  4374-8649"/>
    <x v="3"/>
    <x v="1"/>
    <x v="0"/>
    <x v="1"/>
    <s v="k.abu taqih@email.com"/>
    <n v="28"/>
    <n v="1"/>
    <x v="28"/>
    <x v="162"/>
    <d v="2026-01-28T00:00:00"/>
    <n v="28"/>
    <n v="6260"/>
    <n v="626"/>
    <n v="187.79999999999998"/>
    <x v="38"/>
    <s v="Normal"/>
    <x v="1"/>
  </r>
  <r>
    <x v="164"/>
    <s v="Sandurana"/>
    <s v="Antun"/>
    <s v="Antun Antun"/>
    <x v="0"/>
    <s v="010  4524-2627"/>
    <x v="3"/>
    <x v="3"/>
    <x v="0"/>
    <x v="3"/>
    <s v="s.antun@email.com"/>
    <n v="15"/>
    <n v="1"/>
    <x v="0"/>
    <x v="163"/>
    <d v="2026-01-28T00:00:00"/>
    <n v="3"/>
    <n v="3754"/>
    <n v="375.40000000000003"/>
    <n v="112.61999999999999"/>
    <x v="39"/>
    <s v="Normal"/>
    <x v="1"/>
  </r>
  <r>
    <x v="165"/>
    <s v="Tariq"/>
    <s v="Alkinaya"/>
    <s v="Alkinaya Alkinaya"/>
    <x v="1"/>
    <s v="011  4997-9340"/>
    <x v="2"/>
    <x v="2"/>
    <x v="1"/>
    <x v="2"/>
    <s v="t.alkinaya@email.com"/>
    <n v="1"/>
    <n v="12"/>
    <x v="26"/>
    <x v="164"/>
    <d v="2026-01-28T00:00:00"/>
    <n v="15"/>
    <n v="6579"/>
    <n v="657.90000000000009"/>
    <n v="197.37"/>
    <x v="40"/>
    <s v="Over"/>
    <x v="0"/>
  </r>
  <r>
    <x v="166"/>
    <s v="Sami"/>
    <s v="Qareush"/>
    <s v="Qareush Qareush"/>
    <x v="1"/>
    <s v="012  8499-6893"/>
    <x v="3"/>
    <x v="0"/>
    <x v="3"/>
    <x v="1"/>
    <s v="s.qareush@email.com"/>
    <n v="25"/>
    <n v="2"/>
    <x v="8"/>
    <x v="165"/>
    <d v="2026-01-28T00:00:00"/>
    <n v="21"/>
    <n v="5373"/>
    <n v="537.30000000000007"/>
    <n v="161.19"/>
    <x v="27"/>
    <s v="Normal"/>
    <x v="1"/>
  </r>
  <r>
    <x v="167"/>
    <s v="Kholoud"/>
    <s v="Khayti"/>
    <s v="Khayti Khayti"/>
    <x v="0"/>
    <s v="011  4876-2753"/>
    <x v="2"/>
    <x v="0"/>
    <x v="2"/>
    <x v="1"/>
    <s v="k.khayti@email.com"/>
    <n v="6"/>
    <n v="10"/>
    <x v="23"/>
    <x v="166"/>
    <d v="2026-01-28T00:00:00"/>
    <n v="35"/>
    <n v="1391"/>
    <n v="139.1"/>
    <n v="41.73"/>
    <x v="41"/>
    <s v="Normal"/>
    <x v="2"/>
  </r>
  <r>
    <x v="168"/>
    <s v="Kinda"/>
    <s v="Alaqre"/>
    <s v="Alaqre Alaqre"/>
    <x v="0"/>
    <s v="012  6018-1350"/>
    <x v="3"/>
    <x v="1"/>
    <x v="4"/>
    <x v="1"/>
    <s v="k.alaqre@email.com"/>
    <n v="23"/>
    <n v="10"/>
    <x v="33"/>
    <x v="167"/>
    <d v="2026-01-28T00:00:00"/>
    <n v="33"/>
    <n v="2528"/>
    <n v="252.8"/>
    <n v="75.84"/>
    <x v="42"/>
    <s v="Normal"/>
    <x v="2"/>
  </r>
  <r>
    <x v="169"/>
    <s v="Ahmad"/>
    <s v="Eurman"/>
    <s v="Eurman Eurman"/>
    <x v="1"/>
    <s v="011  3219-4732"/>
    <x v="3"/>
    <x v="1"/>
    <x v="8"/>
    <x v="0"/>
    <s v="a.eurman@email.com"/>
    <n v="9"/>
    <n v="11"/>
    <x v="11"/>
    <x v="168"/>
    <d v="2026-01-28T00:00:00"/>
    <n v="5"/>
    <n v="6040"/>
    <n v="604"/>
    <n v="181.2"/>
    <x v="43"/>
    <s v="Normal"/>
    <x v="1"/>
  </r>
  <r>
    <x v="170"/>
    <s v="Abdalhadi"/>
    <s v="Salim"/>
    <s v="Salim Salim"/>
    <x v="1"/>
    <s v="010  3847-7659"/>
    <x v="0"/>
    <x v="3"/>
    <x v="3"/>
    <x v="3"/>
    <s v="a.salim@email.com"/>
    <n v="15"/>
    <n v="12"/>
    <x v="25"/>
    <x v="169"/>
    <d v="2026-01-28T00:00:00"/>
    <n v="16"/>
    <n v="3842"/>
    <n v="384.20000000000005"/>
    <n v="115.25999999999999"/>
    <x v="44"/>
    <s v="Normal"/>
    <x v="1"/>
  </r>
  <r>
    <x v="171"/>
    <s v="Alaa"/>
    <s v="Altahhan"/>
    <s v="Altahhan Altahhan"/>
    <x v="0"/>
    <s v="012  6825-5299"/>
    <x v="3"/>
    <x v="0"/>
    <x v="4"/>
    <x v="1"/>
    <s v="a.altahhan@email.com"/>
    <n v="6"/>
    <n v="12"/>
    <x v="33"/>
    <x v="170"/>
    <d v="2026-01-28T00:00:00"/>
    <n v="33"/>
    <n v="1542"/>
    <n v="154.20000000000002"/>
    <n v="46.26"/>
    <x v="45"/>
    <s v="Normal"/>
    <x v="2"/>
  </r>
  <r>
    <x v="172"/>
    <s v="Fadi"/>
    <s v="Shakur"/>
    <s v="Shakur Shakur"/>
    <x v="1"/>
    <s v="010  8676-3364"/>
    <x v="3"/>
    <x v="2"/>
    <x v="0"/>
    <x v="0"/>
    <s v="f.shakur@email.com"/>
    <n v="8"/>
    <n v="10"/>
    <x v="10"/>
    <x v="171"/>
    <d v="2026-01-28T00:00:00"/>
    <n v="14"/>
    <n v="3134"/>
    <n v="313.40000000000003"/>
    <n v="94.02"/>
    <x v="46"/>
    <s v="Normal"/>
    <x v="2"/>
  </r>
  <r>
    <x v="173"/>
    <s v="Anas"/>
    <s v="Eabidin"/>
    <s v="Eabidin Eabidin"/>
    <x v="1"/>
    <s v="011  5676-8426"/>
    <x v="3"/>
    <x v="1"/>
    <x v="1"/>
    <x v="1"/>
    <s v="a.eabidin@email.com"/>
    <n v="24"/>
    <n v="4"/>
    <x v="3"/>
    <x v="172"/>
    <d v="2026-01-28T00:00:00"/>
    <n v="32"/>
    <n v="4921"/>
    <n v="492.1"/>
    <n v="147.63"/>
    <x v="47"/>
    <s v="Normal"/>
    <x v="1"/>
  </r>
  <r>
    <x v="174"/>
    <s v="Asma"/>
    <s v="Sadqawi"/>
    <s v="Sadqawi Sadqawi"/>
    <x v="0"/>
    <s v="011  4598-6245"/>
    <x v="3"/>
    <x v="1"/>
    <x v="4"/>
    <x v="0"/>
    <s v="a.sadqawi@email.com"/>
    <n v="21"/>
    <n v="5"/>
    <x v="19"/>
    <x v="173"/>
    <d v="2026-01-28T00:00:00"/>
    <n v="17"/>
    <n v="1948"/>
    <n v="194.8"/>
    <n v="58.44"/>
    <x v="9"/>
    <s v="Normal"/>
    <x v="2"/>
  </r>
  <r>
    <x v="175"/>
    <s v="Samir"/>
    <s v="Altaynawi"/>
    <s v="Altaynawi Altaynawi"/>
    <x v="1"/>
    <s v="010  4425-4109"/>
    <x v="4"/>
    <x v="1"/>
    <x v="1"/>
    <x v="2"/>
    <s v="s.altaynawi@email.com"/>
    <n v="23"/>
    <n v="6"/>
    <x v="8"/>
    <x v="174"/>
    <d v="2026-01-28T00:00:00"/>
    <n v="21"/>
    <n v="3294"/>
    <n v="329.40000000000003"/>
    <n v="98.82"/>
    <x v="10"/>
    <s v="Normal"/>
    <x v="1"/>
  </r>
  <r>
    <x v="176"/>
    <s v="Lbyb"/>
    <s v="Fahd"/>
    <s v="Fahd Fahd"/>
    <x v="1"/>
    <s v="012  9063-2072"/>
    <x v="0"/>
    <x v="3"/>
    <x v="4"/>
    <x v="0"/>
    <s v="l.fahd@email.com"/>
    <n v="26"/>
    <n v="7"/>
    <x v="26"/>
    <x v="175"/>
    <d v="2026-01-28T00:00:00"/>
    <n v="15"/>
    <n v="7123"/>
    <n v="712.30000000000007"/>
    <n v="213.69"/>
    <x v="11"/>
    <s v="Over"/>
    <x v="0"/>
  </r>
  <r>
    <x v="177"/>
    <s v="Salim"/>
    <s v="Aleabd"/>
    <s v="Aleabd Aleabd"/>
    <x v="1"/>
    <s v="012  3529-7242"/>
    <x v="2"/>
    <x v="2"/>
    <x v="1"/>
    <x v="3"/>
    <s v="s.aleabd@email.com"/>
    <n v="24"/>
    <n v="6"/>
    <x v="17"/>
    <x v="176"/>
    <d v="2026-01-28T00:00:00"/>
    <n v="10"/>
    <n v="7236"/>
    <n v="723.6"/>
    <n v="217.07999999999998"/>
    <x v="12"/>
    <s v="Over"/>
    <x v="0"/>
  </r>
  <r>
    <x v="178"/>
    <s v="Abd Alruhmin"/>
    <s v="Allaham"/>
    <s v="Allaham Allaham"/>
    <x v="1"/>
    <s v="010  7882-4247"/>
    <x v="0"/>
    <x v="1"/>
    <x v="1"/>
    <x v="1"/>
    <s v="a.allaham@email.com"/>
    <n v="4"/>
    <n v="8"/>
    <x v="8"/>
    <x v="177"/>
    <d v="2026-01-28T00:00:00"/>
    <n v="21"/>
    <n v="6843"/>
    <n v="684.30000000000007"/>
    <n v="205.29"/>
    <x v="13"/>
    <s v="Over"/>
    <x v="0"/>
  </r>
  <r>
    <x v="179"/>
    <s v="Emar"/>
    <s v="Eisaf"/>
    <s v="Eisaf Eisaf"/>
    <x v="0"/>
    <s v="011  7801-6532"/>
    <x v="0"/>
    <x v="1"/>
    <x v="1"/>
    <x v="0"/>
    <s v="e.eisaf@email.com"/>
    <n v="26"/>
    <n v="3"/>
    <x v="20"/>
    <x v="178"/>
    <d v="2026-01-28T00:00:00"/>
    <n v="11"/>
    <n v="1070"/>
    <n v="107"/>
    <n v="32.1"/>
    <x v="14"/>
    <s v="Normal"/>
    <x v="3"/>
  </r>
  <r>
    <x v="180"/>
    <s v="Sabah"/>
    <s v="Qadish"/>
    <s v="Qadish Qadish"/>
    <x v="0"/>
    <s v="012  4765-6821"/>
    <x v="2"/>
    <x v="0"/>
    <x v="1"/>
    <x v="2"/>
    <s v="s.qadish@email.com"/>
    <n v="27"/>
    <n v="5"/>
    <x v="21"/>
    <x v="179"/>
    <d v="2026-01-28T00:00:00"/>
    <n v="12"/>
    <n v="1493"/>
    <n v="149.30000000000001"/>
    <n v="44.79"/>
    <x v="15"/>
    <s v="Normal"/>
    <x v="2"/>
  </r>
  <r>
    <x v="181"/>
    <s v="Asra"/>
    <s v="Almisri"/>
    <s v="Almisri Almisri"/>
    <x v="0"/>
    <s v="012  5993-9400"/>
    <x v="4"/>
    <x v="1"/>
    <x v="1"/>
    <x v="1"/>
    <s v="a.almisri@email.com"/>
    <n v="25"/>
    <n v="3"/>
    <x v="7"/>
    <x v="180"/>
    <d v="2026-01-28T00:00:00"/>
    <n v="13"/>
    <n v="5857"/>
    <n v="585.70000000000005"/>
    <n v="175.70999999999998"/>
    <x v="16"/>
    <s v="Normal"/>
    <x v="1"/>
  </r>
  <r>
    <x v="182"/>
    <s v="Kinda"/>
    <s v="Zaki"/>
    <s v="Zaki Zaki"/>
    <x v="0"/>
    <s v="010  9205-9480"/>
    <x v="4"/>
    <x v="0"/>
    <x v="4"/>
    <x v="0"/>
    <s v="k.zaki@email.com"/>
    <n v="22"/>
    <n v="9"/>
    <x v="8"/>
    <x v="181"/>
    <d v="2026-01-28T00:00:00"/>
    <n v="21"/>
    <n v="5278"/>
    <n v="527.80000000000007"/>
    <n v="158.34"/>
    <x v="17"/>
    <s v="Normal"/>
    <x v="1"/>
  </r>
  <r>
    <x v="183"/>
    <s v="Zahir"/>
    <s v="Zarie"/>
    <s v="Zarie Zarie"/>
    <x v="1"/>
    <s v="012  4128-1632"/>
    <x v="0"/>
    <x v="1"/>
    <x v="5"/>
    <x v="1"/>
    <s v="z.zarie@email.com"/>
    <n v="21"/>
    <n v="11"/>
    <x v="30"/>
    <x v="182"/>
    <d v="2026-01-28T00:00:00"/>
    <n v="7"/>
    <n v="5710"/>
    <n v="571"/>
    <n v="171.29999999999998"/>
    <x v="18"/>
    <s v="Normal"/>
    <x v="1"/>
  </r>
  <r>
    <x v="184"/>
    <s v="Bilal"/>
    <s v="Einziin"/>
    <s v="Einziin Einziin"/>
    <x v="1"/>
    <s v="012  4875-4940"/>
    <x v="2"/>
    <x v="1"/>
    <x v="2"/>
    <x v="1"/>
    <s v="b.einziin@email.com"/>
    <n v="12"/>
    <n v="2"/>
    <x v="30"/>
    <x v="183"/>
    <d v="2026-01-28T00:00:00"/>
    <n v="7"/>
    <n v="6145"/>
    <n v="614.5"/>
    <n v="184.35"/>
    <x v="19"/>
    <s v="Normal"/>
    <x v="1"/>
  </r>
  <r>
    <x v="185"/>
    <s v="Abdaleziz"/>
    <s v="Eiwad"/>
    <s v="Eiwad Eiwad"/>
    <x v="1"/>
    <s v="011  6743-6035"/>
    <x v="3"/>
    <x v="2"/>
    <x v="5"/>
    <x v="0"/>
    <s v="a.eiwad@email.com"/>
    <n v="16"/>
    <n v="8"/>
    <x v="32"/>
    <x v="184"/>
    <d v="2026-01-28T00:00:00"/>
    <n v="34"/>
    <n v="5278"/>
    <n v="527.80000000000007"/>
    <n v="158.34"/>
    <x v="17"/>
    <s v="Normal"/>
    <x v="1"/>
  </r>
  <r>
    <x v="186"/>
    <s v="Alia"/>
    <s v="Maseud"/>
    <s v="Maseud Maseud"/>
    <x v="1"/>
    <s v="011  8215-7504"/>
    <x v="0"/>
    <x v="0"/>
    <x v="0"/>
    <x v="0"/>
    <s v="a.maseud@email.com"/>
    <n v="17"/>
    <n v="1"/>
    <x v="33"/>
    <x v="185"/>
    <d v="2026-01-28T00:00:00"/>
    <n v="34"/>
    <n v="6548"/>
    <n v="654.80000000000007"/>
    <n v="196.44"/>
    <x v="0"/>
    <s v="Over"/>
    <x v="0"/>
  </r>
  <r>
    <x v="187"/>
    <s v="Ahmad"/>
    <s v="Iidris"/>
    <s v="Iidris Iidris"/>
    <x v="1"/>
    <s v="010  9267-8528"/>
    <x v="1"/>
    <x v="1"/>
    <x v="1"/>
    <x v="0"/>
    <s v="a.iidris@email.com"/>
    <n v="3"/>
    <n v="10"/>
    <x v="28"/>
    <x v="186"/>
    <d v="2026-01-28T00:00:00"/>
    <n v="27"/>
    <n v="7175"/>
    <n v="717.5"/>
    <n v="215.25"/>
    <x v="1"/>
    <s v="Over"/>
    <x v="0"/>
  </r>
  <r>
    <x v="188"/>
    <s v="Sultan"/>
    <s v="Taysir"/>
    <s v="Taysir Taysir"/>
    <x v="1"/>
    <s v="011  7810-6546"/>
    <x v="2"/>
    <x v="0"/>
    <x v="0"/>
    <x v="2"/>
    <s v="s.taysir@email.com"/>
    <n v="26"/>
    <n v="9"/>
    <x v="22"/>
    <x v="187"/>
    <d v="2026-01-28T00:00:00"/>
    <n v="8"/>
    <n v="4070"/>
    <n v="407"/>
    <n v="122.1"/>
    <x v="2"/>
    <s v="Normal"/>
    <x v="1"/>
  </r>
  <r>
    <x v="189"/>
    <s v="Ayham"/>
    <s v="Sharfah"/>
    <s v="Sharfah Sharfah"/>
    <x v="1"/>
    <s v="012  7381-6505"/>
    <x v="0"/>
    <x v="0"/>
    <x v="2"/>
    <x v="2"/>
    <s v="a.sharfah@email.com"/>
    <n v="22"/>
    <n v="10"/>
    <x v="18"/>
    <x v="188"/>
    <d v="2026-01-28T00:00:00"/>
    <n v="28"/>
    <n v="1906"/>
    <n v="190.60000000000002"/>
    <n v="57.18"/>
    <x v="3"/>
    <s v="Normal"/>
    <x v="2"/>
  </r>
  <r>
    <x v="190"/>
    <s v="Lama"/>
    <s v="Almisri"/>
    <s v="Almisri Almisri"/>
    <x v="0"/>
    <s v="012  8382-3141"/>
    <x v="3"/>
    <x v="0"/>
    <x v="2"/>
    <x v="1"/>
    <s v="l.almisri@email.com"/>
    <n v="2"/>
    <n v="4"/>
    <x v="16"/>
    <x v="189"/>
    <d v="2026-01-28T00:00:00"/>
    <n v="25"/>
    <n v="2600"/>
    <n v="260"/>
    <n v="78"/>
    <x v="4"/>
    <s v="Normal"/>
    <x v="2"/>
  </r>
  <r>
    <x v="191"/>
    <s v="Thayir"/>
    <s v="Hamuwda"/>
    <s v="Hamuwda Hamuwda"/>
    <x v="1"/>
    <s v="011  7702-3156"/>
    <x v="2"/>
    <x v="3"/>
    <x v="3"/>
    <x v="3"/>
    <s v="t.hamuwda@email.com"/>
    <n v="25"/>
    <n v="10"/>
    <x v="18"/>
    <x v="190"/>
    <d v="2026-01-28T00:00:00"/>
    <n v="28"/>
    <n v="3753"/>
    <n v="375.3"/>
    <n v="112.58999999999999"/>
    <x v="5"/>
    <s v="Normal"/>
    <x v="1"/>
  </r>
  <r>
    <x v="192"/>
    <s v="Alia"/>
    <s v="Abu"/>
    <s v="Abu Abu"/>
    <x v="0"/>
    <s v="011  6151-9423"/>
    <x v="4"/>
    <x v="1"/>
    <x v="4"/>
    <x v="0"/>
    <s v="a.abu@email.com"/>
    <n v="4"/>
    <n v="7"/>
    <x v="21"/>
    <x v="191"/>
    <d v="2026-01-28T00:00:00"/>
    <n v="12"/>
    <n v="5086"/>
    <n v="508.6"/>
    <n v="152.57999999999998"/>
    <x v="6"/>
    <s v="Normal"/>
    <x v="1"/>
  </r>
  <r>
    <x v="193"/>
    <s v="Lilas"/>
    <s v="Nafae"/>
    <s v="Nafae Nafae"/>
    <x v="0"/>
    <s v="011  6850-8336"/>
    <x v="2"/>
    <x v="1"/>
    <x v="0"/>
    <x v="2"/>
    <s v="l.nafae@email.com"/>
    <n v="9"/>
    <n v="10"/>
    <x v="0"/>
    <x v="192"/>
    <d v="2026-01-28T00:00:00"/>
    <n v="2"/>
    <n v="2431"/>
    <n v="243.10000000000002"/>
    <n v="72.929999999999993"/>
    <x v="7"/>
    <s v="Normal"/>
    <x v="2"/>
  </r>
  <r>
    <x v="194"/>
    <s v="Fahd"/>
    <s v="Shaykh"/>
    <s v="Shaykh Shaykh"/>
    <x v="1"/>
    <s v="010  4805-4605"/>
    <x v="3"/>
    <x v="0"/>
    <x v="0"/>
    <x v="1"/>
    <s v="f.shaykh@email.com"/>
    <n v="8"/>
    <n v="3"/>
    <x v="20"/>
    <x v="131"/>
    <d v="2026-01-28T00:00:00"/>
    <n v="11"/>
    <n v="2955"/>
    <n v="295.5"/>
    <n v="88.649999999999991"/>
    <x v="8"/>
    <s v="Normal"/>
    <x v="2"/>
  </r>
  <r>
    <x v="195"/>
    <s v="Lilas"/>
    <s v="Kashik"/>
    <s v="Kashik Kashik"/>
    <x v="0"/>
    <s v="010  8056-8618"/>
    <x v="3"/>
    <x v="0"/>
    <x v="4"/>
    <x v="2"/>
    <s v="l.kashik@email.com"/>
    <n v="20"/>
    <n v="4"/>
    <x v="1"/>
    <x v="193"/>
    <d v="2026-01-28T00:00:00"/>
    <n v="24"/>
    <n v="1948"/>
    <n v="194.8"/>
    <n v="58.44"/>
    <x v="9"/>
    <s v="Normal"/>
    <x v="2"/>
  </r>
  <r>
    <x v="196"/>
    <s v="Abd Allah"/>
    <s v="Aldahan"/>
    <s v="Aldahan Aldahan"/>
    <x v="1"/>
    <s v="012  6737-4198"/>
    <x v="4"/>
    <x v="1"/>
    <x v="1"/>
    <x v="0"/>
    <s v="a.aldahan@email.com"/>
    <n v="26"/>
    <n v="1"/>
    <x v="28"/>
    <x v="194"/>
    <d v="2026-01-28T00:00:00"/>
    <n v="28"/>
    <n v="3294"/>
    <n v="329.40000000000003"/>
    <n v="98.82"/>
    <x v="10"/>
    <s v="Normal"/>
    <x v="1"/>
  </r>
  <r>
    <x v="197"/>
    <s v="Khalid"/>
    <s v="Alkhawam"/>
    <s v="Alkhawam Alkhawam"/>
    <x v="1"/>
    <s v="011  8147-2986"/>
    <x v="0"/>
    <x v="1"/>
    <x v="4"/>
    <x v="0"/>
    <s v="k.alkhawam@email.com"/>
    <n v="26"/>
    <n v="7"/>
    <x v="22"/>
    <x v="195"/>
    <d v="2026-01-28T00:00:00"/>
    <n v="8"/>
    <n v="7123"/>
    <n v="712.30000000000007"/>
    <n v="213.69"/>
    <x v="11"/>
    <s v="Over"/>
    <x v="0"/>
  </r>
  <r>
    <x v="198"/>
    <s v="Oqba"/>
    <s v="Alqintar"/>
    <s v="Alqintar Alqintar"/>
    <x v="1"/>
    <s v="010  7066-5104"/>
    <x v="2"/>
    <x v="3"/>
    <x v="1"/>
    <x v="1"/>
    <s v="o.alqintar@email.com"/>
    <n v="6"/>
    <n v="6"/>
    <x v="15"/>
    <x v="196"/>
    <d v="2026-01-28T00:00:00"/>
    <n v="9"/>
    <n v="7236"/>
    <n v="723.6"/>
    <n v="217.07999999999998"/>
    <x v="12"/>
    <s v="Over"/>
    <x v="0"/>
  </r>
  <r>
    <x v="199"/>
    <s v="Salah Aldiyn"/>
    <s v="Altibae"/>
    <s v="Altibae Altibae"/>
    <x v="1"/>
    <s v="012  6870-3926"/>
    <x v="0"/>
    <x v="0"/>
    <x v="1"/>
    <x v="0"/>
    <s v="s.altibae@email.com"/>
    <n v="20"/>
    <n v="5"/>
    <x v="12"/>
    <x v="197"/>
    <d v="2026-01-28T00:00:00"/>
    <n v="26"/>
    <n v="6843"/>
    <n v="684.30000000000007"/>
    <n v="205.29"/>
    <x v="13"/>
    <s v="Over"/>
    <x v="0"/>
  </r>
  <r>
    <x v="200"/>
    <s v="Eynas"/>
    <s v="Muhamad"/>
    <s v="Muhamad Muhamad"/>
    <x v="0"/>
    <s v="010  6256-6516"/>
    <x v="0"/>
    <x v="0"/>
    <x v="1"/>
    <x v="0"/>
    <s v="e.muhamad@email.com"/>
    <n v="25"/>
    <n v="2"/>
    <x v="0"/>
    <x v="198"/>
    <d v="2026-01-28T00:00:00"/>
    <n v="2"/>
    <n v="1070"/>
    <n v="107"/>
    <n v="32.1"/>
    <x v="14"/>
    <s v="Normal"/>
    <x v="3"/>
  </r>
  <r>
    <x v="201"/>
    <s v="Madlin"/>
    <s v="Aljabaei"/>
    <s v="Aljabaei Aljabaei"/>
    <x v="0"/>
    <s v="010  4115-5591"/>
    <x v="2"/>
    <x v="0"/>
    <x v="1"/>
    <x v="1"/>
    <s v="m.aljabaei@email.com"/>
    <n v="7"/>
    <n v="9"/>
    <x v="10"/>
    <x v="199"/>
    <d v="2026-01-28T00:00:00"/>
    <n v="14"/>
    <n v="1493"/>
    <n v="149.30000000000001"/>
    <n v="44.79"/>
    <x v="15"/>
    <s v="Normal"/>
    <x v="2"/>
  </r>
  <r>
    <x v="202"/>
    <s v="Abdalrhmin"/>
    <s v="Shwk"/>
    <s v="Shwk Shwk"/>
    <x v="1"/>
    <s v="011  4883-5729"/>
    <x v="4"/>
    <x v="1"/>
    <x v="1"/>
    <x v="1"/>
    <s v="a.shwk@email.com"/>
    <n v="24"/>
    <n v="12"/>
    <x v="1"/>
    <x v="200"/>
    <d v="2026-01-28T00:00:00"/>
    <n v="24"/>
    <n v="5857"/>
    <n v="585.70000000000005"/>
    <n v="175.70999999999998"/>
    <x v="16"/>
    <s v="Normal"/>
    <x v="1"/>
  </r>
  <r>
    <x v="203"/>
    <s v="Ahmad"/>
    <s v="Hamuwdatan"/>
    <s v="Hamuwdatan Hamuwdatan"/>
    <x v="1"/>
    <s v="010  5296-1951"/>
    <x v="4"/>
    <x v="0"/>
    <x v="4"/>
    <x v="1"/>
    <s v="a.hamuwdatan@email.com"/>
    <n v="28"/>
    <n v="5"/>
    <x v="5"/>
    <x v="201"/>
    <d v="2026-01-28T00:00:00"/>
    <n v="22"/>
    <n v="5278"/>
    <n v="527.80000000000007"/>
    <n v="158.34"/>
    <x v="17"/>
    <s v="Normal"/>
    <x v="1"/>
  </r>
  <r>
    <x v="204"/>
    <s v="Ali"/>
    <s v="Almiqdad"/>
    <s v="Almiqdad Almiqdad"/>
    <x v="1"/>
    <s v="011  8308-1903"/>
    <x v="0"/>
    <x v="1"/>
    <x v="5"/>
    <x v="2"/>
    <s v="a.almiqdad@email.com"/>
    <n v="10"/>
    <n v="9"/>
    <x v="31"/>
    <x v="202"/>
    <d v="2026-01-28T00:00:00"/>
    <n v="30"/>
    <n v="5710"/>
    <n v="571"/>
    <n v="171.29999999999998"/>
    <x v="18"/>
    <s v="Normal"/>
    <x v="1"/>
  </r>
  <r>
    <x v="205"/>
    <s v="Samah"/>
    <s v="Alkhatib"/>
    <s v="Alkhatib Alkhatib"/>
    <x v="0"/>
    <s v="010  8718-6735"/>
    <x v="2"/>
    <x v="0"/>
    <x v="2"/>
    <x v="0"/>
    <s v="s.alkhatib@email.com"/>
    <n v="12"/>
    <n v="1"/>
    <x v="10"/>
    <x v="203"/>
    <d v="2026-01-28T00:00:00"/>
    <n v="15"/>
    <n v="6145"/>
    <n v="614.5"/>
    <n v="184.35"/>
    <x v="19"/>
    <s v="Normal"/>
    <x v="1"/>
  </r>
  <r>
    <x v="206"/>
    <s v="Sami"/>
    <s v="Alsyd Ahmad"/>
    <s v="Alsyd Ahmad Alsyd Ahmad"/>
    <x v="1"/>
    <s v="012  4564-1249"/>
    <x v="3"/>
    <x v="2"/>
    <x v="5"/>
    <x v="0"/>
    <s v="s.alsyd ahmad@email.com"/>
    <n v="18"/>
    <n v="5"/>
    <x v="23"/>
    <x v="204"/>
    <d v="2026-01-28T00:00:00"/>
    <n v="35"/>
    <n v="5278"/>
    <n v="527.80000000000007"/>
    <n v="158.34"/>
    <x v="17"/>
    <s v="Normal"/>
    <x v="1"/>
  </r>
  <r>
    <x v="207"/>
    <s v="Abd Alwahhab"/>
    <s v="Aldhiyab"/>
    <s v="Aldhiyab Aldhiyab"/>
    <x v="1"/>
    <s v="012  6377-6546"/>
    <x v="3"/>
    <x v="3"/>
    <x v="0"/>
    <x v="0"/>
    <s v="a.aldhiyab@email.com"/>
    <n v="16"/>
    <n v="10"/>
    <x v="29"/>
    <x v="205"/>
    <d v="2026-01-28T00:00:00"/>
    <n v="4"/>
    <n v="6409"/>
    <n v="640.90000000000009"/>
    <n v="192.26999999999998"/>
    <x v="20"/>
    <s v="Normal"/>
    <x v="1"/>
  </r>
  <r>
    <x v="208"/>
    <s v="Muwmin"/>
    <s v="Almujahid"/>
    <s v="Almujahid Almujahid"/>
    <x v="1"/>
    <s v="010  5973-4026"/>
    <x v="2"/>
    <x v="0"/>
    <x v="0"/>
    <x v="2"/>
    <s v="m.almujahid@email.com"/>
    <n v="18"/>
    <n v="11"/>
    <x v="13"/>
    <x v="206"/>
    <d v="2026-01-28T00:00:00"/>
    <n v="29"/>
    <n v="7478"/>
    <n v="747.80000000000007"/>
    <n v="224.34"/>
    <x v="21"/>
    <s v="Over"/>
    <x v="0"/>
  </r>
  <r>
    <x v="209"/>
    <s v="Ruba"/>
    <s v="Alhumwi"/>
    <s v="Alhumwi Alhumwi"/>
    <x v="0"/>
    <s v="012  6584-8204"/>
    <x v="0"/>
    <x v="0"/>
    <x v="0"/>
    <x v="0"/>
    <s v="r.alhumwi@email.com"/>
    <n v="5"/>
    <n v="4"/>
    <x v="32"/>
    <x v="207"/>
    <d v="2026-01-28T00:00:00"/>
    <n v="34"/>
    <n v="4621"/>
    <n v="462.1"/>
    <n v="138.63"/>
    <x v="22"/>
    <s v="Normal"/>
    <x v="1"/>
  </r>
  <r>
    <x v="210"/>
    <s v="Husayn"/>
    <s v="Hawria"/>
    <s v="Hawria Hawria"/>
    <x v="1"/>
    <s v="012  6445-5004"/>
    <x v="3"/>
    <x v="1"/>
    <x v="6"/>
    <x v="1"/>
    <s v="h.hawria@email.com"/>
    <n v="1"/>
    <n v="2"/>
    <x v="4"/>
    <x v="208"/>
    <d v="2026-01-28T00:00:00"/>
    <n v="6"/>
    <n v="2093"/>
    <n v="209.3"/>
    <n v="62.79"/>
    <x v="23"/>
    <s v="Normal"/>
    <x v="2"/>
  </r>
  <r>
    <x v="211"/>
    <s v="Iman"/>
    <s v="Ghrz Aldiyn"/>
    <s v="Ghrz Aldiyn Ghrz Aldiyn"/>
    <x v="0"/>
    <s v="011  7009-9209"/>
    <x v="0"/>
    <x v="1"/>
    <x v="4"/>
    <x v="0"/>
    <s v="i.ghrz aldiyn@email.com"/>
    <n v="24"/>
    <n v="8"/>
    <x v="31"/>
    <x v="209"/>
    <d v="2026-01-28T00:00:00"/>
    <n v="30"/>
    <n v="7333"/>
    <n v="733.30000000000007"/>
    <n v="219.98999999999998"/>
    <x v="24"/>
    <s v="Over"/>
    <x v="0"/>
  </r>
  <r>
    <x v="212"/>
    <s v="Sari"/>
    <s v="Hanna"/>
    <s v="Hanna Hanna"/>
    <x v="1"/>
    <s v="010  6003-2778"/>
    <x v="3"/>
    <x v="0"/>
    <x v="2"/>
    <x v="1"/>
    <s v="s.hanna@email.com"/>
    <n v="17"/>
    <n v="4"/>
    <x v="13"/>
    <x v="210"/>
    <d v="2026-01-28T00:00:00"/>
    <n v="29"/>
    <n v="1194"/>
    <n v="119.4"/>
    <n v="35.82"/>
    <x v="25"/>
    <s v="Normal"/>
    <x v="2"/>
  </r>
  <r>
    <x v="213"/>
    <s v="Khalil"/>
    <s v="Alkalu"/>
    <s v="Alkalu Alkalu"/>
    <x v="1"/>
    <s v="011  6622-2432"/>
    <x v="1"/>
    <x v="0"/>
    <x v="2"/>
    <x v="3"/>
    <s v="k.alkalu@email.com"/>
    <n v="9"/>
    <n v="2"/>
    <x v="14"/>
    <x v="211"/>
    <d v="2026-01-28T00:00:00"/>
    <n v="23"/>
    <n v="5118"/>
    <n v="511.8"/>
    <n v="153.54"/>
    <x v="26"/>
    <s v="Normal"/>
    <x v="1"/>
  </r>
  <r>
    <x v="214"/>
    <s v="Iilian"/>
    <s v="Dbs"/>
    <s v="Dbs Dbs"/>
    <x v="0"/>
    <s v="011  8648-5784"/>
    <x v="3"/>
    <x v="3"/>
    <x v="7"/>
    <x v="1"/>
    <s v="i.dbs@email.com"/>
    <n v="13"/>
    <n v="1"/>
    <x v="13"/>
    <x v="212"/>
    <d v="2026-01-28T00:00:00"/>
    <n v="30"/>
    <n v="5373"/>
    <n v="537.30000000000007"/>
    <n v="161.19"/>
    <x v="27"/>
    <s v="Normal"/>
    <x v="1"/>
  </r>
  <r>
    <x v="215"/>
    <s v="Sami"/>
    <s v="Alkhayrat"/>
    <s v="Alkhayrat Alkhayrat"/>
    <x v="1"/>
    <s v="012  7268-9818"/>
    <x v="3"/>
    <x v="0"/>
    <x v="8"/>
    <x v="1"/>
    <s v="s.alkhayrat@email.com"/>
    <n v="23"/>
    <n v="3"/>
    <x v="9"/>
    <x v="213"/>
    <d v="2026-01-28T00:00:00"/>
    <n v="20"/>
    <n v="1708"/>
    <n v="170.8"/>
    <n v="51.239999999999995"/>
    <x v="28"/>
    <s v="Normal"/>
    <x v="2"/>
  </r>
  <r>
    <x v="216"/>
    <s v="Darar"/>
    <s v="Alshiyraziu"/>
    <s v="Alshiyraziu Alshiyraziu"/>
    <x v="1"/>
    <s v="011  3297-5880"/>
    <x v="4"/>
    <x v="2"/>
    <x v="4"/>
    <x v="0"/>
    <s v="d.alshiyraziu@email.com"/>
    <n v="5"/>
    <n v="1"/>
    <x v="15"/>
    <x v="214"/>
    <d v="2026-01-28T00:00:00"/>
    <n v="10"/>
    <n v="2898"/>
    <n v="289.8"/>
    <n v="86.94"/>
    <x v="29"/>
    <s v="Normal"/>
    <x v="2"/>
  </r>
  <r>
    <x v="217"/>
    <s v="Tariq"/>
    <s v="Shakir"/>
    <s v="Shakir Shakir"/>
    <x v="1"/>
    <s v="010  3441-3185"/>
    <x v="1"/>
    <x v="0"/>
    <x v="5"/>
    <x v="1"/>
    <s v="t.shakir@email.com"/>
    <n v="6"/>
    <n v="11"/>
    <x v="26"/>
    <x v="215"/>
    <d v="2026-01-28T00:00:00"/>
    <n v="15"/>
    <n v="6211"/>
    <n v="621.1"/>
    <n v="186.32999999999998"/>
    <x v="30"/>
    <s v="Normal"/>
    <x v="1"/>
  </r>
  <r>
    <x v="218"/>
    <s v="Fayaruz"/>
    <s v="Sabih"/>
    <s v="Sabih Sabih"/>
    <x v="0"/>
    <s v="010  4098-4704"/>
    <x v="4"/>
    <x v="1"/>
    <x v="0"/>
    <x v="3"/>
    <s v="f.sabih@email.com"/>
    <n v="17"/>
    <n v="9"/>
    <x v="30"/>
    <x v="216"/>
    <d v="2026-01-28T00:00:00"/>
    <n v="7"/>
    <n v="5976"/>
    <n v="597.6"/>
    <n v="179.28"/>
    <x v="31"/>
    <s v="Normal"/>
    <x v="1"/>
  </r>
  <r>
    <x v="219"/>
    <s v="Alaa"/>
    <s v="Efan"/>
    <s v="Efan Efan"/>
    <x v="0"/>
    <s v="012  7416-3427"/>
    <x v="4"/>
    <x v="1"/>
    <x v="0"/>
    <x v="2"/>
    <s v="a.efan@email.com"/>
    <n v="19"/>
    <n v="7"/>
    <x v="33"/>
    <x v="217"/>
    <d v="2026-01-28T00:00:00"/>
    <n v="33"/>
    <n v="742"/>
    <n v="74.2"/>
    <n v="22.259999999999998"/>
    <x v="32"/>
    <s v="Normal"/>
    <x v="3"/>
  </r>
  <r>
    <x v="220"/>
    <s v="Tariq"/>
    <s v="Salim"/>
    <s v="Salim Salim"/>
    <x v="1"/>
    <s v="010  4031-6016"/>
    <x v="2"/>
    <x v="0"/>
    <x v="6"/>
    <x v="3"/>
    <s v="t.salim@email.com"/>
    <n v="9"/>
    <n v="9"/>
    <x v="20"/>
    <x v="218"/>
    <d v="2026-01-28T00:00:00"/>
    <n v="11"/>
    <n v="5918"/>
    <n v="591.80000000000007"/>
    <n v="177.54"/>
    <x v="33"/>
    <s v="Normal"/>
    <x v="1"/>
  </r>
  <r>
    <x v="221"/>
    <s v="Rim"/>
    <s v="Mia"/>
    <s v="Mia Mia"/>
    <x v="0"/>
    <s v="012  3563-5092"/>
    <x v="2"/>
    <x v="1"/>
    <x v="2"/>
    <x v="1"/>
    <s v="r.mia@email.com"/>
    <n v="15"/>
    <n v="6"/>
    <x v="13"/>
    <x v="219"/>
    <d v="2026-01-28T00:00:00"/>
    <n v="29"/>
    <n v="3074"/>
    <n v="307.40000000000003"/>
    <n v="92.22"/>
    <x v="34"/>
    <s v="Normal"/>
    <x v="2"/>
  </r>
  <r>
    <x v="222"/>
    <s v="Abdalmjid"/>
    <s v="Ahmad"/>
    <s v="Ahmad Ahmad"/>
    <x v="1"/>
    <s v="011  3394-9741"/>
    <x v="4"/>
    <x v="0"/>
    <x v="0"/>
    <x v="3"/>
    <s v="a.ahmad@email.com"/>
    <n v="7"/>
    <n v="8"/>
    <x v="2"/>
    <x v="220"/>
    <d v="2026-01-28T00:00:00"/>
    <n v="18"/>
    <n v="5688"/>
    <n v="568.80000000000007"/>
    <n v="170.64"/>
    <x v="35"/>
    <s v="Normal"/>
    <x v="1"/>
  </r>
  <r>
    <x v="223"/>
    <s v="Zakarian"/>
    <s v="Rashwani"/>
    <s v="Rashwani Rashwani"/>
    <x v="1"/>
    <s v="012  8612-6174"/>
    <x v="2"/>
    <x v="2"/>
    <x v="0"/>
    <x v="0"/>
    <s v="z.rashwani@email.com"/>
    <n v="2"/>
    <n v="9"/>
    <x v="1"/>
    <x v="221"/>
    <d v="2026-01-28T00:00:00"/>
    <n v="24"/>
    <n v="3362"/>
    <n v="336.20000000000005"/>
    <n v="100.86"/>
    <x v="36"/>
    <s v="Normal"/>
    <x v="1"/>
  </r>
  <r>
    <x v="224"/>
    <s v="Madlin"/>
    <s v="Saeid"/>
    <s v="Saeid Saeid"/>
    <x v="0"/>
    <s v="012  5009-9348"/>
    <x v="3"/>
    <x v="1"/>
    <x v="0"/>
    <x v="1"/>
    <s v="m.saeid@email.com"/>
    <n v="11"/>
    <n v="2"/>
    <x v="22"/>
    <x v="222"/>
    <d v="2026-01-28T00:00:00"/>
    <n v="8"/>
    <n v="6043"/>
    <n v="604.30000000000007"/>
    <n v="181.29"/>
    <x v="37"/>
    <s v="Normal"/>
    <x v="1"/>
  </r>
  <r>
    <x v="225"/>
    <s v="Ahmad"/>
    <s v="Salih"/>
    <s v="Salih Salih"/>
    <x v="1"/>
    <s v="010  4202-7248"/>
    <x v="3"/>
    <x v="0"/>
    <x v="0"/>
    <x v="1"/>
    <s v="a.salih@email.com"/>
    <n v="20"/>
    <n v="1"/>
    <x v="33"/>
    <x v="223"/>
    <d v="2026-01-28T00:00:00"/>
    <n v="34"/>
    <n v="6260"/>
    <n v="626"/>
    <n v="187.79999999999998"/>
    <x v="38"/>
    <s v="Normal"/>
    <x v="1"/>
  </r>
  <r>
    <x v="226"/>
    <s v="Majdy"/>
    <s v="Rafaea"/>
    <s v="Rafaea Rafaea"/>
    <x v="1"/>
    <s v="012  5321-6124"/>
    <x v="3"/>
    <x v="0"/>
    <x v="0"/>
    <x v="3"/>
    <s v="m.rafaea@email.com"/>
    <n v="17"/>
    <n v="7"/>
    <x v="22"/>
    <x v="224"/>
    <d v="2026-01-28T00:00:00"/>
    <n v="8"/>
    <n v="3754"/>
    <n v="375.40000000000003"/>
    <n v="112.61999999999999"/>
    <x v="39"/>
    <s v="Normal"/>
    <x v="1"/>
  </r>
  <r>
    <x v="227"/>
    <s v="Majdulyn"/>
    <s v="Alhakim"/>
    <s v="Alhakim Alhakim"/>
    <x v="0"/>
    <s v="012  8230-1666"/>
    <x v="2"/>
    <x v="2"/>
    <x v="1"/>
    <x v="1"/>
    <s v="m.alhakim@email.com"/>
    <n v="21"/>
    <n v="11"/>
    <x v="21"/>
    <x v="225"/>
    <d v="2026-01-28T00:00:00"/>
    <n v="12"/>
    <n v="6579"/>
    <n v="657.90000000000009"/>
    <n v="197.37"/>
    <x v="40"/>
    <s v="Over"/>
    <x v="0"/>
  </r>
  <r>
    <x v="228"/>
    <s v="Omar"/>
    <s v="Zarzur"/>
    <s v="Zarzur Zarzur"/>
    <x v="1"/>
    <s v="011  4343-4987"/>
    <x v="3"/>
    <x v="2"/>
    <x v="3"/>
    <x v="1"/>
    <s v="o.zarzur@email.com"/>
    <n v="23"/>
    <n v="10"/>
    <x v="7"/>
    <x v="226"/>
    <d v="2026-01-28T00:00:00"/>
    <n v="13"/>
    <n v="5373"/>
    <n v="537.30000000000007"/>
    <n v="161.19"/>
    <x v="27"/>
    <s v="Normal"/>
    <x v="1"/>
  </r>
  <r>
    <x v="229"/>
    <s v="Fatin"/>
    <s v="Red"/>
    <s v="Red Red"/>
    <x v="0"/>
    <s v="010  4171-3904"/>
    <x v="2"/>
    <x v="1"/>
    <x v="2"/>
    <x v="0"/>
    <s v="f.red@email.com"/>
    <n v="7"/>
    <n v="9"/>
    <x v="31"/>
    <x v="227"/>
    <d v="2026-01-28T00:00:00"/>
    <n v="30"/>
    <n v="1391"/>
    <n v="139.1"/>
    <n v="41.73"/>
    <x v="41"/>
    <s v="Normal"/>
    <x v="2"/>
  </r>
  <r>
    <x v="230"/>
    <s v="Ahmad"/>
    <s v="Ezqul"/>
    <s v="Ezqul Ezqul"/>
    <x v="1"/>
    <s v="012  5315-7518"/>
    <x v="3"/>
    <x v="1"/>
    <x v="4"/>
    <x v="0"/>
    <s v="a.ezqul@email.com"/>
    <n v="1"/>
    <n v="7"/>
    <x v="4"/>
    <x v="228"/>
    <d v="2026-01-28T00:00:00"/>
    <n v="6"/>
    <n v="2528"/>
    <n v="252.8"/>
    <n v="75.84"/>
    <x v="42"/>
    <s v="Normal"/>
    <x v="2"/>
  </r>
  <r>
    <x v="231"/>
    <s v="Sayf Aldiyn"/>
    <s v="Alkmshh"/>
    <s v="Alkmshh Alkmshh"/>
    <x v="1"/>
    <s v="012  6693-7188"/>
    <x v="3"/>
    <x v="0"/>
    <x v="8"/>
    <x v="3"/>
    <s v="s.alkmshh@email.com"/>
    <n v="3"/>
    <n v="9"/>
    <x v="18"/>
    <x v="229"/>
    <d v="2026-01-28T00:00:00"/>
    <n v="28"/>
    <n v="6040"/>
    <n v="604"/>
    <n v="181.2"/>
    <x v="43"/>
    <s v="Normal"/>
    <x v="1"/>
  </r>
  <r>
    <x v="232"/>
    <s v="Sharihan"/>
    <s v="Rihan"/>
    <s v="Rihan Rihan"/>
    <x v="0"/>
    <s v="011  3613-8582"/>
    <x v="0"/>
    <x v="1"/>
    <x v="3"/>
    <x v="1"/>
    <s v="s.rihan@email.com"/>
    <n v="10"/>
    <n v="10"/>
    <x v="23"/>
    <x v="230"/>
    <d v="2026-01-28T00:00:00"/>
    <n v="35"/>
    <n v="3842"/>
    <n v="384.20000000000005"/>
    <n v="115.25999999999999"/>
    <x v="44"/>
    <s v="Normal"/>
    <x v="1"/>
  </r>
  <r>
    <x v="233"/>
    <s v="Ahmad"/>
    <s v="Alshalaq"/>
    <s v="Alshalaq Alshalaq"/>
    <x v="1"/>
    <s v="012  9010-6036"/>
    <x v="3"/>
    <x v="0"/>
    <x v="4"/>
    <x v="0"/>
    <s v="a.alshalaq@email.com"/>
    <n v="9"/>
    <n v="1"/>
    <x v="26"/>
    <x v="231"/>
    <d v="2026-01-28T00:00:00"/>
    <n v="16"/>
    <n v="1542"/>
    <n v="154.20000000000002"/>
    <n v="46.26"/>
    <x v="45"/>
    <s v="Normal"/>
    <x v="2"/>
  </r>
  <r>
    <x v="234"/>
    <s v="Rannym"/>
    <s v="Tyru"/>
    <s v="Tyru Tyru"/>
    <x v="0"/>
    <s v="010  3262-1469"/>
    <x v="3"/>
    <x v="0"/>
    <x v="0"/>
    <x v="2"/>
    <s v="r.tyru@email.com"/>
    <n v="15"/>
    <n v="2"/>
    <x v="7"/>
    <x v="232"/>
    <d v="2026-01-28T00:00:00"/>
    <n v="13"/>
    <n v="3134"/>
    <n v="313.40000000000003"/>
    <n v="94.02"/>
    <x v="46"/>
    <s v="Normal"/>
    <x v="2"/>
  </r>
  <r>
    <x v="235"/>
    <s v="Majd"/>
    <s v="Abuhamd"/>
    <s v="Abuhamd Abuhamd"/>
    <x v="0"/>
    <s v="011  8102-7577"/>
    <x v="3"/>
    <x v="0"/>
    <x v="1"/>
    <x v="1"/>
    <s v="m.abuhamd@email.com"/>
    <n v="11"/>
    <n v="6"/>
    <x v="7"/>
    <x v="233"/>
    <d v="2026-01-28T00:00:00"/>
    <n v="13"/>
    <n v="4921"/>
    <n v="492.1"/>
    <n v="147.63"/>
    <x v="47"/>
    <s v="Normal"/>
    <x v="1"/>
  </r>
  <r>
    <x v="236"/>
    <s v="Diea"/>
    <s v="Sharina"/>
    <s v="Sharina Sharina"/>
    <x v="1"/>
    <s v="012  7274-7637"/>
    <x v="3"/>
    <x v="0"/>
    <x v="4"/>
    <x v="0"/>
    <s v="d.sharina@email.com"/>
    <n v="22"/>
    <n v="4"/>
    <x v="22"/>
    <x v="234"/>
    <d v="2026-01-28T00:00:00"/>
    <n v="8"/>
    <n v="1948"/>
    <n v="194.8"/>
    <n v="58.44"/>
    <x v="9"/>
    <s v="Normal"/>
    <x v="2"/>
  </r>
  <r>
    <x v="237"/>
    <s v="Jablah"/>
    <s v="Alsulayman"/>
    <s v="Alsulayman Alsulayman"/>
    <x v="0"/>
    <s v="010  4270-6948"/>
    <x v="4"/>
    <x v="1"/>
    <x v="1"/>
    <x v="0"/>
    <s v="j.alsulayman@email.com"/>
    <n v="28"/>
    <n v="2"/>
    <x v="23"/>
    <x v="235"/>
    <d v="2026-01-28T00:00:00"/>
    <n v="35"/>
    <n v="3294"/>
    <n v="329.40000000000003"/>
    <n v="98.82"/>
    <x v="10"/>
    <s v="Normal"/>
    <x v="1"/>
  </r>
  <r>
    <x v="238"/>
    <s v="Lylas"/>
    <s v="Shiah"/>
    <s v="Shiah Shiah"/>
    <x v="0"/>
    <s v="010  5046-2000"/>
    <x v="0"/>
    <x v="0"/>
    <x v="4"/>
    <x v="3"/>
    <s v="l.shiah@email.com"/>
    <n v="11"/>
    <n v="6"/>
    <x v="14"/>
    <x v="236"/>
    <d v="2026-01-28T00:00:00"/>
    <n v="23"/>
    <n v="7123"/>
    <n v="712.30000000000007"/>
    <n v="213.69"/>
    <x v="11"/>
    <s v="Over"/>
    <x v="0"/>
  </r>
  <r>
    <x v="239"/>
    <s v="Ahmad"/>
    <s v="Hamuwd"/>
    <s v="Hamuwd Hamuwd"/>
    <x v="1"/>
    <s v="012  6661-8827"/>
    <x v="2"/>
    <x v="1"/>
    <x v="1"/>
    <x v="3"/>
    <s v="a.hamuwd@email.com"/>
    <n v="22"/>
    <n v="5"/>
    <x v="20"/>
    <x v="237"/>
    <d v="2026-01-28T00:00:00"/>
    <n v="11"/>
    <n v="7236"/>
    <n v="723.6"/>
    <n v="217.07999999999998"/>
    <x v="12"/>
    <s v="Over"/>
    <x v="0"/>
  </r>
  <r>
    <x v="240"/>
    <s v="Imran"/>
    <s v="Hazruma"/>
    <s v="Hazruma Hazruma"/>
    <x v="1"/>
    <s v="010  3859-2784"/>
    <x v="0"/>
    <x v="1"/>
    <x v="1"/>
    <x v="2"/>
    <s v="i.hazruma@email.com"/>
    <n v="10"/>
    <n v="12"/>
    <x v="32"/>
    <x v="238"/>
    <d v="2026-01-28T00:00:00"/>
    <n v="34"/>
    <n v="6843"/>
    <n v="684.30000000000007"/>
    <n v="205.29"/>
    <x v="13"/>
    <s v="Over"/>
    <x v="0"/>
  </r>
  <r>
    <x v="241"/>
    <s v="Samir"/>
    <s v="Alhaj Ali"/>
    <s v="Alhaj Ali Alhaj Ali"/>
    <x v="1"/>
    <s v="011  4462-4371"/>
    <x v="0"/>
    <x v="0"/>
    <x v="1"/>
    <x v="0"/>
    <s v="s.alhaj ali@email.com"/>
    <n v="15"/>
    <n v="9"/>
    <x v="24"/>
    <x v="239"/>
    <d v="2026-01-28T00:00:00"/>
    <n v="3"/>
    <n v="1070"/>
    <n v="107"/>
    <n v="32.1"/>
    <x v="14"/>
    <s v="Normal"/>
    <x v="3"/>
  </r>
  <r>
    <x v="242"/>
    <s v="Shadi"/>
    <s v="Altibae"/>
    <s v="Altibae Altibae"/>
    <x v="1"/>
    <s v="010  5603-9141"/>
    <x v="2"/>
    <x v="0"/>
    <x v="1"/>
    <x v="1"/>
    <s v="s.altibae@email.com"/>
    <n v="18"/>
    <n v="12"/>
    <x v="22"/>
    <x v="240"/>
    <d v="2026-01-28T00:00:00"/>
    <n v="8"/>
    <n v="1493"/>
    <n v="149.30000000000001"/>
    <n v="44.79"/>
    <x v="15"/>
    <s v="Normal"/>
    <x v="2"/>
  </r>
  <r>
    <x v="243"/>
    <s v="Husam"/>
    <s v="Aldubus"/>
    <s v="Aldubus Aldubus"/>
    <x v="1"/>
    <s v="010  6131-6907"/>
    <x v="4"/>
    <x v="1"/>
    <x v="1"/>
    <x v="3"/>
    <s v="h.aldubus@email.com"/>
    <n v="21"/>
    <n v="7"/>
    <x v="16"/>
    <x v="241"/>
    <d v="2026-01-28T00:00:00"/>
    <n v="25"/>
    <n v="5857"/>
    <n v="585.70000000000005"/>
    <n v="175.70999999999998"/>
    <x v="16"/>
    <s v="Normal"/>
    <x v="1"/>
  </r>
  <r>
    <x v="244"/>
    <s v="Sultan"/>
    <s v="Alhijar"/>
    <s v="Alhijar Alhijar"/>
    <x v="1"/>
    <s v="010  7064-6260"/>
    <x v="4"/>
    <x v="0"/>
    <x v="4"/>
    <x v="2"/>
    <s v="s.alhijar@email.com"/>
    <n v="3"/>
    <n v="12"/>
    <x v="14"/>
    <x v="242"/>
    <d v="2026-01-28T00:00:00"/>
    <n v="23"/>
    <n v="5278"/>
    <n v="527.80000000000007"/>
    <n v="158.34"/>
    <x v="17"/>
    <s v="Normal"/>
    <x v="1"/>
  </r>
  <r>
    <x v="245"/>
    <s v="Anwar"/>
    <s v="Alkhayran"/>
    <s v="Alkhayran Alkhayran"/>
    <x v="1"/>
    <s v="012  5060-6728"/>
    <x v="0"/>
    <x v="1"/>
    <x v="5"/>
    <x v="1"/>
    <s v="a.alkhayran@email.com"/>
    <n v="14"/>
    <n v="6"/>
    <x v="6"/>
    <x v="243"/>
    <d v="2026-01-28T00:00:00"/>
    <n v="31"/>
    <n v="5710"/>
    <n v="571"/>
    <n v="171.29999999999998"/>
    <x v="18"/>
    <s v="Normal"/>
    <x v="1"/>
  </r>
  <r>
    <x v="246"/>
    <s v="Rwad"/>
    <s v="Alddahir"/>
    <s v="Alddahir Alddahir"/>
    <x v="0"/>
    <s v="010  4633-6247"/>
    <x v="2"/>
    <x v="0"/>
    <x v="2"/>
    <x v="1"/>
    <s v="r.alddahir@email.com"/>
    <n v="25"/>
    <n v="7"/>
    <x v="24"/>
    <x v="244"/>
    <d v="2026-01-28T00:00:00"/>
    <n v="3"/>
    <n v="6145"/>
    <n v="614.5"/>
    <n v="184.35"/>
    <x v="19"/>
    <s v="Normal"/>
    <x v="1"/>
  </r>
  <r>
    <x v="247"/>
    <s v="Jury"/>
    <s v="Eabuwd"/>
    <s v="Eabuwd Eabuwd"/>
    <x v="0"/>
    <s v="010  8481-4566"/>
    <x v="3"/>
    <x v="2"/>
    <x v="5"/>
    <x v="1"/>
    <s v="j.eabuwd@email.com"/>
    <n v="4"/>
    <n v="6"/>
    <x v="5"/>
    <x v="245"/>
    <d v="2026-01-28T00:00:00"/>
    <n v="22"/>
    <n v="5278"/>
    <n v="527.80000000000007"/>
    <n v="158.34"/>
    <x v="17"/>
    <s v="Normal"/>
    <x v="1"/>
  </r>
  <r>
    <x v="248"/>
    <s v="Iin"/>
    <s v="Bitahish"/>
    <s v="Bitahish Bitahish"/>
    <x v="0"/>
    <s v="010  5179-5026"/>
    <x v="0"/>
    <x v="1"/>
    <x v="0"/>
    <x v="0"/>
    <s v="i.bitahish@email.com"/>
    <n v="15"/>
    <n v="7"/>
    <x v="14"/>
    <x v="246"/>
    <d v="2026-01-28T00:00:00"/>
    <n v="23"/>
    <n v="6548"/>
    <n v="654.80000000000007"/>
    <n v="196.44"/>
    <x v="0"/>
    <s v="Over"/>
    <x v="0"/>
  </r>
  <r>
    <x v="249"/>
    <s v="Iin"/>
    <s v="Murad"/>
    <s v="Murad Murad"/>
    <x v="0"/>
    <s v="011  4020-5012"/>
    <x v="1"/>
    <x v="0"/>
    <x v="1"/>
    <x v="3"/>
    <s v="i.murad@email.com"/>
    <n v="26"/>
    <n v="10"/>
    <x v="7"/>
    <x v="247"/>
    <d v="2026-01-28T00:00:00"/>
    <n v="13"/>
    <n v="7175"/>
    <n v="717.5"/>
    <n v="215.25"/>
    <x v="1"/>
    <s v="Over"/>
    <x v="0"/>
  </r>
  <r>
    <x v="250"/>
    <s v="Qays"/>
    <s v="Dahna"/>
    <s v="Dahna Dahna"/>
    <x v="1"/>
    <s v="012  6836-5944"/>
    <x v="2"/>
    <x v="1"/>
    <x v="0"/>
    <x v="1"/>
    <s v="q.dahna@email.com"/>
    <n v="2"/>
    <n v="1"/>
    <x v="19"/>
    <x v="248"/>
    <d v="2026-01-28T00:00:00"/>
    <n v="18"/>
    <n v="4070"/>
    <n v="407"/>
    <n v="122.1"/>
    <x v="2"/>
    <s v="Normal"/>
    <x v="1"/>
  </r>
  <r>
    <x v="251"/>
    <s v="Omaimah"/>
    <s v="Tqi Aldiyn"/>
    <s v="Tqi Aldiyn Tqi Aldiyn"/>
    <x v="0"/>
    <s v="012  8181-6529"/>
    <x v="0"/>
    <x v="2"/>
    <x v="2"/>
    <x v="0"/>
    <s v="o.tqi aldiyn@email.com"/>
    <n v="16"/>
    <n v="1"/>
    <x v="19"/>
    <x v="249"/>
    <d v="2026-01-28T00:00:00"/>
    <n v="18"/>
    <n v="1906"/>
    <n v="190.60000000000002"/>
    <n v="57.18"/>
    <x v="3"/>
    <s v="Normal"/>
    <x v="2"/>
  </r>
  <r>
    <x v="252"/>
    <s v="Ismaeil"/>
    <s v="Jdwe"/>
    <s v="Jdwe Jdwe"/>
    <x v="1"/>
    <s v="010  9221-7753"/>
    <x v="3"/>
    <x v="3"/>
    <x v="2"/>
    <x v="1"/>
    <s v="i.jdwe@email.com"/>
    <n v="12"/>
    <n v="3"/>
    <x v="32"/>
    <x v="250"/>
    <d v="2026-01-28T00:00:00"/>
    <n v="34"/>
    <n v="2600"/>
    <n v="260"/>
    <n v="78"/>
    <x v="4"/>
    <s v="Normal"/>
    <x v="2"/>
  </r>
  <r>
    <x v="253"/>
    <s v="Lina"/>
    <s v="Wayly"/>
    <s v="Wayly Wayly"/>
    <x v="0"/>
    <s v="012  4849-7147"/>
    <x v="2"/>
    <x v="1"/>
    <x v="3"/>
    <x v="0"/>
    <s v="l.wayly@email.com"/>
    <n v="9"/>
    <n v="6"/>
    <x v="17"/>
    <x v="251"/>
    <d v="2026-01-28T00:00:00"/>
    <n v="10"/>
    <n v="3753"/>
    <n v="375.3"/>
    <n v="112.58999999999999"/>
    <x v="5"/>
    <s v="Normal"/>
    <x v="1"/>
  </r>
  <r>
    <x v="254"/>
    <s v="Ruba"/>
    <s v="Alsiraj"/>
    <s v="Alsiraj Alsiraj"/>
    <x v="0"/>
    <s v="010  7196-4254"/>
    <x v="4"/>
    <x v="0"/>
    <x v="4"/>
    <x v="2"/>
    <s v="r.alsiraj@email.com"/>
    <n v="24"/>
    <n v="4"/>
    <x v="32"/>
    <x v="252"/>
    <d v="2026-01-28T00:00:00"/>
    <n v="34"/>
    <n v="5086"/>
    <n v="508.6"/>
    <n v="152.57999999999998"/>
    <x v="6"/>
    <s v="Normal"/>
    <x v="1"/>
  </r>
  <r>
    <x v="255"/>
    <s v="Lawy"/>
    <s v="Nadaf"/>
    <s v="Nadaf Nadaf"/>
    <x v="1"/>
    <s v="011  4864-9697"/>
    <x v="2"/>
    <x v="0"/>
    <x v="0"/>
    <x v="0"/>
    <s v="l.nadaf@email.com"/>
    <n v="22"/>
    <n v="5"/>
    <x v="27"/>
    <x v="253"/>
    <d v="2026-01-28T00:00:00"/>
    <n v="19"/>
    <n v="2431"/>
    <n v="243.10000000000002"/>
    <n v="72.929999999999993"/>
    <x v="7"/>
    <s v="Normal"/>
    <x v="2"/>
  </r>
  <r>
    <x v="256"/>
    <s v="Tamadur"/>
    <s v="Barghuth"/>
    <s v="Barghuth Barghuth"/>
    <x v="0"/>
    <s v="010  4920-6601"/>
    <x v="3"/>
    <x v="3"/>
    <x v="0"/>
    <x v="3"/>
    <s v="t.barghuth@email.com"/>
    <n v="9"/>
    <n v="10"/>
    <x v="33"/>
    <x v="254"/>
    <d v="2026-01-28T00:00:00"/>
    <n v="33"/>
    <n v="2955"/>
    <n v="295.5"/>
    <n v="88.649999999999991"/>
    <x v="8"/>
    <s v="Normal"/>
    <x v="2"/>
  </r>
  <r>
    <x v="257"/>
    <s v="Diea"/>
    <s v="Jazar"/>
    <s v="Jazar Jazar"/>
    <x v="1"/>
    <s v="010  4957-8947"/>
    <x v="3"/>
    <x v="0"/>
    <x v="4"/>
    <x v="1"/>
    <s v="d.jazar@email.com"/>
    <n v="25"/>
    <n v="11"/>
    <x v="11"/>
    <x v="255"/>
    <d v="2026-01-28T00:00:00"/>
    <n v="5"/>
    <n v="1948"/>
    <n v="194.8"/>
    <n v="58.44"/>
    <x v="9"/>
    <s v="Normal"/>
    <x v="2"/>
  </r>
  <r>
    <x v="258"/>
    <s v="Baha"/>
    <s v="Eusqul"/>
    <s v="Eusqul Eusqul"/>
    <x v="1"/>
    <s v="012  3627-5681"/>
    <x v="4"/>
    <x v="3"/>
    <x v="1"/>
    <x v="0"/>
    <s v="b.eusqul@email.com"/>
    <n v="10"/>
    <n v="7"/>
    <x v="10"/>
    <x v="256"/>
    <d v="2026-01-28T00:00:00"/>
    <n v="14"/>
    <n v="3294"/>
    <n v="329.40000000000003"/>
    <n v="98.82"/>
    <x v="10"/>
    <s v="Normal"/>
    <x v="1"/>
  </r>
  <r>
    <x v="259"/>
    <s v="Razan"/>
    <s v="Iybw"/>
    <s v="Iybw Iybw"/>
    <x v="0"/>
    <s v="010  4225-5518"/>
    <x v="0"/>
    <x v="1"/>
    <x v="4"/>
    <x v="2"/>
    <s v="r.iybw@email.com"/>
    <n v="12"/>
    <n v="5"/>
    <x v="21"/>
    <x v="257"/>
    <d v="2026-01-28T00:00:00"/>
    <n v="12"/>
    <n v="7123"/>
    <n v="712.30000000000007"/>
    <n v="213.69"/>
    <x v="11"/>
    <s v="Over"/>
    <x v="0"/>
  </r>
  <r>
    <x v="260"/>
    <s v="Jamil"/>
    <s v="Ghabur"/>
    <s v="Ghabur Ghabur"/>
    <x v="1"/>
    <s v="010  6791-9843"/>
    <x v="2"/>
    <x v="1"/>
    <x v="1"/>
    <x v="1"/>
    <s v="j.ghabur@email.com"/>
    <n v="5"/>
    <n v="9"/>
    <x v="5"/>
    <x v="258"/>
    <d v="2026-01-28T00:00:00"/>
    <n v="22"/>
    <n v="7236"/>
    <n v="723.6"/>
    <n v="217.07999999999998"/>
    <x v="12"/>
    <s v="Over"/>
    <x v="0"/>
  </r>
  <r>
    <x v="261"/>
    <s v="Alaa"/>
    <s v="Sultan"/>
    <s v="Sultan Sultan"/>
    <x v="0"/>
    <s v="012  5871-7900"/>
    <x v="0"/>
    <x v="3"/>
    <x v="1"/>
    <x v="0"/>
    <s v="a.sultan@email.com"/>
    <n v="4"/>
    <n v="9"/>
    <x v="25"/>
    <x v="259"/>
    <d v="2026-01-28T00:00:00"/>
    <n v="16"/>
    <n v="6843"/>
    <n v="684.30000000000007"/>
    <n v="205.29"/>
    <x v="13"/>
    <s v="Over"/>
    <x v="0"/>
  </r>
  <r>
    <x v="262"/>
    <s v="Basil"/>
    <s v="Salih"/>
    <s v="Salih Salih"/>
    <x v="1"/>
    <s v="010  4355-6064"/>
    <x v="0"/>
    <x v="2"/>
    <x v="1"/>
    <x v="1"/>
    <s v="b.salih@email.com"/>
    <n v="18"/>
    <n v="10"/>
    <x v="2"/>
    <x v="260"/>
    <d v="2026-01-28T00:00:00"/>
    <n v="18"/>
    <n v="1070"/>
    <n v="107"/>
    <n v="32.1"/>
    <x v="14"/>
    <s v="Normal"/>
    <x v="3"/>
  </r>
  <r>
    <x v="263"/>
    <s v="Abdalbasit"/>
    <s v="Aljazayiriu"/>
    <s v="Aljazayiriu Aljazayiriu"/>
    <x v="1"/>
    <s v="012  6180-2876"/>
    <x v="2"/>
    <x v="1"/>
    <x v="1"/>
    <x v="1"/>
    <s v="a.aljazayiriu@email.com"/>
    <n v="5"/>
    <n v="2"/>
    <x v="16"/>
    <x v="261"/>
    <d v="2026-01-28T00:00:00"/>
    <n v="25"/>
    <n v="1493"/>
    <n v="149.30000000000001"/>
    <n v="44.79"/>
    <x v="15"/>
    <s v="Normal"/>
    <x v="2"/>
  </r>
  <r>
    <x v="264"/>
    <s v="Fawaz"/>
    <s v="Ghazal"/>
    <s v="Ghazal Ghazal"/>
    <x v="1"/>
    <s v="012  4124-2769"/>
    <x v="4"/>
    <x v="1"/>
    <x v="1"/>
    <x v="0"/>
    <s v="f.ghazal@email.com"/>
    <n v="21"/>
    <n v="8"/>
    <x v="33"/>
    <x v="262"/>
    <d v="2026-01-28T00:00:00"/>
    <n v="33"/>
    <n v="5857"/>
    <n v="585.70000000000005"/>
    <n v="175.70999999999998"/>
    <x v="16"/>
    <s v="Normal"/>
    <x v="1"/>
  </r>
  <r>
    <x v="265"/>
    <s v="Diea"/>
    <s v="Dakhal"/>
    <s v="Dakhal Dakhal"/>
    <x v="1"/>
    <s v="010  7883-3324"/>
    <x v="4"/>
    <x v="2"/>
    <x v="4"/>
    <x v="0"/>
    <s v="d.dakhal@email.com"/>
    <n v="3"/>
    <n v="9"/>
    <x v="1"/>
    <x v="263"/>
    <d v="2026-01-28T00:00:00"/>
    <n v="24"/>
    <n v="5278"/>
    <n v="527.80000000000007"/>
    <n v="158.34"/>
    <x v="17"/>
    <s v="Normal"/>
    <x v="1"/>
  </r>
  <r>
    <x v="266"/>
    <s v="Emad"/>
    <s v="Dulul"/>
    <s v="Dulul Dulul"/>
    <x v="1"/>
    <s v="012  6150-2362"/>
    <x v="0"/>
    <x v="3"/>
    <x v="5"/>
    <x v="0"/>
    <s v="e.dulul@email.com"/>
    <n v="25"/>
    <n v="9"/>
    <x v="7"/>
    <x v="264"/>
    <d v="2026-01-28T00:00:00"/>
    <n v="13"/>
    <n v="5710"/>
    <n v="571"/>
    <n v="171.29999999999998"/>
    <x v="18"/>
    <s v="Normal"/>
    <x v="1"/>
  </r>
  <r>
    <x v="267"/>
    <s v="Asym"/>
    <s v="Aleaqqad"/>
    <s v="Aleaqqad Aleaqqad"/>
    <x v="0"/>
    <s v="010  5955-1916"/>
    <x v="2"/>
    <x v="1"/>
    <x v="2"/>
    <x v="2"/>
    <s v="a.aleaqqad@email.com"/>
    <n v="24"/>
    <n v="9"/>
    <x v="26"/>
    <x v="265"/>
    <d v="2026-01-28T00:00:00"/>
    <n v="15"/>
    <n v="6145"/>
    <n v="614.5"/>
    <n v="184.35"/>
    <x v="19"/>
    <s v="Normal"/>
    <x v="1"/>
  </r>
  <r>
    <x v="268"/>
    <s v="Ayat"/>
    <s v="Byd"/>
    <s v="Byd Byd"/>
    <x v="0"/>
    <s v="012  5245-3155"/>
    <x v="3"/>
    <x v="0"/>
    <x v="5"/>
    <x v="2"/>
    <s v="a.byd@email.com"/>
    <n v="24"/>
    <n v="1"/>
    <x v="3"/>
    <x v="266"/>
    <d v="2026-01-28T00:00:00"/>
    <n v="33"/>
    <n v="5278"/>
    <n v="527.80000000000007"/>
    <n v="158.34"/>
    <x v="17"/>
    <s v="Normal"/>
    <x v="1"/>
  </r>
  <r>
    <x v="269"/>
    <s v="Ahmad"/>
    <s v="Ahmid"/>
    <s v="Ahmid Ahmid"/>
    <x v="1"/>
    <s v="010  7063-3909"/>
    <x v="3"/>
    <x v="1"/>
    <x v="0"/>
    <x v="1"/>
    <s v="a.ahmid@email.com"/>
    <n v="21"/>
    <n v="7"/>
    <x v="21"/>
    <x v="267"/>
    <d v="2026-01-28T00:00:00"/>
    <n v="12"/>
    <n v="6409"/>
    <n v="640.90000000000009"/>
    <n v="192.26999999999998"/>
    <x v="20"/>
    <s v="Normal"/>
    <x v="1"/>
  </r>
  <r>
    <x v="270"/>
    <s v="Ali"/>
    <s v="Alqadri"/>
    <s v="Alqadri Alqadri"/>
    <x v="1"/>
    <s v="011  6447-8610"/>
    <x v="2"/>
    <x v="1"/>
    <x v="0"/>
    <x v="3"/>
    <s v="a.alqadri@email.com"/>
    <n v="8"/>
    <n v="12"/>
    <x v="13"/>
    <x v="268"/>
    <d v="2026-01-28T00:00:00"/>
    <n v="29"/>
    <n v="7478"/>
    <n v="747.80000000000007"/>
    <n v="224.34"/>
    <x v="21"/>
    <s v="Over"/>
    <x v="0"/>
  </r>
  <r>
    <x v="271"/>
    <s v="Danah"/>
    <s v="Suirkili"/>
    <s v="Suirkili Suirkili"/>
    <x v="0"/>
    <s v="010  8685-5276"/>
    <x v="0"/>
    <x v="3"/>
    <x v="0"/>
    <x v="0"/>
    <s v="d.suirkili@email.com"/>
    <n v="10"/>
    <n v="11"/>
    <x v="1"/>
    <x v="269"/>
    <d v="2026-01-28T00:00:00"/>
    <n v="24"/>
    <n v="4621"/>
    <n v="462.1"/>
    <n v="138.63"/>
    <x v="22"/>
    <s v="Normal"/>
    <x v="1"/>
  </r>
  <r>
    <x v="272"/>
    <s v="Mazin"/>
    <s v="Bihtiti"/>
    <s v="Bihtiti Bihtiti"/>
    <x v="1"/>
    <s v="010  5327-6004"/>
    <x v="3"/>
    <x v="1"/>
    <x v="6"/>
    <x v="2"/>
    <s v="m.bihtiti@email.com"/>
    <n v="11"/>
    <n v="8"/>
    <x v="11"/>
    <x v="270"/>
    <d v="2026-01-28T00:00:00"/>
    <n v="5"/>
    <n v="2093"/>
    <n v="209.3"/>
    <n v="62.79"/>
    <x v="23"/>
    <s v="Normal"/>
    <x v="2"/>
  </r>
  <r>
    <x v="273"/>
    <s v="Ali"/>
    <s v="Barghaly"/>
    <s v="Barghaly Barghaly"/>
    <x v="1"/>
    <s v="011  4338-5320"/>
    <x v="0"/>
    <x v="3"/>
    <x v="4"/>
    <x v="1"/>
    <s v="a.barghaly@email.com"/>
    <n v="19"/>
    <n v="5"/>
    <x v="3"/>
    <x v="271"/>
    <d v="2026-01-28T00:00:00"/>
    <n v="32"/>
    <n v="7333"/>
    <n v="733.30000000000007"/>
    <n v="219.98999999999998"/>
    <x v="24"/>
    <s v="Over"/>
    <x v="0"/>
  </r>
  <r>
    <x v="274"/>
    <s v="Ali"/>
    <s v="Alshaykh"/>
    <s v="Alshaykh Alshaykh"/>
    <x v="1"/>
    <s v="011  6396-6065"/>
    <x v="3"/>
    <x v="0"/>
    <x v="2"/>
    <x v="2"/>
    <s v="a.alshaykh@email.com"/>
    <n v="9"/>
    <n v="3"/>
    <x v="30"/>
    <x v="272"/>
    <d v="2026-01-28T00:00:00"/>
    <n v="7"/>
    <n v="1194"/>
    <n v="119.4"/>
    <n v="35.82"/>
    <x v="25"/>
    <s v="Normal"/>
    <x v="2"/>
  </r>
  <r>
    <x v="275"/>
    <s v="Kholoud"/>
    <s v="Huquq"/>
    <s v="Huquq Huquq"/>
    <x v="0"/>
    <s v="012  5586-2483"/>
    <x v="1"/>
    <x v="0"/>
    <x v="2"/>
    <x v="0"/>
    <s v="k.huquq@email.com"/>
    <n v="24"/>
    <n v="2"/>
    <x v="31"/>
    <x v="273"/>
    <d v="2026-01-28T00:00:00"/>
    <n v="30"/>
    <n v="5118"/>
    <n v="511.8"/>
    <n v="153.54"/>
    <x v="26"/>
    <s v="Normal"/>
    <x v="1"/>
  </r>
  <r>
    <x v="276"/>
    <s v="Ibrahim"/>
    <s v="Alqatish"/>
    <s v="Alqatish Alqatish"/>
    <x v="1"/>
    <s v="010  7272-4197"/>
    <x v="3"/>
    <x v="0"/>
    <x v="7"/>
    <x v="0"/>
    <s v="i.alqatish@email.com"/>
    <n v="26"/>
    <n v="2"/>
    <x v="0"/>
    <x v="274"/>
    <d v="2026-01-28T00:00:00"/>
    <n v="2"/>
    <n v="5373"/>
    <n v="537.30000000000007"/>
    <n v="161.19"/>
    <x v="27"/>
    <s v="Normal"/>
    <x v="1"/>
  </r>
  <r>
    <x v="277"/>
    <s v="Fatir"/>
    <s v="Alealiu"/>
    <s v="Alealiu Alealiu"/>
    <x v="1"/>
    <s v="011  5522-1368"/>
    <x v="3"/>
    <x v="2"/>
    <x v="8"/>
    <x v="1"/>
    <s v="f.alealiu@email.com"/>
    <n v="28"/>
    <n v="8"/>
    <x v="9"/>
    <x v="275"/>
    <d v="2026-01-28T00:00:00"/>
    <n v="20"/>
    <n v="1708"/>
    <n v="170.8"/>
    <n v="51.239999999999995"/>
    <x v="28"/>
    <s v="Normal"/>
    <x v="2"/>
  </r>
  <r>
    <x v="278"/>
    <s v="Alaa"/>
    <s v="Alrifaei"/>
    <s v="Alrifaei Alrifaei"/>
    <x v="0"/>
    <s v="012  8179-4193"/>
    <x v="4"/>
    <x v="1"/>
    <x v="4"/>
    <x v="0"/>
    <s v="a.alrifaei@email.com"/>
    <n v="6"/>
    <n v="11"/>
    <x v="6"/>
    <x v="276"/>
    <d v="2026-01-28T00:00:00"/>
    <n v="31"/>
    <n v="2898"/>
    <n v="289.8"/>
    <n v="86.94"/>
    <x v="29"/>
    <s v="Normal"/>
    <x v="2"/>
  </r>
  <r>
    <x v="279"/>
    <s v="Rasha"/>
    <s v="Alrifaei"/>
    <s v="Alrifaei Alrifaei"/>
    <x v="0"/>
    <s v="010  5398-3028"/>
    <x v="1"/>
    <x v="0"/>
    <x v="5"/>
    <x v="0"/>
    <s v="r.alrifaei@email.com"/>
    <n v="25"/>
    <n v="12"/>
    <x v="2"/>
    <x v="277"/>
    <d v="2026-01-28T00:00:00"/>
    <n v="18"/>
    <n v="6211"/>
    <n v="621.1"/>
    <n v="186.32999999999998"/>
    <x v="30"/>
    <s v="Normal"/>
    <x v="1"/>
  </r>
  <r>
    <x v="280"/>
    <s v="Bayan"/>
    <s v="Darbika"/>
    <s v="Darbika Darbika"/>
    <x v="0"/>
    <s v="010  7392-8735"/>
    <x v="4"/>
    <x v="0"/>
    <x v="0"/>
    <x v="1"/>
    <s v="b.darbika@email.com"/>
    <n v="25"/>
    <n v="10"/>
    <x v="2"/>
    <x v="278"/>
    <d v="2026-01-28T00:00:00"/>
    <n v="18"/>
    <n v="5976"/>
    <n v="597.6"/>
    <n v="179.28"/>
    <x v="31"/>
    <s v="Normal"/>
    <x v="1"/>
  </r>
  <r>
    <x v="281"/>
    <s v="Hanan"/>
    <s v="Salahi"/>
    <s v="Salahi Salahi"/>
    <x v="0"/>
    <s v="011  7128-1738"/>
    <x v="4"/>
    <x v="0"/>
    <x v="0"/>
    <x v="1"/>
    <s v="h.salahi@email.com"/>
    <n v="5"/>
    <n v="11"/>
    <x v="17"/>
    <x v="279"/>
    <d v="2026-01-28T00:00:00"/>
    <n v="10"/>
    <n v="742"/>
    <n v="74.2"/>
    <n v="22.259999999999998"/>
    <x v="32"/>
    <s v="Normal"/>
    <x v="3"/>
  </r>
  <r>
    <x v="282"/>
    <s v="Tariq"/>
    <s v="Aldhahabi"/>
    <s v="Aldhahabi Aldhahabi"/>
    <x v="1"/>
    <s v="012  7713-6572"/>
    <x v="2"/>
    <x v="0"/>
    <x v="6"/>
    <x v="1"/>
    <s v="t.aldhahabi@email.com"/>
    <n v="5"/>
    <n v="7"/>
    <x v="19"/>
    <x v="280"/>
    <d v="2026-01-28T00:00:00"/>
    <n v="17"/>
    <n v="5918"/>
    <n v="591.80000000000007"/>
    <n v="177.54"/>
    <x v="33"/>
    <s v="Normal"/>
    <x v="1"/>
  </r>
  <r>
    <x v="283"/>
    <s v="Dima"/>
    <s v="Drwysh"/>
    <s v="Drwysh Drwysh"/>
    <x v="0"/>
    <s v="011  7444-6706"/>
    <x v="2"/>
    <x v="1"/>
    <x v="2"/>
    <x v="2"/>
    <s v="d.drwysh@email.com"/>
    <n v="14"/>
    <n v="1"/>
    <x v="15"/>
    <x v="281"/>
    <d v="2026-01-28T00:00:00"/>
    <n v="10"/>
    <n v="3074"/>
    <n v="307.40000000000003"/>
    <n v="92.22"/>
    <x v="34"/>
    <s v="Normal"/>
    <x v="2"/>
  </r>
  <r>
    <x v="284"/>
    <s v="Diea"/>
    <s v="Filyun"/>
    <s v="Filyun Filyun"/>
    <x v="1"/>
    <s v="010  9128-2651"/>
    <x v="4"/>
    <x v="3"/>
    <x v="0"/>
    <x v="0"/>
    <s v="d.filyun@email.com"/>
    <n v="19"/>
    <n v="5"/>
    <x v="6"/>
    <x v="282"/>
    <d v="2026-01-28T00:00:00"/>
    <n v="31"/>
    <n v="5688"/>
    <n v="568.80000000000007"/>
    <n v="170.64"/>
    <x v="35"/>
    <s v="Normal"/>
    <x v="1"/>
  </r>
  <r>
    <x v="285"/>
    <s v="Safa"/>
    <s v="Alshahadat"/>
    <s v="Alshahadat Alshahadat"/>
    <x v="0"/>
    <s v="011  3262-6236"/>
    <x v="2"/>
    <x v="2"/>
    <x v="0"/>
    <x v="0"/>
    <s v="s.alshahadat@email.com"/>
    <n v="8"/>
    <n v="4"/>
    <x v="24"/>
    <x v="283"/>
    <d v="2026-01-28T00:00:00"/>
    <n v="3"/>
    <n v="3362"/>
    <n v="336.20000000000005"/>
    <n v="100.86"/>
    <x v="36"/>
    <s v="Normal"/>
    <x v="1"/>
  </r>
  <r>
    <x v="286"/>
    <s v="Ayly"/>
    <s v="Bahriin"/>
    <s v="Bahriin Bahriin"/>
    <x v="1"/>
    <s v="012  3935-9078"/>
    <x v="3"/>
    <x v="1"/>
    <x v="0"/>
    <x v="0"/>
    <s v="a.bahriin@email.com"/>
    <n v="16"/>
    <n v="5"/>
    <x v="16"/>
    <x v="284"/>
    <d v="2026-01-28T00:00:00"/>
    <n v="25"/>
    <n v="6043"/>
    <n v="604.30000000000007"/>
    <n v="181.29"/>
    <x v="37"/>
    <s v="Normal"/>
    <x v="1"/>
  </r>
  <r>
    <x v="287"/>
    <s v="Ayham"/>
    <s v="Alqadi"/>
    <s v="Alqadi Alqadi"/>
    <x v="1"/>
    <s v="011  8518-3468"/>
    <x v="3"/>
    <x v="0"/>
    <x v="0"/>
    <x v="2"/>
    <s v="a.alqadi@email.com"/>
    <n v="1"/>
    <n v="4"/>
    <x v="14"/>
    <x v="285"/>
    <d v="2026-01-28T00:00:00"/>
    <n v="23"/>
    <n v="6260"/>
    <n v="626"/>
    <n v="187.79999999999998"/>
    <x v="38"/>
    <s v="Normal"/>
    <x v="1"/>
  </r>
  <r>
    <x v="288"/>
    <s v="Asd"/>
    <s v="Bwfaeur"/>
    <s v="Bwfaeur Bwfaeur"/>
    <x v="1"/>
    <s v="010  6623-5414"/>
    <x v="3"/>
    <x v="3"/>
    <x v="0"/>
    <x v="0"/>
    <s v="a.bwfaeur@email.com"/>
    <n v="15"/>
    <n v="4"/>
    <x v="16"/>
    <x v="286"/>
    <d v="2026-01-28T00:00:00"/>
    <n v="25"/>
    <n v="3754"/>
    <n v="375.40000000000003"/>
    <n v="112.61999999999999"/>
    <x v="39"/>
    <s v="Normal"/>
    <x v="1"/>
  </r>
  <r>
    <x v="289"/>
    <s v="Mazin"/>
    <s v="Eubayd"/>
    <s v="Eubayd Eubayd"/>
    <x v="1"/>
    <s v="011  5065-1149"/>
    <x v="2"/>
    <x v="0"/>
    <x v="1"/>
    <x v="1"/>
    <s v="m.eubayd@email.com"/>
    <n v="26"/>
    <n v="10"/>
    <x v="5"/>
    <x v="287"/>
    <d v="2026-01-28T00:00:00"/>
    <n v="22"/>
    <n v="6579"/>
    <n v="657.90000000000009"/>
    <n v="197.37"/>
    <x v="40"/>
    <s v="Over"/>
    <x v="0"/>
  </r>
  <r>
    <x v="290"/>
    <s v="Alyida"/>
    <s v="Nieamah"/>
    <s v="Nieamah Nieamah"/>
    <x v="0"/>
    <s v="010  6309-2265"/>
    <x v="3"/>
    <x v="1"/>
    <x v="3"/>
    <x v="0"/>
    <s v="a.nieamah@email.com"/>
    <n v="8"/>
    <n v="12"/>
    <x v="29"/>
    <x v="288"/>
    <d v="2026-01-28T00:00:00"/>
    <n v="4"/>
    <n v="5373"/>
    <n v="537.30000000000007"/>
    <n v="161.19"/>
    <x v="27"/>
    <s v="Normal"/>
    <x v="1"/>
  </r>
  <r>
    <x v="291"/>
    <s v="Ali"/>
    <s v="Nhl"/>
    <s v="Nhl Nhl"/>
    <x v="1"/>
    <s v="012  8400-9814"/>
    <x v="2"/>
    <x v="1"/>
    <x v="2"/>
    <x v="1"/>
    <s v="a.nhl@email.com"/>
    <n v="7"/>
    <n v="11"/>
    <x v="18"/>
    <x v="289"/>
    <d v="2026-01-28T00:00:00"/>
    <n v="28"/>
    <n v="1391"/>
    <n v="139.1"/>
    <n v="41.73"/>
    <x v="41"/>
    <s v="Normal"/>
    <x v="2"/>
  </r>
  <r>
    <x v="292"/>
    <s v="Hasan"/>
    <s v="Iismaeil"/>
    <s v="Iismaeil Iismaeil"/>
    <x v="1"/>
    <s v="011  5565-6836"/>
    <x v="3"/>
    <x v="2"/>
    <x v="4"/>
    <x v="3"/>
    <s v="h.iismaeil@email.com"/>
    <n v="28"/>
    <n v="7"/>
    <x v="3"/>
    <x v="290"/>
    <d v="2026-01-28T00:00:00"/>
    <n v="32"/>
    <n v="2528"/>
    <n v="252.8"/>
    <n v="75.84"/>
    <x v="42"/>
    <s v="Normal"/>
    <x v="2"/>
  </r>
  <r>
    <x v="293"/>
    <s v="Emam"/>
    <s v="Mansur"/>
    <s v="Mansur Mansur"/>
    <x v="1"/>
    <s v="012  4833-5671"/>
    <x v="3"/>
    <x v="1"/>
    <x v="8"/>
    <x v="1"/>
    <s v="e.mansur@email.com"/>
    <n v="28"/>
    <n v="4"/>
    <x v="33"/>
    <x v="291"/>
    <d v="2026-01-28T00:00:00"/>
    <n v="33"/>
    <n v="6040"/>
    <n v="604"/>
    <n v="181.2"/>
    <x v="43"/>
    <s v="Normal"/>
    <x v="1"/>
  </r>
  <r>
    <x v="294"/>
    <s v="Mazin"/>
    <s v="Zawal"/>
    <s v="Zawal Zawal"/>
    <x v="1"/>
    <s v="012  4053-7620"/>
    <x v="0"/>
    <x v="3"/>
    <x v="3"/>
    <x v="1"/>
    <s v="m.zawal@email.com"/>
    <n v="13"/>
    <n v="8"/>
    <x v="17"/>
    <x v="292"/>
    <d v="2026-01-28T00:00:00"/>
    <n v="10"/>
    <n v="3842"/>
    <n v="384.20000000000005"/>
    <n v="115.25999999999999"/>
    <x v="44"/>
    <s v="Normal"/>
    <x v="1"/>
  </r>
  <r>
    <x v="295"/>
    <s v="Lama"/>
    <s v="Almala"/>
    <s v="Almala Almala"/>
    <x v="0"/>
    <s v="010  5061-2017"/>
    <x v="3"/>
    <x v="1"/>
    <x v="4"/>
    <x v="0"/>
    <s v="l.almala@email.com"/>
    <n v="9"/>
    <n v="11"/>
    <x v="33"/>
    <x v="293"/>
    <d v="2026-01-28T00:00:00"/>
    <n v="33"/>
    <n v="1542"/>
    <n v="154.20000000000002"/>
    <n v="46.26"/>
    <x v="45"/>
    <s v="Normal"/>
    <x v="2"/>
  </r>
  <r>
    <x v="296"/>
    <s v="Esamat"/>
    <s v="Alriys"/>
    <s v="Alriys Alriys"/>
    <x v="1"/>
    <s v="012  4157-6654"/>
    <x v="3"/>
    <x v="2"/>
    <x v="0"/>
    <x v="1"/>
    <s v="e.alriys@email.com"/>
    <n v="10"/>
    <n v="4"/>
    <x v="1"/>
    <x v="294"/>
    <d v="2026-01-28T00:00:00"/>
    <n v="24"/>
    <n v="3134"/>
    <n v="313.40000000000003"/>
    <n v="94.02"/>
    <x v="46"/>
    <s v="Normal"/>
    <x v="2"/>
  </r>
  <r>
    <x v="297"/>
    <s v="Amir"/>
    <s v="Alkhatib"/>
    <s v="Alkhatib Alkhatib"/>
    <x v="1"/>
    <s v="011  4794-3048"/>
    <x v="3"/>
    <x v="2"/>
    <x v="1"/>
    <x v="3"/>
    <s v="a.alkhatib@email.com"/>
    <n v="21"/>
    <n v="1"/>
    <x v="26"/>
    <x v="295"/>
    <d v="2026-01-28T00:00:00"/>
    <n v="16"/>
    <n v="4921"/>
    <n v="492.1"/>
    <n v="147.63"/>
    <x v="47"/>
    <s v="Normal"/>
    <x v="1"/>
  </r>
  <r>
    <x v="298"/>
    <s v="Maria"/>
    <s v="Alhizae"/>
    <s v="Alhizae Alhizae"/>
    <x v="0"/>
    <s v="012  8422-2108"/>
    <x v="3"/>
    <x v="1"/>
    <x v="4"/>
    <x v="2"/>
    <s v="m.alhizae@email.com"/>
    <n v="13"/>
    <n v="7"/>
    <x v="1"/>
    <x v="296"/>
    <d v="2026-01-28T00:00:00"/>
    <n v="24"/>
    <n v="1948"/>
    <n v="194.8"/>
    <n v="58.44"/>
    <x v="9"/>
    <s v="Normal"/>
    <x v="2"/>
  </r>
  <r>
    <x v="299"/>
    <s v="Ahmad"/>
    <s v="Qadimati"/>
    <s v="Qadimati Qadimati"/>
    <x v="1"/>
    <s v="011  5056-6641"/>
    <x v="4"/>
    <x v="0"/>
    <x v="1"/>
    <x v="3"/>
    <s v="a.qadimati@email.com"/>
    <n v="8"/>
    <n v="3"/>
    <x v="17"/>
    <x v="297"/>
    <d v="2026-01-28T00:00:00"/>
    <n v="10"/>
    <n v="3294"/>
    <n v="329.40000000000003"/>
    <n v="98.82"/>
    <x v="10"/>
    <s v="Norma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EC1BE-0A62-48D2-842C-9DA9620495C5}" name="PivotTable5"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
  <location ref="O3:P5" firstHeaderRow="1" firstDataRow="1" firstDataCol="1"/>
  <pivotFields count="25">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compact="0" numFmtId="2" outline="0" showAll="0" defaultSubtotal="0"/>
    <pivotField compact="0" outline="0" showAll="0" defaultSubtotal="0"/>
    <pivotField compact="0" numFmtId="9" outline="0" showAll="0" defaultSubtotal="0"/>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4"/>
  </rowFields>
  <rowItems count="2">
    <i>
      <x/>
    </i>
    <i>
      <x v="1"/>
    </i>
  </rowItems>
  <colItems count="1">
    <i/>
  </colItems>
  <dataFields count="1">
    <dataField name="Count of ID" fld="0" subtotal="count" baseField="0" baseItem="1"/>
  </dataField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042332-70A1-4EC5-BC91-F5A8B29104F6}" name="PivotTable8"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3">
  <location ref="AA3:AC37" firstHeaderRow="0" firstDataRow="1" firstDataCol="1"/>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axis="axisRow" compact="0" outline="0" showAll="0" defaultSubtotal="0">
      <items count="34">
        <item x="23"/>
        <item x="32"/>
        <item x="33"/>
        <item x="3"/>
        <item x="6"/>
        <item x="31"/>
        <item x="13"/>
        <item x="18"/>
        <item x="28"/>
        <item x="12"/>
        <item x="16"/>
        <item x="1"/>
        <item x="14"/>
        <item x="5"/>
        <item x="8"/>
        <item x="9"/>
        <item x="27"/>
        <item x="2"/>
        <item x="19"/>
        <item x="25"/>
        <item x="26"/>
        <item x="10"/>
        <item x="7"/>
        <item x="21"/>
        <item x="20"/>
        <item x="17"/>
        <item x="15"/>
        <item x="22"/>
        <item x="30"/>
        <item x="4"/>
        <item x="11"/>
        <item x="29"/>
        <item x="24"/>
        <item x="0"/>
      </items>
    </pivotField>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dataField="1" compact="0" numFmtId="2" outline="0" showAll="0"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outline="0" showAll="0" defaultSubtotal="0"/>
    <pivotField compact="0" numFmtId="9" outline="0" showAll="0" defaultSubtotal="0">
      <items count="4">
        <item x="0"/>
        <item x="1"/>
        <item x="2"/>
        <item x="3"/>
      </items>
    </pivotField>
    <pivotField compact="0" outline="0" subtotalTop="0" showAll="0" defaultSubtotal="0">
      <items count="6">
        <item sd="0" x="0"/>
        <item sd="0" x="1"/>
        <item sd="0" x="2"/>
        <item sd="0" x="3"/>
        <item sd="0" x="4"/>
        <item sd="0" x="5"/>
      </items>
    </pivotField>
    <pivotField compact="0" outline="0" subtotalTop="0" showAll="0" defaultSubtota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s>
    </pivotField>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2">
    <i>
      <x/>
    </i>
    <i i="1">
      <x v="1"/>
    </i>
  </colItems>
  <dataFields count="2">
    <dataField name="Sum of ID" fld="0" baseField="0" baseItem="0" numFmtId="166"/>
    <dataField name="Sum of Net Salary" fld="20" baseField="0" baseItem="0"/>
  </dataFields>
  <formats count="3">
    <format dxfId="79">
      <pivotArea dataOnly="0" labelOnly="1" outline="0" fieldPosition="0">
        <references count="1">
          <reference field="4294967294" count="1">
            <x v="0"/>
          </reference>
        </references>
      </pivotArea>
    </format>
    <format dxfId="78">
      <pivotArea dataOnly="0" outline="0" fieldPosition="0">
        <references count="1">
          <reference field="4294967294" count="1">
            <x v="1"/>
          </reference>
        </references>
      </pivotArea>
    </format>
    <format dxfId="77">
      <pivotArea outline="0" fieldPosition="0">
        <references count="1">
          <reference field="4294967294" count="1" selected="0">
            <x v="0"/>
          </reference>
        </references>
      </pivotArea>
    </format>
  </formats>
  <chartFormats count="7">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3" count="1" selected="0">
            <x v="16"/>
          </reference>
        </references>
      </pivotArea>
    </chartFormat>
    <chartFormat chart="2" format="7">
      <pivotArea type="data" outline="0" fieldPosition="0">
        <references count="2">
          <reference field="4294967294" count="1" selected="0">
            <x v="0"/>
          </reference>
          <reference field="13" count="1" selected="0">
            <x v="21"/>
          </reference>
        </references>
      </pivotArea>
    </chartFormat>
    <chartFormat chart="2" format="8">
      <pivotArea type="data" outline="0" fieldPosition="0">
        <references count="2">
          <reference field="4294967294" count="1" selected="0">
            <x v="0"/>
          </reference>
          <reference field="1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1EDA1-BAA5-4716-96F4-40DB4C56040B}" name="PivotTable4"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J3:N13" firstHeaderRow="1" firstDataRow="2" firstDataCol="1"/>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4"/>
        <item x="2"/>
        <item x="0"/>
        <item x="1"/>
      </items>
    </pivotField>
    <pivotField axis="axisCol" compact="0" outline="0" showAll="0" defaultSubtotal="0">
      <items count="4">
        <item x="1"/>
        <item x="0"/>
        <item x="2"/>
        <item x="3"/>
      </items>
    </pivotField>
    <pivotField axis="axisRow"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compact="0" numFmtId="2" outline="0" showAll="0" defaultSubtotal="0"/>
    <pivotField compact="0" outline="0" showAll="0" defaultSubtotal="0"/>
    <pivotField compact="0" numFmtId="9" outline="0" showAll="0" defaultSubtotal="0"/>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8"/>
  </rowFields>
  <rowItems count="9">
    <i>
      <x/>
    </i>
    <i>
      <x v="1"/>
    </i>
    <i>
      <x v="2"/>
    </i>
    <i>
      <x v="3"/>
    </i>
    <i>
      <x v="4"/>
    </i>
    <i>
      <x v="5"/>
    </i>
    <i>
      <x v="6"/>
    </i>
    <i>
      <x v="7"/>
    </i>
    <i>
      <x v="8"/>
    </i>
  </rowItems>
  <colFields count="1">
    <field x="7"/>
  </colFields>
  <colItems count="4">
    <i>
      <x/>
    </i>
    <i>
      <x v="1"/>
    </i>
    <i>
      <x v="2"/>
    </i>
    <i>
      <x v="3"/>
    </i>
  </colItems>
  <dataFields count="1">
    <dataField name="Count of ID" fld="0" subtotal="count" baseField="0" baseItem="1"/>
  </dataFields>
  <chartFormats count="9">
    <chartFormat chart="5" format="5" series="1">
      <pivotArea type="data" outline="0" fieldPosition="0">
        <references count="2">
          <reference field="4294967294" count="1" selected="0">
            <x v="0"/>
          </reference>
          <reference field="7" count="1" selected="0">
            <x v="0"/>
          </reference>
        </references>
      </pivotArea>
    </chartFormat>
    <chartFormat chart="5" format="6" series="1">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2">
          <reference field="4294967294" count="1" selected="0">
            <x v="0"/>
          </reference>
          <reference field="7" count="1" selected="0">
            <x v="3"/>
          </reference>
        </references>
      </pivotArea>
    </chartFormat>
    <chartFormat chart="6" format="9" series="1">
      <pivotArea type="data" outline="0" fieldPosition="0">
        <references count="2">
          <reference field="4294967294" count="1" selected="0">
            <x v="0"/>
          </reference>
          <reference field="7" count="1" selected="0">
            <x v="0"/>
          </reference>
        </references>
      </pivotArea>
    </chartFormat>
    <chartFormat chart="6" format="10" series="1">
      <pivotArea type="data" outline="0" fieldPosition="0">
        <references count="2">
          <reference field="4294967294" count="1" selected="0">
            <x v="0"/>
          </reference>
          <reference field="7" count="1" selected="0">
            <x v="1"/>
          </reference>
        </references>
      </pivotArea>
    </chartFormat>
    <chartFormat chart="6" format="11" series="1">
      <pivotArea type="data" outline="0" fieldPosition="0">
        <references count="2">
          <reference field="4294967294" count="1" selected="0">
            <x v="0"/>
          </reference>
          <reference field="7" count="1" selected="0">
            <x v="2"/>
          </reference>
        </references>
      </pivotArea>
    </chartFormat>
    <chartFormat chart="6" format="12" series="1">
      <pivotArea type="data" outline="0" fieldPosition="0">
        <references count="2">
          <reference field="4294967294" count="1" selected="0">
            <x v="0"/>
          </reference>
          <reference field="7" count="1" selected="0">
            <x v="3"/>
          </reference>
        </references>
      </pivotArea>
    </chartFormat>
    <chartFormat chart="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ABD1D2-3243-4570-915E-9A3ECE4CDD90}" name="PivotTable3"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F3:G8" firstHeaderRow="1" firstDataRow="1" firstDataCol="1"/>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compact="0" numFmtId="2" outline="0" showAll="0" defaultSubtotal="0"/>
    <pivotField compact="0" outline="0" showAll="0" defaultSubtotal="0"/>
    <pivotField compact="0" numFmtId="9" outline="0" showAll="0" defaultSubtotal="0"/>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6"/>
  </rowFields>
  <rowItems count="5">
    <i>
      <x/>
    </i>
    <i>
      <x v="1"/>
    </i>
    <i>
      <x v="2"/>
    </i>
    <i>
      <x v="3"/>
    </i>
    <i>
      <x v="4"/>
    </i>
  </rowItems>
  <colItems count="1">
    <i/>
  </colItems>
  <dataFields count="1">
    <dataField name="Count of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845645-2F96-4168-8B54-0DCF4327F39E}" name="PivotTable7"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W3:X7" firstHeaderRow="1" firstDataRow="1" firstDataCol="1"/>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compact="0" numFmtId="2" outline="0" showAll="0" defaultSubtotal="0"/>
    <pivotField compact="0" outline="0" showAll="0" defaultSubtotal="0"/>
    <pivotField axis="axisRow" compact="0" numFmtId="9" outline="0" showAll="0" defaultSubtotal="0">
      <items count="4">
        <item x="0"/>
        <item x="1"/>
        <item x="2"/>
        <item x="3"/>
      </items>
    </pivotField>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22"/>
  </rowFields>
  <rowItems count="4">
    <i>
      <x/>
    </i>
    <i>
      <x v="1"/>
    </i>
    <i>
      <x v="2"/>
    </i>
    <i>
      <x v="3"/>
    </i>
  </rowItems>
  <colItems count="1">
    <i/>
  </colItems>
  <dataFields count="1">
    <dataField name="Count of ID" fld="0" subtotal="count" baseField="0" baseItem="1"/>
  </dataFields>
  <chartFormats count="10">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2" count="1" selected="0">
            <x v="0"/>
          </reference>
        </references>
      </pivotArea>
    </chartFormat>
    <chartFormat chart="5" format="7">
      <pivotArea type="data" outline="0" fieldPosition="0">
        <references count="2">
          <reference field="4294967294" count="1" selected="0">
            <x v="0"/>
          </reference>
          <reference field="22" count="1" selected="0">
            <x v="1"/>
          </reference>
        </references>
      </pivotArea>
    </chartFormat>
    <chartFormat chart="5" format="8">
      <pivotArea type="data" outline="0" fieldPosition="0">
        <references count="2">
          <reference field="4294967294" count="1" selected="0">
            <x v="0"/>
          </reference>
          <reference field="22" count="1" selected="0">
            <x v="2"/>
          </reference>
        </references>
      </pivotArea>
    </chartFormat>
    <chartFormat chart="5" format="9">
      <pivotArea type="data" outline="0" fieldPosition="0">
        <references count="2">
          <reference field="4294967294" count="1" selected="0">
            <x v="0"/>
          </reference>
          <reference field="2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2" count="1" selected="0">
            <x v="0"/>
          </reference>
        </references>
      </pivotArea>
    </chartFormat>
    <chartFormat chart="6" format="12">
      <pivotArea type="data" outline="0" fieldPosition="0">
        <references count="2">
          <reference field="4294967294" count="1" selected="0">
            <x v="0"/>
          </reference>
          <reference field="22" count="1" selected="0">
            <x v="1"/>
          </reference>
        </references>
      </pivotArea>
    </chartFormat>
    <chartFormat chart="6" format="13">
      <pivotArea type="data" outline="0" fieldPosition="0">
        <references count="2">
          <reference field="4294967294" count="1" selected="0">
            <x v="0"/>
          </reference>
          <reference field="22" count="1" selected="0">
            <x v="2"/>
          </reference>
        </references>
      </pivotArea>
    </chartFormat>
    <chartFormat chart="6"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5F541-FFB3-49F2-99CF-6BF59D85AB31}" name="PivotTable2"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A3:C4" firstHeaderRow="0" firstDataRow="1" firstDataCol="0"/>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dataField="1" compact="0" outline="0" showAll="0" defaultSubtotal="0"/>
    <pivotField compact="0" outline="0" showAll="0" defaultSubtotal="0"/>
    <pivotField compact="0" numFmtId="165" outline="0" showAll="0" defaultSubtotal="0"/>
    <pivotField compact="0" numFmtId="43" outline="0" showAll="0" defaultSubtotal="0"/>
    <pivotField dataField="1" compact="0" numFmtId="2" outline="0" showAll="0" defaultSubtotal="0"/>
    <pivotField compact="0" outline="0" showAll="0" defaultSubtotal="0"/>
    <pivotField compact="0" numFmtId="9" outline="0" showAll="0" defaultSubtotal="0"/>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Items count="1">
    <i/>
  </rowItems>
  <colFields count="1">
    <field x="-2"/>
  </colFields>
  <colItems count="3">
    <i>
      <x/>
    </i>
    <i i="1">
      <x v="1"/>
    </i>
    <i i="2">
      <x v="2"/>
    </i>
  </colItems>
  <dataFields count="3">
    <dataField name="Count of ID" fld="0" subtotal="count" baseField="0" baseItem="1"/>
    <dataField name="Sum of Net Salary" fld="20" baseField="0" baseItem="0"/>
    <dataField name="Average of Experience Year"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FE16B3-D2E9-4C38-A139-011938E47CC7}" name="PivotTable6"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3">
  <location ref="S3:T7" firstHeaderRow="1" firstDataRow="1" firstDataCol="1"/>
  <pivotFields count="2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items count="4">
        <item x="1"/>
        <item x="0"/>
        <item x="2"/>
        <item x="3"/>
      </items>
    </pivotField>
    <pivotField compact="0" outline="0" showAll="0" defaultSubtotal="0">
      <items count="9">
        <item x="2"/>
        <item x="7"/>
        <item x="4"/>
        <item x="5"/>
        <item x="0"/>
        <item x="1"/>
        <item x="6"/>
        <item x="3"/>
        <item x="8"/>
      </items>
    </pivotField>
    <pivotField axis="axisRow"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numFmtId="165" outline="0" showAll="0" defaultSubtotal="0"/>
    <pivotField compact="0" numFmtId="43" outline="0" showAll="0" defaultSubtotal="0"/>
    <pivotField compact="0" numFmtId="2" outline="0" showAll="0" defaultSubtotal="0"/>
    <pivotField compact="0" outline="0" showAll="0" defaultSubtotal="0"/>
    <pivotField compact="0" numFmtId="9" outline="0" showAll="0" defaultSubtotal="0"/>
    <pivotField compact="0" outline="0" subtotalTop="0" showAll="0" defaultSubtotal="0">
      <items count="6">
        <item x="0"/>
        <item x="1"/>
        <item x="2"/>
        <item x="3"/>
        <item x="4"/>
        <item x="5"/>
      </items>
    </pivotField>
    <pivotField compact="0" outline="0" subtotalTop="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9"/>
  </rowFields>
  <rowItems count="4">
    <i>
      <x/>
    </i>
    <i>
      <x v="1"/>
    </i>
    <i>
      <x v="2"/>
    </i>
    <i>
      <x v="3"/>
    </i>
  </rowItems>
  <colItems count="1">
    <i/>
  </colItems>
  <dataFields count="1">
    <dataField name="Count of ID" fld="0" subtotal="count" baseField="0" baseItem="1"/>
  </dataFields>
  <chartFormats count="10">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9" count="1" selected="0">
            <x v="0"/>
          </reference>
        </references>
      </pivotArea>
    </chartFormat>
    <chartFormat chart="1" format="7">
      <pivotArea type="data" outline="0" fieldPosition="0">
        <references count="2">
          <reference field="4294967294" count="1" selected="0">
            <x v="0"/>
          </reference>
          <reference field="9" count="1" selected="0">
            <x v="1"/>
          </reference>
        </references>
      </pivotArea>
    </chartFormat>
    <chartFormat chart="1" format="8">
      <pivotArea type="data" outline="0" fieldPosition="0">
        <references count="2">
          <reference field="4294967294" count="1" selected="0">
            <x v="0"/>
          </reference>
          <reference field="9" count="1" selected="0">
            <x v="2"/>
          </reference>
        </references>
      </pivotArea>
    </chartFormat>
    <chartFormat chart="1" format="9">
      <pivotArea type="data" outline="0" fieldPosition="0">
        <references count="2">
          <reference field="4294967294" count="1" selected="0">
            <x v="0"/>
          </reference>
          <reference field="9"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36FC52F-0B1D-4140-9BEE-26896BDEDEA0}" sourceName="Country">
  <pivotTables>
    <pivotTable tabId="7" name="PivotTable8"/>
    <pivotTable tabId="7" name="PivotTable2"/>
    <pivotTable tabId="7" name="PivotTable3"/>
    <pivotTable tabId="7" name="PivotTable4"/>
    <pivotTable tabId="7" name="PivotTable5"/>
    <pivotTable tabId="7" name="PivotTable6"/>
    <pivotTable tabId="7" name="PivotTable7"/>
  </pivotTables>
  <data>
    <tabular pivotCacheId="1550830153">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FFF99F93-0751-4619-8B3F-EE85EC658F28}" sourceName="Work Type">
  <pivotTables>
    <pivotTable tabId="7" name="PivotTable8"/>
    <pivotTable tabId="7" name="PivotTable2"/>
    <pivotTable tabId="7" name="PivotTable3"/>
    <pivotTable tabId="7" name="PivotTable4"/>
    <pivotTable tabId="7" name="PivotTable5"/>
    <pivotTable tabId="7" name="PivotTable6"/>
    <pivotTable tabId="7" name="PivotTable7"/>
  </pivotTables>
  <data>
    <tabular pivotCacheId="1550830153">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C67A1F-5917-43F3-A76E-51ED57FC29E3}" sourceName="Department">
  <pivotTables>
    <pivotTable tabId="7" name="PivotTable4"/>
    <pivotTable tabId="7" name="PivotTable2"/>
    <pivotTable tabId="7" name="PivotTable3"/>
    <pivotTable tabId="7" name="PivotTable5"/>
    <pivotTable tabId="7" name="PivotTable6"/>
    <pivotTable tabId="7" name="PivotTable7"/>
    <pivotTable tabId="7" name="PivotTable8"/>
  </pivotTables>
  <data>
    <tabular pivotCacheId="1550830153">
      <items count="9">
        <i x="2" s="1"/>
        <i x="7" s="1"/>
        <i x="4" s="1"/>
        <i x="5" s="1"/>
        <i x="0" s="1"/>
        <i x="1" s="1"/>
        <i x="6"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7F396B6-0217-47DB-BACD-6A7CA27ADEC9}" cache="Slicer_Country" caption="Country" columnCount="2" style="SlicerStyleLight4" rowHeight="241300"/>
  <slicer name="Work Type" xr10:uid="{CCE4CB17-945F-4F2D-9543-4704889A5BBF}" cache="Slicer_Work_Type" caption="Work Type" columnCount="2" rowHeight="241300"/>
  <slicer name="Department" xr10:uid="{5539F991-58C4-40E8-AF32-0F25D302928C}"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2B9B15-7F2A-48B8-9285-5FB052475733}" name="FatmaUsf" displayName="FatmaUsf" ref="A1:W301" totalsRowShown="0" headerRowDxfId="107" dataDxfId="105" headerRowBorderDxfId="106" tableBorderDxfId="104" totalsRowBorderDxfId="103" headerRowCellStyle="Normal_Employees" dataCellStyle="Normal 2 2">
  <autoFilter ref="A1:W301" xr:uid="{89F0FD44-97BA-43F2-8D50-B1CB77189587}"/>
  <tableColumns count="23">
    <tableColumn id="1" xr3:uid="{E5251D61-D0F4-48E0-927A-3653AA50B5CA}" name="ID" dataDxfId="102" dataCellStyle="Normal_Customers"/>
    <tableColumn id="2" xr3:uid="{A02EDF14-07CF-4512-A679-7A5D6894CFFF}" name="First Name" dataDxfId="101" dataCellStyle="Normal_Sheet1"/>
    <tableColumn id="3" xr3:uid="{5EB20830-E815-4845-B10B-4ED4B5CC57A5}" name="Last Name" dataDxfId="100" dataCellStyle="Normal_Sheet1"/>
    <tableColumn id="4" xr3:uid="{056A5F57-5CB1-444C-9222-C66230ED083D}" name="Full Name" dataDxfId="99" dataCellStyle="Normal_Sheet1">
      <calculatedColumnFormula>PROPER(TRIM(FatmaUsf[[#This Row],[Last Name]]&amp;" "&amp;FatmaUsf[[#This Row],[Last Name]]))</calculatedColumnFormula>
    </tableColumn>
    <tableColumn id="5" xr3:uid="{E1A1A86B-AD1C-4526-B1CB-E166B15730C2}" name="Gender" dataDxfId="98" dataCellStyle="Normal_Sheet1"/>
    <tableColumn id="6" xr3:uid="{B91F7573-4DC1-42A1-8026-11F55CAF15C1}" name="Phone" dataDxfId="97" dataCellStyle="Normal_Sheet1"/>
    <tableColumn id="7" xr3:uid="{B355DFE6-F374-4176-B4D1-E4BA537ED745}" name="Country" dataDxfId="96" dataCellStyle="Normal_Sheet1"/>
    <tableColumn id="8" xr3:uid="{8EAE9509-25D6-4F6A-97FC-42BED815D9B0}" name="Work Type" dataDxfId="95" dataCellStyle="Normal_Employees"/>
    <tableColumn id="9" xr3:uid="{AD95B6D1-45B2-4E15-AC46-A96A149CB1C0}" name="Department" dataDxfId="94" dataCellStyle="Normal_Employees"/>
    <tableColumn id="10" xr3:uid="{86A9B399-CB4F-494B-B3A8-50DF85CA5E5E}" name="MonyTransfere" dataDxfId="93" dataCellStyle="Normal_Sheet1"/>
    <tableColumn id="11" xr3:uid="{51901261-43AE-47FD-A38B-F82322DB5D03}" name="Email" dataDxfId="92" dataCellStyle="Normal_Sheet1"/>
    <tableColumn id="12" xr3:uid="{2D91C418-4CF3-4FAC-B72D-EBEC429B2D48}" name="Hire Day" dataDxfId="91" dataCellStyle="Normal_Orders"/>
    <tableColumn id="13" xr3:uid="{0330FE48-14CF-4457-9E9D-EAEA14D08A03}" name="Hire Month" dataDxfId="90" dataCellStyle="Comma"/>
    <tableColumn id="14" xr3:uid="{8702A746-6A49-4FD3-AB98-D0AB3294BEE8}" name="Hire Year" dataDxfId="89" dataCellStyle="Comma"/>
    <tableColumn id="15" xr3:uid="{98443DCE-3B82-4843-B297-339E256BCF97}" name="Hiring Date" dataDxfId="88" dataCellStyle="Comma">
      <calculatedColumnFormula>DATE(FatmaUsf[[#This Row],[Hire Year]],FatmaUsf[[#This Row],[Hire Month]],FatmaUsf[[#This Row],[Hire Day]])</calculatedColumnFormula>
    </tableColumn>
    <tableColumn id="24" xr3:uid="{186553C9-9679-4642-B9CA-BA60774C0C2B}" name="current date" dataDxfId="87" dataCellStyle="Comma">
      <calculatedColumnFormula>TODAY()</calculatedColumnFormula>
    </tableColumn>
    <tableColumn id="16" xr3:uid="{426FAB84-BE42-44C5-AEA6-93945E00D0EE}" name="Experience Year" dataDxfId="86" dataCellStyle="Comma">
      <calculatedColumnFormula>DATEDIF(FatmaUsf[[#This Row],[Hiring Date]],FatmaUsf[[#This Row],[current date]],"Y")</calculatedColumnFormula>
    </tableColumn>
    <tableColumn id="17" xr3:uid="{AEB85383-3A0C-4CBE-917F-30A98C2FD07F}" name="Salary" dataDxfId="85" dataCellStyle="Comma"/>
    <tableColumn id="18" xr3:uid="{0B47BA55-C05F-4FA6-BF7A-97AAE3833E75}" name="Tax 10%" dataDxfId="84" dataCellStyle="Normal 2 2">
      <calculatedColumnFormula>FatmaUsf[[#This Row],[Salary]]*0.1</calculatedColumnFormula>
    </tableColumn>
    <tableColumn id="19" xr3:uid="{5C390460-E581-492B-A3AC-23F6CFA00408}" name="Bonus 3%" dataDxfId="83" dataCellStyle="Normal 2 2">
      <calculatedColumnFormula>FatmaUsf[[#This Row],[Salary]]*0.03</calculatedColumnFormula>
    </tableColumn>
    <tableColumn id="20" xr3:uid="{0630CEDB-AE5B-46A7-8D73-0047460B2479}" name="Net Salary" dataDxfId="82" dataCellStyle="Normal 2 2">
      <calculatedColumnFormula>FatmaUsf[[#This Row],[Salary]]-FatmaUsf[[#This Row],[Tax 10%]]+FatmaUsf[[#This Row],[Bonus 3%]]</calculatedColumnFormula>
    </tableColumn>
    <tableColumn id="21" xr3:uid="{A14BA47F-17CF-4A87-A164-802CC12DBE4E}" name="Salary Status" dataDxfId="81" dataCellStyle="Normal 2 2">
      <calculatedColumnFormula>IF(FatmaUsf[[#This Row],[Net Salary]]&gt;=6000,"Over","Normal")</calculatedColumnFormula>
    </tableColumn>
    <tableColumn id="22" xr3:uid="{58820B47-010F-4555-B7BB-487E9784F9D9}" name="Extra Bonus" dataDxfId="80" dataCellStyle="Normal 2 2">
      <calculatedColumnFormula>VLOOKUP(FatmaUsf[[#This Row],[Net Salary]],$Z$10:$AA$14,2)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ing_Date" xr10:uid="{1BEEA859-2C2C-4284-A962-A9CD6E09FB86}" sourceName="Hiring Date">
  <pivotTables>
    <pivotTable tabId="7" name="PivotTable8"/>
    <pivotTable tabId="7" name="PivotTable2"/>
    <pivotTable tabId="7" name="PivotTable3"/>
    <pivotTable tabId="7" name="PivotTable4"/>
    <pivotTable tabId="7" name="PivotTable5"/>
    <pivotTable tabId="7" name="PivotTable6"/>
    <pivotTable tabId="7" name="PivotTable7"/>
  </pivotTables>
  <state minimalRefreshVersion="6" lastRefreshVersion="6" pivotCacheId="1550830153" filterType="unknown">
    <bounds startDate="199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xr10:uid="{DEBE89DA-501B-4D6F-B0CC-496BB792B353}" cache="NativeTimeline_Hiring_Date" caption="Hiring Date" level="2" selectionLevel="2" scrollPosition="2023-07-2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2633-04BD-4041-94BF-70D68D6D0500}">
  <sheetPr codeName="Sheet2">
    <tabColor rgb="FF0070C0"/>
  </sheetPr>
  <dimension ref="A1:AA3441"/>
  <sheetViews>
    <sheetView topLeftCell="A100" zoomScale="85" zoomScaleNormal="85" workbookViewId="0">
      <selection activeCell="W2" sqref="W2"/>
    </sheetView>
  </sheetViews>
  <sheetFormatPr defaultColWidth="9.125" defaultRowHeight="15.75" customHeight="1"/>
  <cols>
    <col min="1" max="1" width="6.5" style="3" bestFit="1" customWidth="1"/>
    <col min="2" max="2" width="13.25" style="3" bestFit="1" customWidth="1"/>
    <col min="3" max="3" width="12.875" style="3" bestFit="1" customWidth="1"/>
    <col min="4" max="4" width="22.125" style="44" bestFit="1" customWidth="1"/>
    <col min="5" max="5" width="10.75" style="3" bestFit="1" customWidth="1"/>
    <col min="6" max="6" width="12.375" style="3" bestFit="1" customWidth="1"/>
    <col min="7" max="7" width="11" style="3" bestFit="1" customWidth="1"/>
    <col min="8" max="8" width="13.25" style="3" bestFit="1" customWidth="1"/>
    <col min="9" max="9" width="18.125" style="3" bestFit="1" customWidth="1"/>
    <col min="10" max="10" width="16.75" style="9" bestFit="1" customWidth="1"/>
    <col min="11" max="11" width="22.5" style="3" bestFit="1" customWidth="1"/>
    <col min="12" max="12" width="11.375" style="3" bestFit="1" customWidth="1"/>
    <col min="13" max="13" width="13.75" style="3" bestFit="1" customWidth="1"/>
    <col min="14" max="14" width="12" style="3" bestFit="1" customWidth="1"/>
    <col min="15" max="15" width="13.5" style="3" bestFit="1" customWidth="1"/>
    <col min="16" max="16" width="13.5" style="3" customWidth="1"/>
    <col min="17" max="17" width="17.5" style="3" bestFit="1" customWidth="1"/>
    <col min="18" max="18" width="9.5" style="8" bestFit="1" customWidth="1"/>
    <col min="19" max="19" width="11" style="55" bestFit="1" customWidth="1"/>
    <col min="20" max="20" width="12.25" style="3" bestFit="1" customWidth="1"/>
    <col min="21" max="21" width="12.75" style="51" bestFit="1" customWidth="1"/>
    <col min="22" max="22" width="14.625" style="3" bestFit="1" customWidth="1"/>
    <col min="23" max="23" width="13.875" style="3" bestFit="1" customWidth="1"/>
    <col min="24" max="24" width="10.625" style="3" customWidth="1"/>
    <col min="25" max="25" width="2" style="3" bestFit="1" customWidth="1"/>
    <col min="26" max="26" width="16.25" style="3" bestFit="1" customWidth="1"/>
    <col min="27" max="27" width="17.125" style="3" bestFit="1" customWidth="1"/>
    <col min="28" max="28" width="17.5" style="3" bestFit="1" customWidth="1"/>
    <col min="29" max="30" width="9.125" style="3"/>
    <col min="31" max="31" width="14" style="3" bestFit="1" customWidth="1"/>
    <col min="32" max="16384" width="9.125" style="3"/>
  </cols>
  <sheetData>
    <row r="1" spans="1:27" ht="15.75" customHeight="1">
      <c r="A1" s="25" t="s">
        <v>0</v>
      </c>
      <c r="B1" s="26" t="s">
        <v>194</v>
      </c>
      <c r="C1" s="26" t="s">
        <v>195</v>
      </c>
      <c r="D1" s="45" t="s">
        <v>267</v>
      </c>
      <c r="E1" s="26" t="s">
        <v>196</v>
      </c>
      <c r="F1" s="26" t="s">
        <v>1</v>
      </c>
      <c r="G1" s="26" t="s">
        <v>2</v>
      </c>
      <c r="H1" s="27" t="s">
        <v>1090</v>
      </c>
      <c r="I1" s="27" t="s">
        <v>3</v>
      </c>
      <c r="J1" s="28" t="s">
        <v>4</v>
      </c>
      <c r="K1" s="26" t="s">
        <v>5</v>
      </c>
      <c r="L1" s="29" t="s">
        <v>271</v>
      </c>
      <c r="M1" s="29" t="s">
        <v>272</v>
      </c>
      <c r="N1" s="29" t="s">
        <v>273</v>
      </c>
      <c r="O1" s="29" t="s">
        <v>1099</v>
      </c>
      <c r="P1" s="29" t="s">
        <v>1101</v>
      </c>
      <c r="Q1" s="29" t="s">
        <v>265</v>
      </c>
      <c r="R1" s="30" t="s">
        <v>6</v>
      </c>
      <c r="S1" s="52" t="s">
        <v>204</v>
      </c>
      <c r="T1" s="27" t="s">
        <v>1093</v>
      </c>
      <c r="U1" s="49" t="s">
        <v>1098</v>
      </c>
      <c r="V1" s="27" t="s">
        <v>31</v>
      </c>
      <c r="W1" s="31" t="s">
        <v>1096</v>
      </c>
      <c r="Y1" s="19" t="s">
        <v>266</v>
      </c>
      <c r="Z1" s="20" t="s">
        <v>1091</v>
      </c>
      <c r="AA1" s="20" t="s">
        <v>1092</v>
      </c>
    </row>
    <row r="2" spans="1:27" ht="15.75" customHeight="1">
      <c r="A2" s="24">
        <v>1001</v>
      </c>
      <c r="B2" s="10" t="s">
        <v>197</v>
      </c>
      <c r="C2" s="10" t="s">
        <v>201</v>
      </c>
      <c r="D2" s="41" t="str">
        <f>PROPER(TRIM(FatmaUsf[[#This Row],[Last Name]]&amp;" "&amp;FatmaUsf[[#This Row],[Last Name]]))</f>
        <v>Ahmed Ahmed</v>
      </c>
      <c r="E2" s="10" t="s">
        <v>99</v>
      </c>
      <c r="F2" s="10" t="s">
        <v>33</v>
      </c>
      <c r="G2" s="10" t="s">
        <v>1100</v>
      </c>
      <c r="H2" s="11" t="s">
        <v>8</v>
      </c>
      <c r="I2" s="11" t="s">
        <v>9</v>
      </c>
      <c r="J2" s="12" t="s">
        <v>10</v>
      </c>
      <c r="K2" s="10" t="s">
        <v>205</v>
      </c>
      <c r="L2" s="13">
        <v>5</v>
      </c>
      <c r="M2" s="14">
        <v>4</v>
      </c>
      <c r="N2" s="14">
        <v>2023</v>
      </c>
      <c r="O2" s="46">
        <f>DATE(FatmaUsf[[#This Row],[Hire Year]],FatmaUsf[[#This Row],[Hire Month]],FatmaUsf[[#This Row],[Hire Day]])</f>
        <v>45021</v>
      </c>
      <c r="P2" s="46">
        <f t="shared" ref="P2:P65" ca="1" si="0">TODAY()</f>
        <v>46071</v>
      </c>
      <c r="Q2" s="14">
        <f ca="1">DATEDIF(FatmaUsf[[#This Row],[Hiring Date]],FatmaUsf[[#This Row],[current date]],"Y")</f>
        <v>2</v>
      </c>
      <c r="R2" s="15">
        <v>6548</v>
      </c>
      <c r="S2" s="53">
        <f>FatmaUsf[[#This Row],[Salary]]*0.1</f>
        <v>654.80000000000007</v>
      </c>
      <c r="T2" s="16">
        <f>FatmaUsf[[#This Row],[Salary]]*0.03</f>
        <v>196.44</v>
      </c>
      <c r="U2" s="48">
        <f>FatmaUsf[[#This Row],[Salary]]-FatmaUsf[[#This Row],[Tax 10%]]+FatmaUsf[[#This Row],[Bonus 3%]]</f>
        <v>6089.6399999999994</v>
      </c>
      <c r="V2" s="17" t="str">
        <f>IF(FatmaUsf[[#This Row],[Net Salary]]&gt;=6000,"Over","Normal")</f>
        <v>Over</v>
      </c>
      <c r="W2" s="57">
        <f>VLOOKUP(FatmaUsf[[#This Row],[Net Salary]],$Z$10:$AA$14,2)</f>
        <v>0.02</v>
      </c>
    </row>
    <row r="3" spans="1:27" ht="15.75" customHeight="1">
      <c r="A3" s="24">
        <v>1002</v>
      </c>
      <c r="B3" s="10" t="s">
        <v>202</v>
      </c>
      <c r="C3" s="10" t="s">
        <v>1094</v>
      </c>
      <c r="D3" s="41" t="str">
        <f>PROPER(TRIM(FatmaUsf[[#This Row],[Last Name]]&amp;" "&amp;FatmaUsf[[#This Row],[Last Name]]))</f>
        <v>Hisham Hisham</v>
      </c>
      <c r="E3" s="10" t="s">
        <v>100</v>
      </c>
      <c r="F3" s="10" t="s">
        <v>34</v>
      </c>
      <c r="G3" s="10" t="s">
        <v>7</v>
      </c>
      <c r="H3" s="11" t="s">
        <v>11</v>
      </c>
      <c r="I3" s="11" t="s">
        <v>25</v>
      </c>
      <c r="J3" s="12" t="s">
        <v>12</v>
      </c>
      <c r="K3" s="10" t="s">
        <v>206</v>
      </c>
      <c r="L3" s="13">
        <v>6</v>
      </c>
      <c r="M3" s="14">
        <v>1</v>
      </c>
      <c r="N3" s="14">
        <v>2001</v>
      </c>
      <c r="O3" s="46">
        <f>DATE(FatmaUsf[[#This Row],[Hire Year]],FatmaUsf[[#This Row],[Hire Month]],FatmaUsf[[#This Row],[Hire Day]])</f>
        <v>36897</v>
      </c>
      <c r="P3" s="46">
        <f t="shared" ca="1" si="0"/>
        <v>46071</v>
      </c>
      <c r="Q3" s="14">
        <f ca="1">DATEDIF(FatmaUsf[[#This Row],[Hiring Date]],FatmaUsf[[#This Row],[current date]],"Y")</f>
        <v>25</v>
      </c>
      <c r="R3" s="15">
        <v>7175</v>
      </c>
      <c r="S3" s="53">
        <f>FatmaUsf[[#This Row],[Salary]]*0.1</f>
        <v>717.5</v>
      </c>
      <c r="T3" s="16">
        <f>FatmaUsf[[#This Row],[Salary]]*0.03</f>
        <v>215.25</v>
      </c>
      <c r="U3" s="48">
        <f>FatmaUsf[[#This Row],[Salary]]-FatmaUsf[[#This Row],[Tax 10%]]+FatmaUsf[[#This Row],[Bonus 3%]]</f>
        <v>6672.75</v>
      </c>
      <c r="V3" s="17" t="str">
        <f>IF(FatmaUsf[[#This Row],[Net Salary]]&gt;=6000,"Over","Normal")</f>
        <v>Over</v>
      </c>
      <c r="W3" s="57">
        <f>VLOOKUP(FatmaUsf[[#This Row],[Net Salary]],$Z$10:$AA$14,2)</f>
        <v>0.02</v>
      </c>
      <c r="Z3" s="18" t="s">
        <v>16</v>
      </c>
      <c r="AA3" s="1">
        <f>SUM(FatmaUsf[Net Salary])</f>
        <v>1242807.3600000001</v>
      </c>
    </row>
    <row r="4" spans="1:27" ht="15.75" customHeight="1">
      <c r="A4" s="24">
        <v>1003</v>
      </c>
      <c r="B4" s="10" t="s">
        <v>198</v>
      </c>
      <c r="C4" s="10" t="s">
        <v>203</v>
      </c>
      <c r="D4" s="41" t="str">
        <f>PROPER(TRIM(FatmaUsf[[#This Row],[Last Name]]&amp;" "&amp;FatmaUsf[[#This Row],[Last Name]]))</f>
        <v>Sharaf Sharaf</v>
      </c>
      <c r="E4" s="10" t="s">
        <v>99</v>
      </c>
      <c r="F4" s="10" t="s">
        <v>35</v>
      </c>
      <c r="G4" s="10" t="s">
        <v>13</v>
      </c>
      <c r="H4" s="11" t="s">
        <v>14</v>
      </c>
      <c r="I4" s="11" t="s">
        <v>9</v>
      </c>
      <c r="J4" s="12" t="s">
        <v>10</v>
      </c>
      <c r="K4" s="10" t="s">
        <v>207</v>
      </c>
      <c r="L4" s="13">
        <v>7</v>
      </c>
      <c r="M4" s="14">
        <v>1</v>
      </c>
      <c r="N4" s="14">
        <v>2007</v>
      </c>
      <c r="O4" s="46">
        <f>DATE(FatmaUsf[[#This Row],[Hire Year]],FatmaUsf[[#This Row],[Hire Month]],FatmaUsf[[#This Row],[Hire Day]])</f>
        <v>39089</v>
      </c>
      <c r="P4" s="46">
        <f t="shared" ca="1" si="0"/>
        <v>46071</v>
      </c>
      <c r="Q4" s="14">
        <f ca="1">DATEDIF(FatmaUsf[[#This Row],[Hiring Date]],FatmaUsf[[#This Row],[current date]],"Y")</f>
        <v>19</v>
      </c>
      <c r="R4" s="15">
        <v>4070</v>
      </c>
      <c r="S4" s="53">
        <f>FatmaUsf[[#This Row],[Salary]]*0.1</f>
        <v>407</v>
      </c>
      <c r="T4" s="16">
        <f>FatmaUsf[[#This Row],[Salary]]*0.03</f>
        <v>122.1</v>
      </c>
      <c r="U4" s="48">
        <f>FatmaUsf[[#This Row],[Salary]]-FatmaUsf[[#This Row],[Tax 10%]]+FatmaUsf[[#This Row],[Bonus 3%]]</f>
        <v>3785.1</v>
      </c>
      <c r="V4" s="17" t="str">
        <f>IF(FatmaUsf[[#This Row],[Net Salary]]&gt;=6000,"Over","Normal")</f>
        <v>Normal</v>
      </c>
      <c r="W4" s="57">
        <f>VLOOKUP(FatmaUsf[[#This Row],[Net Salary]],$Z$10:$AA$14,2)</f>
        <v>0.05</v>
      </c>
      <c r="Z4" s="18" t="s">
        <v>1097</v>
      </c>
      <c r="AA4" s="56">
        <f>AVERAGE(U:U)</f>
        <v>4142.6912000000002</v>
      </c>
    </row>
    <row r="5" spans="1:27" ht="15.75" customHeight="1">
      <c r="A5" s="24">
        <v>1004</v>
      </c>
      <c r="B5" s="10" t="s">
        <v>199</v>
      </c>
      <c r="C5" s="10" t="s">
        <v>101</v>
      </c>
      <c r="D5" s="41" t="str">
        <f>PROPER(TRIM(FatmaUsf[[#This Row],[Last Name]]&amp;" "&amp;FatmaUsf[[#This Row],[Last Name]]))</f>
        <v>Qbany Qbany</v>
      </c>
      <c r="E5" s="10" t="s">
        <v>100</v>
      </c>
      <c r="F5" s="10" t="s">
        <v>36</v>
      </c>
      <c r="G5" s="10" t="s">
        <v>1100</v>
      </c>
      <c r="H5" s="11" t="s">
        <v>8</v>
      </c>
      <c r="I5" s="11" t="s">
        <v>15</v>
      </c>
      <c r="J5" s="12" t="s">
        <v>12</v>
      </c>
      <c r="K5" s="10" t="s">
        <v>208</v>
      </c>
      <c r="L5" s="13">
        <v>21</v>
      </c>
      <c r="M5" s="14">
        <v>1</v>
      </c>
      <c r="N5" s="14">
        <v>1993</v>
      </c>
      <c r="O5" s="46">
        <f>DATE(FatmaUsf[[#This Row],[Hire Year]],FatmaUsf[[#This Row],[Hire Month]],FatmaUsf[[#This Row],[Hire Day]])</f>
        <v>33990</v>
      </c>
      <c r="P5" s="46">
        <f t="shared" ca="1" si="0"/>
        <v>46071</v>
      </c>
      <c r="Q5" s="14">
        <f ca="1">DATEDIF(FatmaUsf[[#This Row],[Hiring Date]],FatmaUsf[[#This Row],[current date]],"Y")</f>
        <v>33</v>
      </c>
      <c r="R5" s="15">
        <v>1906</v>
      </c>
      <c r="S5" s="53">
        <f>FatmaUsf[[#This Row],[Salary]]*0.1</f>
        <v>190.60000000000002</v>
      </c>
      <c r="T5" s="16">
        <f>FatmaUsf[[#This Row],[Salary]]*0.03</f>
        <v>57.18</v>
      </c>
      <c r="U5" s="48">
        <f>FatmaUsf[[#This Row],[Salary]]-FatmaUsf[[#This Row],[Tax 10%]]+FatmaUsf[[#This Row],[Bonus 3%]]</f>
        <v>1772.5800000000002</v>
      </c>
      <c r="V5" s="17" t="str">
        <f>IF(FatmaUsf[[#This Row],[Net Salary]]&gt;=6000,"Over","Normal")</f>
        <v>Normal</v>
      </c>
      <c r="W5" s="57">
        <f>VLOOKUP(FatmaUsf[[#This Row],[Net Salary]],$Z$10:$AA$14,2)</f>
        <v>0.08</v>
      </c>
      <c r="Z5" s="18" t="s">
        <v>32</v>
      </c>
      <c r="AA5" s="1">
        <f>COUNT(A:A)</f>
        <v>300</v>
      </c>
    </row>
    <row r="6" spans="1:27" ht="15.75" customHeight="1">
      <c r="A6" s="24">
        <v>1005</v>
      </c>
      <c r="B6" s="10" t="s">
        <v>200</v>
      </c>
      <c r="C6" s="10" t="s">
        <v>268</v>
      </c>
      <c r="D6" s="41" t="str">
        <f>PROPER(TRIM(FatmaUsf[[#This Row],[Last Name]]&amp;" "&amp;FatmaUsf[[#This Row],[Last Name]]))</f>
        <v>Bikri Bikri</v>
      </c>
      <c r="E6" s="10" t="s">
        <v>100</v>
      </c>
      <c r="F6" s="10" t="s">
        <v>37</v>
      </c>
      <c r="G6" s="10" t="s">
        <v>17</v>
      </c>
      <c r="H6" s="11" t="s">
        <v>14</v>
      </c>
      <c r="I6" s="11" t="s">
        <v>15</v>
      </c>
      <c r="J6" s="12" t="s">
        <v>12</v>
      </c>
      <c r="K6" s="10" t="s">
        <v>209</v>
      </c>
      <c r="L6" s="13">
        <v>26</v>
      </c>
      <c r="M6" s="14">
        <v>1</v>
      </c>
      <c r="N6" s="14">
        <v>2019</v>
      </c>
      <c r="O6" s="46">
        <f>DATE(FatmaUsf[[#This Row],[Hire Year]],FatmaUsf[[#This Row],[Hire Month]],FatmaUsf[[#This Row],[Hire Day]])</f>
        <v>43491</v>
      </c>
      <c r="P6" s="46">
        <f t="shared" ca="1" si="0"/>
        <v>46071</v>
      </c>
      <c r="Q6" s="14">
        <f ca="1">DATEDIF(FatmaUsf[[#This Row],[Hiring Date]],FatmaUsf[[#This Row],[current date]],"Y")</f>
        <v>7</v>
      </c>
      <c r="R6" s="15">
        <v>2600</v>
      </c>
      <c r="S6" s="53">
        <f>FatmaUsf[[#This Row],[Salary]]*0.1</f>
        <v>260</v>
      </c>
      <c r="T6" s="16">
        <f>FatmaUsf[[#This Row],[Salary]]*0.03</f>
        <v>78</v>
      </c>
      <c r="U6" s="48">
        <f>FatmaUsf[[#This Row],[Salary]]-FatmaUsf[[#This Row],[Tax 10%]]+FatmaUsf[[#This Row],[Bonus 3%]]</f>
        <v>2418</v>
      </c>
      <c r="V6" s="17" t="str">
        <f>IF(FatmaUsf[[#This Row],[Net Salary]]&gt;=6000,"Over","Normal")</f>
        <v>Normal</v>
      </c>
      <c r="W6" s="57">
        <f>VLOOKUP(FatmaUsf[[#This Row],[Net Salary]],$Z$10:$AA$14,2)</f>
        <v>0.08</v>
      </c>
      <c r="Z6" s="18" t="s">
        <v>21</v>
      </c>
      <c r="AA6" s="1">
        <f>MAX(R:R)</f>
        <v>7478</v>
      </c>
    </row>
    <row r="7" spans="1:27" ht="15.75" customHeight="1">
      <c r="A7" s="24">
        <v>1006</v>
      </c>
      <c r="B7" s="10" t="s">
        <v>103</v>
      </c>
      <c r="C7" s="10" t="s">
        <v>104</v>
      </c>
      <c r="D7" s="41" t="str">
        <f>PROPER(TRIM(FatmaUsf[[#This Row],[Last Name]]&amp;" "&amp;FatmaUsf[[#This Row],[Last Name]]))</f>
        <v>Zueitr Zueitr</v>
      </c>
      <c r="E7" s="10" t="s">
        <v>100</v>
      </c>
      <c r="F7" s="10" t="s">
        <v>38</v>
      </c>
      <c r="G7" s="10" t="s">
        <v>13</v>
      </c>
      <c r="H7" s="11" t="s">
        <v>11</v>
      </c>
      <c r="I7" s="11" t="s">
        <v>18</v>
      </c>
      <c r="J7" s="12" t="s">
        <v>12</v>
      </c>
      <c r="K7" s="10" t="s">
        <v>210</v>
      </c>
      <c r="L7" s="13">
        <v>26</v>
      </c>
      <c r="M7" s="14">
        <v>1</v>
      </c>
      <c r="N7" s="14">
        <v>2003</v>
      </c>
      <c r="O7" s="46">
        <f>DATE(FatmaUsf[[#This Row],[Hire Year]],FatmaUsf[[#This Row],[Hire Month]],FatmaUsf[[#This Row],[Hire Day]])</f>
        <v>37647</v>
      </c>
      <c r="P7" s="46">
        <f t="shared" ca="1" si="0"/>
        <v>46071</v>
      </c>
      <c r="Q7" s="14">
        <f ca="1">DATEDIF(FatmaUsf[[#This Row],[Hiring Date]],FatmaUsf[[#This Row],[current date]],"Y")</f>
        <v>23</v>
      </c>
      <c r="R7" s="15">
        <v>3753</v>
      </c>
      <c r="S7" s="53">
        <f>FatmaUsf[[#This Row],[Salary]]*0.1</f>
        <v>375.3</v>
      </c>
      <c r="T7" s="16">
        <f>FatmaUsf[[#This Row],[Salary]]*0.03</f>
        <v>112.58999999999999</v>
      </c>
      <c r="U7" s="48">
        <f>FatmaUsf[[#This Row],[Salary]]-FatmaUsf[[#This Row],[Tax 10%]]+FatmaUsf[[#This Row],[Bonus 3%]]</f>
        <v>3490.29</v>
      </c>
      <c r="V7" s="17" t="str">
        <f>IF(FatmaUsf[[#This Row],[Net Salary]]&gt;=6000,"Over","Normal")</f>
        <v>Normal</v>
      </c>
      <c r="W7" s="57">
        <f>VLOOKUP(FatmaUsf[[#This Row],[Net Salary]],$Z$10:$AA$14,2)</f>
        <v>0.05</v>
      </c>
      <c r="Z7" s="18" t="s">
        <v>24</v>
      </c>
      <c r="AA7" s="1">
        <f>MIN(R:R)</f>
        <v>742</v>
      </c>
    </row>
    <row r="8" spans="1:27" ht="15.75" customHeight="1">
      <c r="A8" s="24">
        <v>1007</v>
      </c>
      <c r="B8" s="10" t="s">
        <v>105</v>
      </c>
      <c r="C8" s="10" t="s">
        <v>106</v>
      </c>
      <c r="D8" s="41" t="str">
        <f>PROPER(TRIM(FatmaUsf[[#This Row],[Last Name]]&amp;" "&amp;FatmaUsf[[#This Row],[Last Name]]))</f>
        <v>Alhalaliu Alhalaliu</v>
      </c>
      <c r="E8" s="10" t="s">
        <v>99</v>
      </c>
      <c r="F8" s="10" t="s">
        <v>39</v>
      </c>
      <c r="G8" s="10" t="s">
        <v>19</v>
      </c>
      <c r="H8" s="11" t="s">
        <v>8</v>
      </c>
      <c r="I8" s="11" t="s">
        <v>264</v>
      </c>
      <c r="J8" s="12" t="s">
        <v>20</v>
      </c>
      <c r="K8" s="10" t="s">
        <v>211</v>
      </c>
      <c r="L8" s="13">
        <v>29</v>
      </c>
      <c r="M8" s="14">
        <v>1</v>
      </c>
      <c r="N8" s="14">
        <v>1994</v>
      </c>
      <c r="O8" s="46">
        <f>DATE(FatmaUsf[[#This Row],[Hire Year]],FatmaUsf[[#This Row],[Hire Month]],FatmaUsf[[#This Row],[Hire Day]])</f>
        <v>34363</v>
      </c>
      <c r="P8" s="46">
        <f t="shared" ca="1" si="0"/>
        <v>46071</v>
      </c>
      <c r="Q8" s="14">
        <f ca="1">DATEDIF(FatmaUsf[[#This Row],[Hiring Date]],FatmaUsf[[#This Row],[current date]],"Y")</f>
        <v>32</v>
      </c>
      <c r="R8" s="15">
        <v>5086</v>
      </c>
      <c r="S8" s="53">
        <f>FatmaUsf[[#This Row],[Salary]]*0.1</f>
        <v>508.6</v>
      </c>
      <c r="T8" s="16">
        <f>FatmaUsf[[#This Row],[Salary]]*0.03</f>
        <v>152.57999999999998</v>
      </c>
      <c r="U8" s="48">
        <f>FatmaUsf[[#This Row],[Salary]]-FatmaUsf[[#This Row],[Tax 10%]]+FatmaUsf[[#This Row],[Bonus 3%]]</f>
        <v>4729.9799999999996</v>
      </c>
      <c r="V8" s="17" t="str">
        <f>IF(FatmaUsf[[#This Row],[Net Salary]]&gt;=6000,"Over","Normal")</f>
        <v>Normal</v>
      </c>
      <c r="W8" s="57">
        <f>VLOOKUP(FatmaUsf[[#This Row],[Net Salary]],$Z$10:$AA$14,2)</f>
        <v>0.05</v>
      </c>
    </row>
    <row r="9" spans="1:27" ht="15.75" customHeight="1">
      <c r="A9" s="24">
        <v>1008</v>
      </c>
      <c r="B9" s="10" t="s">
        <v>103</v>
      </c>
      <c r="C9" s="10" t="s">
        <v>107</v>
      </c>
      <c r="D9" s="41" t="str">
        <f>PROPER(TRIM(FatmaUsf[[#This Row],[Last Name]]&amp;" "&amp;FatmaUsf[[#This Row],[Last Name]]))</f>
        <v>Alaya Alaya</v>
      </c>
      <c r="E9" s="10" t="s">
        <v>100</v>
      </c>
      <c r="F9" s="10" t="s">
        <v>40</v>
      </c>
      <c r="G9" s="10" t="s">
        <v>13</v>
      </c>
      <c r="H9" s="11" t="s">
        <v>22</v>
      </c>
      <c r="I9" s="11" t="s">
        <v>9</v>
      </c>
      <c r="J9" s="12" t="s">
        <v>23</v>
      </c>
      <c r="K9" s="10" t="s">
        <v>212</v>
      </c>
      <c r="L9" s="13">
        <v>29</v>
      </c>
      <c r="M9" s="14">
        <v>1</v>
      </c>
      <c r="N9" s="14">
        <v>2012</v>
      </c>
      <c r="O9" s="46">
        <f>DATE(FatmaUsf[[#This Row],[Hire Year]],FatmaUsf[[#This Row],[Hire Month]],FatmaUsf[[#This Row],[Hire Day]])</f>
        <v>40937</v>
      </c>
      <c r="P9" s="46">
        <f t="shared" ca="1" si="0"/>
        <v>46071</v>
      </c>
      <c r="Q9" s="14">
        <f ca="1">DATEDIF(FatmaUsf[[#This Row],[Hiring Date]],FatmaUsf[[#This Row],[current date]],"Y")</f>
        <v>14</v>
      </c>
      <c r="R9" s="15">
        <v>2431</v>
      </c>
      <c r="S9" s="53">
        <f>FatmaUsf[[#This Row],[Salary]]*0.1</f>
        <v>243.10000000000002</v>
      </c>
      <c r="T9" s="16">
        <f>FatmaUsf[[#This Row],[Salary]]*0.03</f>
        <v>72.929999999999993</v>
      </c>
      <c r="U9" s="48">
        <f>FatmaUsf[[#This Row],[Salary]]-FatmaUsf[[#This Row],[Tax 10%]]+FatmaUsf[[#This Row],[Bonus 3%]]</f>
        <v>2260.83</v>
      </c>
      <c r="V9" s="17" t="str">
        <f>IF(FatmaUsf[[#This Row],[Net Salary]]&gt;=6000,"Over","Normal")</f>
        <v>Normal</v>
      </c>
      <c r="W9" s="57">
        <f>VLOOKUP(FatmaUsf[[#This Row],[Net Salary]],$Z$10:$AA$14,2)</f>
        <v>0.08</v>
      </c>
    </row>
    <row r="10" spans="1:27" ht="15.75" customHeight="1">
      <c r="A10" s="24">
        <v>1009</v>
      </c>
      <c r="B10" s="10" t="s">
        <v>108</v>
      </c>
      <c r="C10" s="10" t="s">
        <v>109</v>
      </c>
      <c r="D10" s="41" t="str">
        <f>PROPER(TRIM(FatmaUsf[[#This Row],[Last Name]]&amp;" "&amp;FatmaUsf[[#This Row],[Last Name]]))</f>
        <v>Almilat Almilat</v>
      </c>
      <c r="E10" s="10" t="s">
        <v>99</v>
      </c>
      <c r="F10" s="10" t="s">
        <v>41</v>
      </c>
      <c r="G10" s="10" t="s">
        <v>17</v>
      </c>
      <c r="H10" s="11" t="s">
        <v>8</v>
      </c>
      <c r="I10" s="11" t="s">
        <v>9</v>
      </c>
      <c r="J10" s="12" t="s">
        <v>12</v>
      </c>
      <c r="K10" s="10" t="s">
        <v>213</v>
      </c>
      <c r="L10" s="13">
        <v>30</v>
      </c>
      <c r="M10" s="14">
        <v>1</v>
      </c>
      <c r="N10" s="14">
        <v>2004</v>
      </c>
      <c r="O10" s="46">
        <f>DATE(FatmaUsf[[#This Row],[Hire Year]],FatmaUsf[[#This Row],[Hire Month]],FatmaUsf[[#This Row],[Hire Day]])</f>
        <v>38016</v>
      </c>
      <c r="P10" s="46">
        <f t="shared" ca="1" si="0"/>
        <v>46071</v>
      </c>
      <c r="Q10" s="14">
        <f ca="1">DATEDIF(FatmaUsf[[#This Row],[Hiring Date]],FatmaUsf[[#This Row],[current date]],"Y")</f>
        <v>22</v>
      </c>
      <c r="R10" s="15">
        <v>2955</v>
      </c>
      <c r="S10" s="53">
        <f>FatmaUsf[[#This Row],[Salary]]*0.1</f>
        <v>295.5</v>
      </c>
      <c r="T10" s="16">
        <f>FatmaUsf[[#This Row],[Salary]]*0.03</f>
        <v>88.649999999999991</v>
      </c>
      <c r="U10" s="48">
        <f>FatmaUsf[[#This Row],[Salary]]-FatmaUsf[[#This Row],[Tax 10%]]+FatmaUsf[[#This Row],[Bonus 3%]]</f>
        <v>2748.15</v>
      </c>
      <c r="V10" s="17" t="str">
        <f>IF(FatmaUsf[[#This Row],[Net Salary]]&gt;=6000,"Over","Normal")</f>
        <v>Normal</v>
      </c>
      <c r="W10" s="57">
        <f>VLOOKUP(FatmaUsf[[#This Row],[Net Salary]],$Z$10:$AA$14,2)</f>
        <v>0.08</v>
      </c>
      <c r="Z10" s="21" t="s">
        <v>6</v>
      </c>
      <c r="AA10" s="21" t="s">
        <v>1095</v>
      </c>
    </row>
    <row r="11" spans="1:27" ht="15.75" customHeight="1">
      <c r="A11" s="24">
        <v>1010</v>
      </c>
      <c r="B11" s="10" t="s">
        <v>103</v>
      </c>
      <c r="C11" s="10" t="s">
        <v>110</v>
      </c>
      <c r="D11" s="41" t="str">
        <f>PROPER(TRIM(FatmaUsf[[#This Row],[Last Name]]&amp;" "&amp;FatmaUsf[[#This Row],[Last Name]]))</f>
        <v>Alrifaei Alrifaei</v>
      </c>
      <c r="E11" s="10" t="s">
        <v>100</v>
      </c>
      <c r="F11" s="10" t="s">
        <v>42</v>
      </c>
      <c r="G11" s="10" t="s">
        <v>17</v>
      </c>
      <c r="H11" s="11" t="s">
        <v>14</v>
      </c>
      <c r="I11" s="11" t="s">
        <v>264</v>
      </c>
      <c r="J11" s="12" t="s">
        <v>12</v>
      </c>
      <c r="K11" s="10" t="s">
        <v>214</v>
      </c>
      <c r="L11" s="13">
        <v>11</v>
      </c>
      <c r="M11" s="14">
        <v>2</v>
      </c>
      <c r="N11" s="14">
        <v>2003</v>
      </c>
      <c r="O11" s="46">
        <f>DATE(FatmaUsf[[#This Row],[Hire Year]],FatmaUsf[[#This Row],[Hire Month]],FatmaUsf[[#This Row],[Hire Day]])</f>
        <v>37663</v>
      </c>
      <c r="P11" s="46">
        <f t="shared" ca="1" si="0"/>
        <v>46071</v>
      </c>
      <c r="Q11" s="14">
        <f ca="1">DATEDIF(FatmaUsf[[#This Row],[Hiring Date]],FatmaUsf[[#This Row],[current date]],"Y")</f>
        <v>23</v>
      </c>
      <c r="R11" s="15">
        <v>1948</v>
      </c>
      <c r="S11" s="53">
        <f>FatmaUsf[[#This Row],[Salary]]*0.1</f>
        <v>194.8</v>
      </c>
      <c r="T11" s="16">
        <f>FatmaUsf[[#This Row],[Salary]]*0.03</f>
        <v>58.44</v>
      </c>
      <c r="U11" s="48">
        <f>FatmaUsf[[#This Row],[Salary]]-FatmaUsf[[#This Row],[Tax 10%]]+FatmaUsf[[#This Row],[Bonus 3%]]</f>
        <v>1811.64</v>
      </c>
      <c r="V11" s="17" t="str">
        <f>IF(FatmaUsf[[#This Row],[Net Salary]]&gt;=6000,"Over","Normal")</f>
        <v>Normal</v>
      </c>
      <c r="W11" s="57">
        <f>VLOOKUP(FatmaUsf[[#This Row],[Net Salary]],$Z$10:$AA$14,2)</f>
        <v>0.08</v>
      </c>
      <c r="Z11" s="22">
        <v>1</v>
      </c>
      <c r="AA11" s="23">
        <v>0.1</v>
      </c>
    </row>
    <row r="12" spans="1:27" ht="15.75" customHeight="1">
      <c r="A12" s="24">
        <v>1011</v>
      </c>
      <c r="B12" s="10" t="s">
        <v>103</v>
      </c>
      <c r="C12" s="10" t="s">
        <v>111</v>
      </c>
      <c r="D12" s="41" t="str">
        <f>PROPER(TRIM(FatmaUsf[[#This Row],[Last Name]]&amp;" "&amp;FatmaUsf[[#This Row],[Last Name]]))</f>
        <v>Alqadah Alqadah</v>
      </c>
      <c r="E12" s="10" t="s">
        <v>100</v>
      </c>
      <c r="F12" s="10" t="s">
        <v>43</v>
      </c>
      <c r="G12" s="10" t="s">
        <v>19</v>
      </c>
      <c r="H12" s="11" t="s">
        <v>14</v>
      </c>
      <c r="I12" s="11" t="s">
        <v>25</v>
      </c>
      <c r="J12" s="12" t="s">
        <v>23</v>
      </c>
      <c r="K12" s="10" t="s">
        <v>215</v>
      </c>
      <c r="L12" s="13">
        <v>11</v>
      </c>
      <c r="M12" s="14">
        <v>2</v>
      </c>
      <c r="N12" s="14">
        <v>1993</v>
      </c>
      <c r="O12" s="46">
        <f>DATE(FatmaUsf[[#This Row],[Hire Year]],FatmaUsf[[#This Row],[Hire Month]],FatmaUsf[[#This Row],[Hire Day]])</f>
        <v>34011</v>
      </c>
      <c r="P12" s="46">
        <f t="shared" ca="1" si="0"/>
        <v>46071</v>
      </c>
      <c r="Q12" s="14">
        <f ca="1">DATEDIF(FatmaUsf[[#This Row],[Hiring Date]],FatmaUsf[[#This Row],[current date]],"Y")</f>
        <v>33</v>
      </c>
      <c r="R12" s="15">
        <v>3294</v>
      </c>
      <c r="S12" s="53">
        <f>FatmaUsf[[#This Row],[Salary]]*0.1</f>
        <v>329.40000000000003</v>
      </c>
      <c r="T12" s="16">
        <f>FatmaUsf[[#This Row],[Salary]]*0.03</f>
        <v>98.82</v>
      </c>
      <c r="U12" s="48">
        <f>FatmaUsf[[#This Row],[Salary]]-FatmaUsf[[#This Row],[Tax 10%]]+FatmaUsf[[#This Row],[Bonus 3%]]</f>
        <v>3063.42</v>
      </c>
      <c r="V12" s="17" t="str">
        <f>IF(FatmaUsf[[#This Row],[Net Salary]]&gt;=6000,"Over","Normal")</f>
        <v>Normal</v>
      </c>
      <c r="W12" s="57">
        <f>VLOOKUP(FatmaUsf[[#This Row],[Net Salary]],$Z$10:$AA$14,2)</f>
        <v>0.05</v>
      </c>
      <c r="Z12" s="22">
        <v>1000</v>
      </c>
      <c r="AA12" s="23">
        <v>0.08</v>
      </c>
    </row>
    <row r="13" spans="1:27" ht="15.75" customHeight="1">
      <c r="A13" s="24">
        <v>1012</v>
      </c>
      <c r="B13" s="10" t="s">
        <v>103</v>
      </c>
      <c r="C13" s="10" t="s">
        <v>112</v>
      </c>
      <c r="D13" s="41" t="str">
        <f>PROPER(TRIM(FatmaUsf[[#This Row],[Last Name]]&amp;" "&amp;FatmaUsf[[#This Row],[Last Name]]))</f>
        <v>Iad Iad</v>
      </c>
      <c r="E13" s="10" t="s">
        <v>100</v>
      </c>
      <c r="F13" s="10" t="s">
        <v>44</v>
      </c>
      <c r="G13" s="10" t="s">
        <v>1100</v>
      </c>
      <c r="H13" s="11" t="s">
        <v>11</v>
      </c>
      <c r="I13" s="11" t="s">
        <v>264</v>
      </c>
      <c r="J13" s="12" t="s">
        <v>10</v>
      </c>
      <c r="K13" s="10" t="s">
        <v>216</v>
      </c>
      <c r="L13" s="13">
        <v>17</v>
      </c>
      <c r="M13" s="14">
        <v>2</v>
      </c>
      <c r="N13" s="14">
        <v>2005</v>
      </c>
      <c r="O13" s="46">
        <f>DATE(FatmaUsf[[#This Row],[Hire Year]],FatmaUsf[[#This Row],[Hire Month]],FatmaUsf[[#This Row],[Hire Day]])</f>
        <v>38400</v>
      </c>
      <c r="P13" s="46">
        <f t="shared" ca="1" si="0"/>
        <v>46071</v>
      </c>
      <c r="Q13" s="14">
        <f ca="1">DATEDIF(FatmaUsf[[#This Row],[Hiring Date]],FatmaUsf[[#This Row],[current date]],"Y")</f>
        <v>21</v>
      </c>
      <c r="R13" s="15">
        <v>7123</v>
      </c>
      <c r="S13" s="53">
        <f>FatmaUsf[[#This Row],[Salary]]*0.1</f>
        <v>712.30000000000007</v>
      </c>
      <c r="T13" s="16">
        <f>FatmaUsf[[#This Row],[Salary]]*0.03</f>
        <v>213.69</v>
      </c>
      <c r="U13" s="48">
        <f>FatmaUsf[[#This Row],[Salary]]-FatmaUsf[[#This Row],[Tax 10%]]+FatmaUsf[[#This Row],[Bonus 3%]]</f>
        <v>6624.3899999999994</v>
      </c>
      <c r="V13" s="17" t="str">
        <f>IF(FatmaUsf[[#This Row],[Net Salary]]&gt;=6000,"Over","Normal")</f>
        <v>Over</v>
      </c>
      <c r="W13" s="57">
        <f>VLOOKUP(FatmaUsf[[#This Row],[Net Salary]],$Z$10:$AA$14,2)</f>
        <v>0.02</v>
      </c>
      <c r="Z13" s="22">
        <v>3000</v>
      </c>
      <c r="AA13" s="23">
        <v>0.05</v>
      </c>
    </row>
    <row r="14" spans="1:27" ht="15.75" customHeight="1">
      <c r="A14" s="24">
        <v>1013</v>
      </c>
      <c r="B14" s="10" t="s">
        <v>113</v>
      </c>
      <c r="C14" s="10" t="s">
        <v>114</v>
      </c>
      <c r="D14" s="41" t="str">
        <f>PROPER(TRIM(FatmaUsf[[#This Row],[Last Name]]&amp;" "&amp;FatmaUsf[[#This Row],[Last Name]]))</f>
        <v>Nasif Nasif</v>
      </c>
      <c r="E14" s="10" t="s">
        <v>99</v>
      </c>
      <c r="F14" s="10" t="s">
        <v>45</v>
      </c>
      <c r="G14" s="10" t="s">
        <v>13</v>
      </c>
      <c r="H14" s="11" t="s">
        <v>8</v>
      </c>
      <c r="I14" s="11" t="s">
        <v>25</v>
      </c>
      <c r="J14" s="12" t="s">
        <v>10</v>
      </c>
      <c r="K14" s="10" t="s">
        <v>217</v>
      </c>
      <c r="L14" s="13">
        <v>25</v>
      </c>
      <c r="M14" s="14">
        <v>2</v>
      </c>
      <c r="N14" s="14">
        <v>2019</v>
      </c>
      <c r="O14" s="46">
        <f>DATE(FatmaUsf[[#This Row],[Hire Year]],FatmaUsf[[#This Row],[Hire Month]],FatmaUsf[[#This Row],[Hire Day]])</f>
        <v>43521</v>
      </c>
      <c r="P14" s="46">
        <f t="shared" ca="1" si="0"/>
        <v>46071</v>
      </c>
      <c r="Q14" s="14">
        <f ca="1">DATEDIF(FatmaUsf[[#This Row],[Hiring Date]],FatmaUsf[[#This Row],[current date]],"Y")</f>
        <v>6</v>
      </c>
      <c r="R14" s="15">
        <v>7236</v>
      </c>
      <c r="S14" s="53">
        <f>FatmaUsf[[#This Row],[Salary]]*0.1</f>
        <v>723.6</v>
      </c>
      <c r="T14" s="16">
        <f>FatmaUsf[[#This Row],[Salary]]*0.03</f>
        <v>217.07999999999998</v>
      </c>
      <c r="U14" s="48">
        <f>FatmaUsf[[#This Row],[Salary]]-FatmaUsf[[#This Row],[Tax 10%]]+FatmaUsf[[#This Row],[Bonus 3%]]</f>
        <v>6729.48</v>
      </c>
      <c r="V14" s="17" t="str">
        <f>IF(FatmaUsf[[#This Row],[Net Salary]]&gt;=6000,"Over","Normal")</f>
        <v>Over</v>
      </c>
      <c r="W14" s="57">
        <f>VLOOKUP(FatmaUsf[[#This Row],[Net Salary]],$Z$10:$AA$14,2)</f>
        <v>0.02</v>
      </c>
      <c r="Z14" s="22">
        <v>6000</v>
      </c>
      <c r="AA14" s="23">
        <v>0.02</v>
      </c>
    </row>
    <row r="15" spans="1:27" ht="15.75" customHeight="1">
      <c r="A15" s="24">
        <v>1014</v>
      </c>
      <c r="B15" s="10" t="s">
        <v>115</v>
      </c>
      <c r="C15" s="10" t="s">
        <v>269</v>
      </c>
      <c r="D15" s="41" t="str">
        <f>PROPER(TRIM(FatmaUsf[[#This Row],[Last Name]]&amp;" "&amp;FatmaUsf[[#This Row],[Last Name]]))</f>
        <v>Mohamed Mohamed</v>
      </c>
      <c r="E15" s="10" t="s">
        <v>99</v>
      </c>
      <c r="F15" s="10" t="s">
        <v>46</v>
      </c>
      <c r="G15" s="10" t="s">
        <v>1100</v>
      </c>
      <c r="H15" s="11" t="s">
        <v>8</v>
      </c>
      <c r="I15" s="11" t="s">
        <v>264</v>
      </c>
      <c r="J15" s="12" t="s">
        <v>12</v>
      </c>
      <c r="K15" s="10" t="s">
        <v>218</v>
      </c>
      <c r="L15" s="13">
        <v>26</v>
      </c>
      <c r="M15" s="14">
        <v>2</v>
      </c>
      <c r="N15" s="14">
        <v>2004</v>
      </c>
      <c r="O15" s="46">
        <f>DATE(FatmaUsf[[#This Row],[Hire Year]],FatmaUsf[[#This Row],[Hire Month]],FatmaUsf[[#This Row],[Hire Day]])</f>
        <v>38043</v>
      </c>
      <c r="P15" s="46">
        <f t="shared" ca="1" si="0"/>
        <v>46071</v>
      </c>
      <c r="Q15" s="14">
        <f ca="1">DATEDIF(FatmaUsf[[#This Row],[Hiring Date]],FatmaUsf[[#This Row],[current date]],"Y")</f>
        <v>21</v>
      </c>
      <c r="R15" s="15">
        <v>6843</v>
      </c>
      <c r="S15" s="53">
        <f>FatmaUsf[[#This Row],[Salary]]*0.1</f>
        <v>684.30000000000007</v>
      </c>
      <c r="T15" s="16">
        <f>FatmaUsf[[#This Row],[Salary]]*0.03</f>
        <v>205.29</v>
      </c>
      <c r="U15" s="48">
        <f>FatmaUsf[[#This Row],[Salary]]-FatmaUsf[[#This Row],[Tax 10%]]+FatmaUsf[[#This Row],[Bonus 3%]]</f>
        <v>6363.99</v>
      </c>
      <c r="V15" s="17" t="str">
        <f>IF(FatmaUsf[[#This Row],[Net Salary]]&gt;=6000,"Over","Normal")</f>
        <v>Over</v>
      </c>
      <c r="W15" s="57">
        <f>VLOOKUP(FatmaUsf[[#This Row],[Net Salary]],$Z$10:$AA$14,2)</f>
        <v>0.02</v>
      </c>
    </row>
    <row r="16" spans="1:27" ht="15.75" customHeight="1">
      <c r="A16" s="24">
        <v>1015</v>
      </c>
      <c r="B16" s="10" t="s">
        <v>117</v>
      </c>
      <c r="C16" s="10" t="s">
        <v>270</v>
      </c>
      <c r="D16" s="41" t="str">
        <f>PROPER(TRIM(FatmaUsf[[#This Row],[Last Name]]&amp;" "&amp;FatmaUsf[[#This Row],[Last Name]]))</f>
        <v>Mostafa Mostafa</v>
      </c>
      <c r="E16" s="10" t="s">
        <v>99</v>
      </c>
      <c r="F16" s="10" t="s">
        <v>47</v>
      </c>
      <c r="G16" s="10" t="s">
        <v>1100</v>
      </c>
      <c r="H16" s="11" t="s">
        <v>22</v>
      </c>
      <c r="I16" s="11" t="s">
        <v>264</v>
      </c>
      <c r="J16" s="12" t="s">
        <v>12</v>
      </c>
      <c r="K16" s="10" t="s">
        <v>219</v>
      </c>
      <c r="L16" s="13">
        <v>2</v>
      </c>
      <c r="M16" s="14">
        <v>3</v>
      </c>
      <c r="N16" s="14">
        <v>2011</v>
      </c>
      <c r="O16" s="46">
        <f>DATE(FatmaUsf[[#This Row],[Hire Year]],FatmaUsf[[#This Row],[Hire Month]],FatmaUsf[[#This Row],[Hire Day]])</f>
        <v>40604</v>
      </c>
      <c r="P16" s="46">
        <f t="shared" ca="1" si="0"/>
        <v>46071</v>
      </c>
      <c r="Q16" s="14">
        <f ca="1">DATEDIF(FatmaUsf[[#This Row],[Hiring Date]],FatmaUsf[[#This Row],[current date]],"Y")</f>
        <v>14</v>
      </c>
      <c r="R16" s="15">
        <v>1070</v>
      </c>
      <c r="S16" s="53">
        <f>FatmaUsf[[#This Row],[Salary]]*0.1</f>
        <v>107</v>
      </c>
      <c r="T16" s="16">
        <f>FatmaUsf[[#This Row],[Salary]]*0.03</f>
        <v>32.1</v>
      </c>
      <c r="U16" s="48">
        <f>FatmaUsf[[#This Row],[Salary]]-FatmaUsf[[#This Row],[Tax 10%]]+FatmaUsf[[#This Row],[Bonus 3%]]</f>
        <v>995.1</v>
      </c>
      <c r="V16" s="17" t="str">
        <f>IF(FatmaUsf[[#This Row],[Net Salary]]&gt;=6000,"Over","Normal")</f>
        <v>Normal</v>
      </c>
      <c r="W16" s="57">
        <f>VLOOKUP(FatmaUsf[[#This Row],[Net Salary]],$Z$10:$AA$14,2)</f>
        <v>0.1</v>
      </c>
    </row>
    <row r="17" spans="1:23" ht="15.75" customHeight="1">
      <c r="A17" s="24">
        <v>1016</v>
      </c>
      <c r="B17" s="10" t="s">
        <v>118</v>
      </c>
      <c r="C17" s="10" t="s">
        <v>103</v>
      </c>
      <c r="D17" s="41" t="str">
        <f>PROPER(TRIM(FatmaUsf[[#This Row],[Last Name]]&amp;" "&amp;FatmaUsf[[#This Row],[Last Name]]))</f>
        <v>Muhamad Muhamad</v>
      </c>
      <c r="E17" s="10" t="s">
        <v>100</v>
      </c>
      <c r="F17" s="10" t="s">
        <v>48</v>
      </c>
      <c r="G17" s="10" t="s">
        <v>13</v>
      </c>
      <c r="H17" s="11" t="s">
        <v>22</v>
      </c>
      <c r="I17" s="11" t="s">
        <v>264</v>
      </c>
      <c r="J17" s="12" t="s">
        <v>10</v>
      </c>
      <c r="K17" s="10" t="s">
        <v>220</v>
      </c>
      <c r="L17" s="13">
        <v>10</v>
      </c>
      <c r="M17" s="14">
        <v>3</v>
      </c>
      <c r="N17" s="14">
        <v>2020</v>
      </c>
      <c r="O17" s="46">
        <f>DATE(FatmaUsf[[#This Row],[Hire Year]],FatmaUsf[[#This Row],[Hire Month]],FatmaUsf[[#This Row],[Hire Day]])</f>
        <v>43900</v>
      </c>
      <c r="P17" s="46">
        <f t="shared" ca="1" si="0"/>
        <v>46071</v>
      </c>
      <c r="Q17" s="14">
        <f ca="1">DATEDIF(FatmaUsf[[#This Row],[Hiring Date]],FatmaUsf[[#This Row],[current date]],"Y")</f>
        <v>5</v>
      </c>
      <c r="R17" s="15">
        <v>1493</v>
      </c>
      <c r="S17" s="53">
        <f>FatmaUsf[[#This Row],[Salary]]*0.1</f>
        <v>149.30000000000001</v>
      </c>
      <c r="T17" s="16">
        <f>FatmaUsf[[#This Row],[Salary]]*0.03</f>
        <v>44.79</v>
      </c>
      <c r="U17" s="48">
        <f>FatmaUsf[[#This Row],[Salary]]-FatmaUsf[[#This Row],[Tax 10%]]+FatmaUsf[[#This Row],[Bonus 3%]]</f>
        <v>1388.49</v>
      </c>
      <c r="V17" s="17" t="str">
        <f>IF(FatmaUsf[[#This Row],[Net Salary]]&gt;=6000,"Over","Normal")</f>
        <v>Normal</v>
      </c>
      <c r="W17" s="57">
        <f>VLOOKUP(FatmaUsf[[#This Row],[Net Salary]],$Z$10:$AA$14,2)</f>
        <v>0.08</v>
      </c>
    </row>
    <row r="18" spans="1:23" ht="15.75" customHeight="1">
      <c r="A18" s="24">
        <v>1017</v>
      </c>
      <c r="B18" s="10" t="s">
        <v>119</v>
      </c>
      <c r="C18" s="10" t="s">
        <v>1088</v>
      </c>
      <c r="D18" s="41" t="str">
        <f>PROPER(TRIM(FatmaUsf[[#This Row],[Last Name]]&amp;" "&amp;FatmaUsf[[#This Row],[Last Name]]))</f>
        <v>Ziad Ziad</v>
      </c>
      <c r="E18" s="10" t="s">
        <v>99</v>
      </c>
      <c r="F18" s="10" t="s">
        <v>49</v>
      </c>
      <c r="G18" s="10" t="s">
        <v>19</v>
      </c>
      <c r="H18" s="11" t="s">
        <v>8</v>
      </c>
      <c r="I18" s="11" t="s">
        <v>25</v>
      </c>
      <c r="J18" s="12" t="s">
        <v>12</v>
      </c>
      <c r="K18" s="10" t="s">
        <v>1089</v>
      </c>
      <c r="L18" s="13">
        <v>6</v>
      </c>
      <c r="M18" s="14">
        <v>4</v>
      </c>
      <c r="N18" s="14">
        <v>1999</v>
      </c>
      <c r="O18" s="46">
        <f>DATE(FatmaUsf[[#This Row],[Hire Year]],FatmaUsf[[#This Row],[Hire Month]],FatmaUsf[[#This Row],[Hire Day]])</f>
        <v>36256</v>
      </c>
      <c r="P18" s="46">
        <f t="shared" ca="1" si="0"/>
        <v>46071</v>
      </c>
      <c r="Q18" s="14">
        <f ca="1">DATEDIF(FatmaUsf[[#This Row],[Hiring Date]],FatmaUsf[[#This Row],[current date]],"Y")</f>
        <v>26</v>
      </c>
      <c r="R18" s="15">
        <v>5857</v>
      </c>
      <c r="S18" s="53">
        <f>FatmaUsf[[#This Row],[Salary]]*0.1</f>
        <v>585.70000000000005</v>
      </c>
      <c r="T18" s="16">
        <f>FatmaUsf[[#This Row],[Salary]]*0.03</f>
        <v>175.70999999999998</v>
      </c>
      <c r="U18" s="48">
        <f>FatmaUsf[[#This Row],[Salary]]-FatmaUsf[[#This Row],[Tax 10%]]+FatmaUsf[[#This Row],[Bonus 3%]]</f>
        <v>5447.01</v>
      </c>
      <c r="V18" s="17" t="str">
        <f>IF(FatmaUsf[[#This Row],[Net Salary]]&gt;=6000,"Over","Normal")</f>
        <v>Normal</v>
      </c>
      <c r="W18" s="57">
        <f>VLOOKUP(FatmaUsf[[#This Row],[Net Salary]],$Z$10:$AA$14,2)</f>
        <v>0.05</v>
      </c>
    </row>
    <row r="19" spans="1:23" ht="15.75" customHeight="1">
      <c r="A19" s="24">
        <v>1018</v>
      </c>
      <c r="B19" s="10" t="s">
        <v>120</v>
      </c>
      <c r="C19" s="10" t="s">
        <v>121</v>
      </c>
      <c r="D19" s="41" t="str">
        <f>PROPER(TRIM(FatmaUsf[[#This Row],[Last Name]]&amp;" "&amp;FatmaUsf[[#This Row],[Last Name]]))</f>
        <v>Husayn Husayn</v>
      </c>
      <c r="E19" s="10" t="s">
        <v>100</v>
      </c>
      <c r="F19" s="10" t="s">
        <v>50</v>
      </c>
      <c r="G19" s="10" t="s">
        <v>19</v>
      </c>
      <c r="H19" s="11" t="s">
        <v>11</v>
      </c>
      <c r="I19" s="11" t="s">
        <v>26</v>
      </c>
      <c r="J19" s="12" t="s">
        <v>12</v>
      </c>
      <c r="K19" s="10" t="s">
        <v>221</v>
      </c>
      <c r="L19" s="13">
        <v>12</v>
      </c>
      <c r="M19" s="14">
        <v>4</v>
      </c>
      <c r="N19" s="14">
        <v>2004</v>
      </c>
      <c r="O19" s="46">
        <f>DATE(FatmaUsf[[#This Row],[Hire Year]],FatmaUsf[[#This Row],[Hire Month]],FatmaUsf[[#This Row],[Hire Day]])</f>
        <v>38089</v>
      </c>
      <c r="P19" s="46">
        <f t="shared" ca="1" si="0"/>
        <v>46071</v>
      </c>
      <c r="Q19" s="14">
        <f ca="1">DATEDIF(FatmaUsf[[#This Row],[Hiring Date]],FatmaUsf[[#This Row],[current date]],"Y")</f>
        <v>21</v>
      </c>
      <c r="R19" s="15">
        <v>5278</v>
      </c>
      <c r="S19" s="53">
        <f>FatmaUsf[[#This Row],[Salary]]*0.1</f>
        <v>527.80000000000007</v>
      </c>
      <c r="T19" s="16">
        <f>FatmaUsf[[#This Row],[Salary]]*0.03</f>
        <v>158.34</v>
      </c>
      <c r="U19" s="48">
        <f>FatmaUsf[[#This Row],[Salary]]-FatmaUsf[[#This Row],[Tax 10%]]+FatmaUsf[[#This Row],[Bonus 3%]]</f>
        <v>4908.54</v>
      </c>
      <c r="V19" s="17" t="str">
        <f>IF(FatmaUsf[[#This Row],[Net Salary]]&gt;=6000,"Over","Normal")</f>
        <v>Normal</v>
      </c>
      <c r="W19" s="57">
        <f>VLOOKUP(FatmaUsf[[#This Row],[Net Salary]],$Z$10:$AA$14,2)</f>
        <v>0.05</v>
      </c>
    </row>
    <row r="20" spans="1:23" ht="15.75" customHeight="1">
      <c r="A20" s="24">
        <v>1019</v>
      </c>
      <c r="B20" s="10" t="s">
        <v>122</v>
      </c>
      <c r="C20" s="10" t="s">
        <v>123</v>
      </c>
      <c r="D20" s="41" t="str">
        <f>PROPER(TRIM(FatmaUsf[[#This Row],[Last Name]]&amp;" "&amp;FatmaUsf[[#This Row],[Last Name]]))</f>
        <v>Salim Salim</v>
      </c>
      <c r="E20" s="10" t="s">
        <v>99</v>
      </c>
      <c r="F20" s="10" t="s">
        <v>51</v>
      </c>
      <c r="G20" s="10" t="s">
        <v>1100</v>
      </c>
      <c r="H20" s="11" t="s">
        <v>8</v>
      </c>
      <c r="I20" s="11" t="s">
        <v>26</v>
      </c>
      <c r="J20" s="12" t="s">
        <v>12</v>
      </c>
      <c r="K20" s="10" t="s">
        <v>222</v>
      </c>
      <c r="L20" s="13">
        <v>13</v>
      </c>
      <c r="M20" s="14">
        <v>4</v>
      </c>
      <c r="N20" s="14">
        <v>1999</v>
      </c>
      <c r="O20" s="46">
        <f>DATE(FatmaUsf[[#This Row],[Hire Year]],FatmaUsf[[#This Row],[Hire Month]],FatmaUsf[[#This Row],[Hire Day]])</f>
        <v>36263</v>
      </c>
      <c r="P20" s="46">
        <f t="shared" ca="1" si="0"/>
        <v>46071</v>
      </c>
      <c r="Q20" s="14">
        <f ca="1">DATEDIF(FatmaUsf[[#This Row],[Hiring Date]],FatmaUsf[[#This Row],[current date]],"Y")</f>
        <v>26</v>
      </c>
      <c r="R20" s="15">
        <v>5710</v>
      </c>
      <c r="S20" s="53">
        <f>FatmaUsf[[#This Row],[Salary]]*0.1</f>
        <v>571</v>
      </c>
      <c r="T20" s="16">
        <f>FatmaUsf[[#This Row],[Salary]]*0.03</f>
        <v>171.29999999999998</v>
      </c>
      <c r="U20" s="48">
        <f>FatmaUsf[[#This Row],[Salary]]-FatmaUsf[[#This Row],[Tax 10%]]+FatmaUsf[[#This Row],[Bonus 3%]]</f>
        <v>5310.3</v>
      </c>
      <c r="V20" s="17" t="str">
        <f>IF(FatmaUsf[[#This Row],[Net Salary]]&gt;=6000,"Over","Normal")</f>
        <v>Normal</v>
      </c>
      <c r="W20" s="57">
        <f>VLOOKUP(FatmaUsf[[#This Row],[Net Salary]],$Z$10:$AA$14,2)</f>
        <v>0.05</v>
      </c>
    </row>
    <row r="21" spans="1:23" ht="15.75" customHeight="1">
      <c r="A21" s="24">
        <v>1020</v>
      </c>
      <c r="B21" s="10" t="s">
        <v>124</v>
      </c>
      <c r="C21" s="10" t="s">
        <v>125</v>
      </c>
      <c r="D21" s="41" t="str">
        <f>PROPER(TRIM(FatmaUsf[[#This Row],[Last Name]]&amp;" "&amp;FatmaUsf[[#This Row],[Last Name]]))</f>
        <v>Tutwnji Tutwnji</v>
      </c>
      <c r="E21" s="10" t="s">
        <v>100</v>
      </c>
      <c r="F21" s="10" t="s">
        <v>52</v>
      </c>
      <c r="G21" s="10" t="s">
        <v>13</v>
      </c>
      <c r="H21" s="11" t="s">
        <v>8</v>
      </c>
      <c r="I21" s="11" t="s">
        <v>15</v>
      </c>
      <c r="J21" s="12" t="s">
        <v>12</v>
      </c>
      <c r="K21" s="10" t="s">
        <v>223</v>
      </c>
      <c r="L21" s="13">
        <v>28</v>
      </c>
      <c r="M21" s="14">
        <v>4</v>
      </c>
      <c r="N21" s="14">
        <v>2020</v>
      </c>
      <c r="O21" s="46">
        <f>DATE(FatmaUsf[[#This Row],[Hire Year]],FatmaUsf[[#This Row],[Hire Month]],FatmaUsf[[#This Row],[Hire Day]])</f>
        <v>43949</v>
      </c>
      <c r="P21" s="46">
        <f t="shared" ca="1" si="0"/>
        <v>46071</v>
      </c>
      <c r="Q21" s="14">
        <f ca="1">DATEDIF(FatmaUsf[[#This Row],[Hiring Date]],FatmaUsf[[#This Row],[current date]],"Y")</f>
        <v>5</v>
      </c>
      <c r="R21" s="15">
        <v>6145</v>
      </c>
      <c r="S21" s="53">
        <f>FatmaUsf[[#This Row],[Salary]]*0.1</f>
        <v>614.5</v>
      </c>
      <c r="T21" s="16">
        <f>FatmaUsf[[#This Row],[Salary]]*0.03</f>
        <v>184.35</v>
      </c>
      <c r="U21" s="48">
        <f>FatmaUsf[[#This Row],[Salary]]-FatmaUsf[[#This Row],[Tax 10%]]+FatmaUsf[[#This Row],[Bonus 3%]]</f>
        <v>5714.85</v>
      </c>
      <c r="V21" s="17" t="str">
        <f>IF(FatmaUsf[[#This Row],[Net Salary]]&gt;=6000,"Over","Normal")</f>
        <v>Normal</v>
      </c>
      <c r="W21" s="57">
        <f>VLOOKUP(FatmaUsf[[#This Row],[Net Salary]],$Z$10:$AA$14,2)</f>
        <v>0.05</v>
      </c>
    </row>
    <row r="22" spans="1:23" ht="15.75" customHeight="1">
      <c r="A22" s="24">
        <v>1021</v>
      </c>
      <c r="B22" s="10" t="s">
        <v>126</v>
      </c>
      <c r="C22" s="10" t="s">
        <v>127</v>
      </c>
      <c r="D22" s="41" t="str">
        <f>PROPER(TRIM(FatmaUsf[[#This Row],[Last Name]]&amp;" "&amp;FatmaUsf[[#This Row],[Last Name]]))</f>
        <v>Alsafdi Alsafdi</v>
      </c>
      <c r="E22" s="10" t="s">
        <v>100</v>
      </c>
      <c r="F22" s="10" t="s">
        <v>53</v>
      </c>
      <c r="G22" s="10" t="s">
        <v>17</v>
      </c>
      <c r="H22" s="11" t="s">
        <v>11</v>
      </c>
      <c r="I22" s="11" t="s">
        <v>26</v>
      </c>
      <c r="J22" s="12" t="s">
        <v>23</v>
      </c>
      <c r="K22" s="10" t="s">
        <v>224</v>
      </c>
      <c r="L22" s="13">
        <v>1</v>
      </c>
      <c r="M22" s="14">
        <v>5</v>
      </c>
      <c r="N22" s="14">
        <v>2012</v>
      </c>
      <c r="O22" s="46">
        <f>DATE(FatmaUsf[[#This Row],[Hire Year]],FatmaUsf[[#This Row],[Hire Month]],FatmaUsf[[#This Row],[Hire Day]])</f>
        <v>41030</v>
      </c>
      <c r="P22" s="46">
        <f t="shared" ca="1" si="0"/>
        <v>46071</v>
      </c>
      <c r="Q22" s="14">
        <f ca="1">DATEDIF(FatmaUsf[[#This Row],[Hiring Date]],FatmaUsf[[#This Row],[current date]],"Y")</f>
        <v>13</v>
      </c>
      <c r="R22" s="15">
        <v>5278</v>
      </c>
      <c r="S22" s="53">
        <f>FatmaUsf[[#This Row],[Salary]]*0.1</f>
        <v>527.80000000000007</v>
      </c>
      <c r="T22" s="16">
        <f>FatmaUsf[[#This Row],[Salary]]*0.03</f>
        <v>158.34</v>
      </c>
      <c r="U22" s="48">
        <f>FatmaUsf[[#This Row],[Salary]]-FatmaUsf[[#This Row],[Tax 10%]]+FatmaUsf[[#This Row],[Bonus 3%]]</f>
        <v>4908.54</v>
      </c>
      <c r="V22" s="17" t="str">
        <f>IF(FatmaUsf[[#This Row],[Net Salary]]&gt;=6000,"Over","Normal")</f>
        <v>Normal</v>
      </c>
      <c r="W22" s="57">
        <f>VLOOKUP(FatmaUsf[[#This Row],[Net Salary]],$Z$10:$AA$14,2)</f>
        <v>0.05</v>
      </c>
    </row>
    <row r="23" spans="1:23" ht="15.75" customHeight="1">
      <c r="A23" s="24">
        <v>1022</v>
      </c>
      <c r="B23" s="10" t="s">
        <v>128</v>
      </c>
      <c r="C23" s="10" t="s">
        <v>129</v>
      </c>
      <c r="D23" s="41" t="str">
        <f>PROPER(TRIM(FatmaUsf[[#This Row],[Last Name]]&amp;" "&amp;FatmaUsf[[#This Row],[Last Name]]))</f>
        <v>Jalal Jalal</v>
      </c>
      <c r="E23" s="10" t="s">
        <v>100</v>
      </c>
      <c r="F23" s="10" t="s">
        <v>54</v>
      </c>
      <c r="G23" s="10" t="s">
        <v>17</v>
      </c>
      <c r="H23" s="11" t="s">
        <v>11</v>
      </c>
      <c r="I23" s="11" t="s">
        <v>9</v>
      </c>
      <c r="J23" s="12" t="s">
        <v>10</v>
      </c>
      <c r="K23" s="10" t="s">
        <v>225</v>
      </c>
      <c r="L23" s="13">
        <v>7</v>
      </c>
      <c r="M23" s="14">
        <v>5</v>
      </c>
      <c r="N23" s="14">
        <v>1996</v>
      </c>
      <c r="O23" s="46">
        <f>DATE(FatmaUsf[[#This Row],[Hire Year]],FatmaUsf[[#This Row],[Hire Month]],FatmaUsf[[#This Row],[Hire Day]])</f>
        <v>35192</v>
      </c>
      <c r="P23" s="46">
        <f t="shared" ca="1" si="0"/>
        <v>46071</v>
      </c>
      <c r="Q23" s="14">
        <f ca="1">DATEDIF(FatmaUsf[[#This Row],[Hiring Date]],FatmaUsf[[#This Row],[current date]],"Y")</f>
        <v>29</v>
      </c>
      <c r="R23" s="15">
        <v>6409</v>
      </c>
      <c r="S23" s="53">
        <f>FatmaUsf[[#This Row],[Salary]]*0.1</f>
        <v>640.90000000000009</v>
      </c>
      <c r="T23" s="16">
        <f>FatmaUsf[[#This Row],[Salary]]*0.03</f>
        <v>192.26999999999998</v>
      </c>
      <c r="U23" s="48">
        <f>FatmaUsf[[#This Row],[Salary]]-FatmaUsf[[#This Row],[Tax 10%]]+FatmaUsf[[#This Row],[Bonus 3%]]</f>
        <v>5960.3700000000008</v>
      </c>
      <c r="V23" s="17" t="str">
        <f>IF(FatmaUsf[[#This Row],[Net Salary]]&gt;=6000,"Over","Normal")</f>
        <v>Normal</v>
      </c>
      <c r="W23" s="57">
        <f>VLOOKUP(FatmaUsf[[#This Row],[Net Salary]],$Z$10:$AA$14,2)</f>
        <v>0.05</v>
      </c>
    </row>
    <row r="24" spans="1:23" ht="15.75" customHeight="1">
      <c r="A24" s="24">
        <v>1023</v>
      </c>
      <c r="B24" s="10" t="s">
        <v>130</v>
      </c>
      <c r="C24" s="10" t="s">
        <v>131</v>
      </c>
      <c r="D24" s="41" t="str">
        <f>PROPER(TRIM(FatmaUsf[[#This Row],[Last Name]]&amp;" "&amp;FatmaUsf[[#This Row],[Last Name]]))</f>
        <v>Sahalul Sahalul</v>
      </c>
      <c r="E24" s="10" t="s">
        <v>100</v>
      </c>
      <c r="F24" s="10" t="s">
        <v>55</v>
      </c>
      <c r="G24" s="10" t="s">
        <v>13</v>
      </c>
      <c r="H24" s="11" t="s">
        <v>8</v>
      </c>
      <c r="I24" s="11" t="s">
        <v>9</v>
      </c>
      <c r="J24" s="12" t="s">
        <v>12</v>
      </c>
      <c r="K24" s="10" t="s">
        <v>226</v>
      </c>
      <c r="L24" s="13">
        <v>12</v>
      </c>
      <c r="M24" s="14">
        <v>5</v>
      </c>
      <c r="N24" s="14">
        <v>2007</v>
      </c>
      <c r="O24" s="46">
        <f>DATE(FatmaUsf[[#This Row],[Hire Year]],FatmaUsf[[#This Row],[Hire Month]],FatmaUsf[[#This Row],[Hire Day]])</f>
        <v>39214</v>
      </c>
      <c r="P24" s="46">
        <f t="shared" ca="1" si="0"/>
        <v>46071</v>
      </c>
      <c r="Q24" s="14">
        <f ca="1">DATEDIF(FatmaUsf[[#This Row],[Hiring Date]],FatmaUsf[[#This Row],[current date]],"Y")</f>
        <v>18</v>
      </c>
      <c r="R24" s="15">
        <v>7478</v>
      </c>
      <c r="S24" s="53">
        <f>FatmaUsf[[#This Row],[Salary]]*0.1</f>
        <v>747.80000000000007</v>
      </c>
      <c r="T24" s="16">
        <f>FatmaUsf[[#This Row],[Salary]]*0.03</f>
        <v>224.34</v>
      </c>
      <c r="U24" s="48">
        <f>FatmaUsf[[#This Row],[Salary]]-FatmaUsf[[#This Row],[Tax 10%]]+FatmaUsf[[#This Row],[Bonus 3%]]</f>
        <v>6954.54</v>
      </c>
      <c r="V24" s="17" t="str">
        <f>IF(FatmaUsf[[#This Row],[Net Salary]]&gt;=6000,"Over","Normal")</f>
        <v>Over</v>
      </c>
      <c r="W24" s="57">
        <f>VLOOKUP(FatmaUsf[[#This Row],[Net Salary]],$Z$10:$AA$14,2)</f>
        <v>0.02</v>
      </c>
    </row>
    <row r="25" spans="1:23" ht="15.75" customHeight="1">
      <c r="A25" s="24">
        <v>1024</v>
      </c>
      <c r="B25" s="10" t="s">
        <v>102</v>
      </c>
      <c r="C25" s="10" t="s">
        <v>102</v>
      </c>
      <c r="D25" s="41" t="str">
        <f>PROPER(TRIM(FatmaUsf[[#This Row],[Last Name]]&amp;" "&amp;FatmaUsf[[#This Row],[Last Name]]))</f>
        <v>Ahmad Ahmad</v>
      </c>
      <c r="E25" s="10" t="s">
        <v>100</v>
      </c>
      <c r="F25" s="10" t="s">
        <v>56</v>
      </c>
      <c r="G25" s="10" t="s">
        <v>1100</v>
      </c>
      <c r="H25" s="11" t="s">
        <v>8</v>
      </c>
      <c r="I25" s="11" t="s">
        <v>9</v>
      </c>
      <c r="J25" s="12" t="s">
        <v>20</v>
      </c>
      <c r="K25" s="10" t="s">
        <v>227</v>
      </c>
      <c r="L25" s="13">
        <v>18</v>
      </c>
      <c r="M25" s="14">
        <v>5</v>
      </c>
      <c r="N25" s="14">
        <v>2002</v>
      </c>
      <c r="O25" s="46">
        <f>DATE(FatmaUsf[[#This Row],[Hire Year]],FatmaUsf[[#This Row],[Hire Month]],FatmaUsf[[#This Row],[Hire Day]])</f>
        <v>37394</v>
      </c>
      <c r="P25" s="46">
        <f t="shared" ca="1" si="0"/>
        <v>46071</v>
      </c>
      <c r="Q25" s="14">
        <f ca="1">DATEDIF(FatmaUsf[[#This Row],[Hiring Date]],FatmaUsf[[#This Row],[current date]],"Y")</f>
        <v>23</v>
      </c>
      <c r="R25" s="15">
        <v>4621</v>
      </c>
      <c r="S25" s="53">
        <f>FatmaUsf[[#This Row],[Salary]]*0.1</f>
        <v>462.1</v>
      </c>
      <c r="T25" s="16">
        <f>FatmaUsf[[#This Row],[Salary]]*0.03</f>
        <v>138.63</v>
      </c>
      <c r="U25" s="48">
        <f>FatmaUsf[[#This Row],[Salary]]-FatmaUsf[[#This Row],[Tax 10%]]+FatmaUsf[[#This Row],[Bonus 3%]]</f>
        <v>4297.53</v>
      </c>
      <c r="V25" s="17" t="str">
        <f>IF(FatmaUsf[[#This Row],[Net Salary]]&gt;=6000,"Over","Normal")</f>
        <v>Normal</v>
      </c>
      <c r="W25" s="57">
        <f>VLOOKUP(FatmaUsf[[#This Row],[Net Salary]],$Z$10:$AA$14,2)</f>
        <v>0.05</v>
      </c>
    </row>
    <row r="26" spans="1:23" ht="15.75" customHeight="1">
      <c r="A26" s="24">
        <v>1025</v>
      </c>
      <c r="B26" s="10" t="s">
        <v>103</v>
      </c>
      <c r="C26" s="10" t="s">
        <v>132</v>
      </c>
      <c r="D26" s="41" t="str">
        <f>PROPER(TRIM(FatmaUsf[[#This Row],[Last Name]]&amp;" "&amp;FatmaUsf[[#This Row],[Last Name]]))</f>
        <v>Altarah Altarah</v>
      </c>
      <c r="E26" s="10" t="s">
        <v>100</v>
      </c>
      <c r="F26" s="10" t="s">
        <v>57</v>
      </c>
      <c r="G26" s="10" t="s">
        <v>17</v>
      </c>
      <c r="H26" s="11" t="s">
        <v>11</v>
      </c>
      <c r="I26" s="11" t="s">
        <v>27</v>
      </c>
      <c r="J26" s="12" t="s">
        <v>20</v>
      </c>
      <c r="K26" s="10" t="s">
        <v>228</v>
      </c>
      <c r="L26" s="13">
        <v>19</v>
      </c>
      <c r="M26" s="14">
        <v>5</v>
      </c>
      <c r="N26" s="14">
        <v>2002</v>
      </c>
      <c r="O26" s="46">
        <f>DATE(FatmaUsf[[#This Row],[Hire Year]],FatmaUsf[[#This Row],[Hire Month]],FatmaUsf[[#This Row],[Hire Day]])</f>
        <v>37395</v>
      </c>
      <c r="P26" s="46">
        <f t="shared" ca="1" si="0"/>
        <v>46071</v>
      </c>
      <c r="Q26" s="14">
        <f ca="1">DATEDIF(FatmaUsf[[#This Row],[Hiring Date]],FatmaUsf[[#This Row],[current date]],"Y")</f>
        <v>23</v>
      </c>
      <c r="R26" s="15">
        <v>2093</v>
      </c>
      <c r="S26" s="53">
        <f>FatmaUsf[[#This Row],[Salary]]*0.1</f>
        <v>209.3</v>
      </c>
      <c r="T26" s="16">
        <f>FatmaUsf[[#This Row],[Salary]]*0.03</f>
        <v>62.79</v>
      </c>
      <c r="U26" s="48">
        <f>FatmaUsf[[#This Row],[Salary]]-FatmaUsf[[#This Row],[Tax 10%]]+FatmaUsf[[#This Row],[Bonus 3%]]</f>
        <v>1946.49</v>
      </c>
      <c r="V26" s="17" t="str">
        <f>IF(FatmaUsf[[#This Row],[Net Salary]]&gt;=6000,"Over","Normal")</f>
        <v>Normal</v>
      </c>
      <c r="W26" s="57">
        <f>VLOOKUP(FatmaUsf[[#This Row],[Net Salary]],$Z$10:$AA$14,2)</f>
        <v>0.08</v>
      </c>
    </row>
    <row r="27" spans="1:23" ht="15.75" customHeight="1">
      <c r="A27" s="24">
        <v>1026</v>
      </c>
      <c r="B27" s="10" t="s">
        <v>133</v>
      </c>
      <c r="C27" s="10" t="s">
        <v>134</v>
      </c>
      <c r="D27" s="41" t="str">
        <f>PROPER(TRIM(FatmaUsf[[#This Row],[Last Name]]&amp;" "&amp;FatmaUsf[[#This Row],[Last Name]]))</f>
        <v>Abu Abu</v>
      </c>
      <c r="E27" s="10" t="s">
        <v>99</v>
      </c>
      <c r="F27" s="10" t="s">
        <v>58</v>
      </c>
      <c r="G27" s="10" t="s">
        <v>1100</v>
      </c>
      <c r="H27" s="11" t="s">
        <v>11</v>
      </c>
      <c r="I27" s="11" t="s">
        <v>264</v>
      </c>
      <c r="J27" s="12" t="s">
        <v>12</v>
      </c>
      <c r="K27" s="10" t="s">
        <v>229</v>
      </c>
      <c r="L27" s="13">
        <v>20</v>
      </c>
      <c r="M27" s="14">
        <v>5</v>
      </c>
      <c r="N27" s="14">
        <v>2016</v>
      </c>
      <c r="O27" s="46">
        <f>DATE(FatmaUsf[[#This Row],[Hire Year]],FatmaUsf[[#This Row],[Hire Month]],FatmaUsf[[#This Row],[Hire Day]])</f>
        <v>42510</v>
      </c>
      <c r="P27" s="46">
        <f t="shared" ca="1" si="0"/>
        <v>46071</v>
      </c>
      <c r="Q27" s="14">
        <f ca="1">DATEDIF(FatmaUsf[[#This Row],[Hiring Date]],FatmaUsf[[#This Row],[current date]],"Y")</f>
        <v>9</v>
      </c>
      <c r="R27" s="15">
        <v>7333</v>
      </c>
      <c r="S27" s="53">
        <f>FatmaUsf[[#This Row],[Salary]]*0.1</f>
        <v>733.30000000000007</v>
      </c>
      <c r="T27" s="16">
        <f>FatmaUsf[[#This Row],[Salary]]*0.03</f>
        <v>219.98999999999998</v>
      </c>
      <c r="U27" s="48">
        <f>FatmaUsf[[#This Row],[Salary]]-FatmaUsf[[#This Row],[Tax 10%]]+FatmaUsf[[#This Row],[Bonus 3%]]</f>
        <v>6819.69</v>
      </c>
      <c r="V27" s="17" t="str">
        <f>IF(FatmaUsf[[#This Row],[Net Salary]]&gt;=6000,"Over","Normal")</f>
        <v>Over</v>
      </c>
      <c r="W27" s="57">
        <f>VLOOKUP(FatmaUsf[[#This Row],[Net Salary]],$Z$10:$AA$14,2)</f>
        <v>0.02</v>
      </c>
    </row>
    <row r="28" spans="1:23" ht="15.75" customHeight="1">
      <c r="A28" s="24">
        <v>1027</v>
      </c>
      <c r="B28" s="10" t="s">
        <v>129</v>
      </c>
      <c r="C28" s="10" t="s">
        <v>135</v>
      </c>
      <c r="D28" s="41" t="str">
        <f>PROPER(TRIM(FatmaUsf[[#This Row],[Last Name]]&amp;" "&amp;FatmaUsf[[#This Row],[Last Name]]))</f>
        <v>Almuluhi Almuluhi</v>
      </c>
      <c r="E28" s="10" t="s">
        <v>100</v>
      </c>
      <c r="F28" s="10" t="s">
        <v>59</v>
      </c>
      <c r="G28" s="10" t="s">
        <v>17</v>
      </c>
      <c r="H28" s="11" t="s">
        <v>22</v>
      </c>
      <c r="I28" s="11" t="s">
        <v>15</v>
      </c>
      <c r="J28" s="12" t="s">
        <v>10</v>
      </c>
      <c r="K28" s="10" t="s">
        <v>230</v>
      </c>
      <c r="L28" s="13">
        <v>26</v>
      </c>
      <c r="M28" s="14">
        <v>5</v>
      </c>
      <c r="N28" s="14">
        <v>2000</v>
      </c>
      <c r="O28" s="46">
        <f>DATE(FatmaUsf[[#This Row],[Hire Year]],FatmaUsf[[#This Row],[Hire Month]],FatmaUsf[[#This Row],[Hire Day]])</f>
        <v>36672</v>
      </c>
      <c r="P28" s="46">
        <f t="shared" ca="1" si="0"/>
        <v>46071</v>
      </c>
      <c r="Q28" s="14">
        <f ca="1">DATEDIF(FatmaUsf[[#This Row],[Hiring Date]],FatmaUsf[[#This Row],[current date]],"Y")</f>
        <v>25</v>
      </c>
      <c r="R28" s="15">
        <v>1194</v>
      </c>
      <c r="S28" s="53">
        <f>FatmaUsf[[#This Row],[Salary]]*0.1</f>
        <v>119.4</v>
      </c>
      <c r="T28" s="16">
        <f>FatmaUsf[[#This Row],[Salary]]*0.03</f>
        <v>35.82</v>
      </c>
      <c r="U28" s="48">
        <f>FatmaUsf[[#This Row],[Salary]]-FatmaUsf[[#This Row],[Tax 10%]]+FatmaUsf[[#This Row],[Bonus 3%]]</f>
        <v>1110.4199999999998</v>
      </c>
      <c r="V28" s="17" t="str">
        <f>IF(FatmaUsf[[#This Row],[Net Salary]]&gt;=6000,"Over","Normal")</f>
        <v>Normal</v>
      </c>
      <c r="W28" s="57">
        <f>VLOOKUP(FatmaUsf[[#This Row],[Net Salary]],$Z$10:$AA$14,2)</f>
        <v>0.08</v>
      </c>
    </row>
    <row r="29" spans="1:23" ht="15.75" customHeight="1">
      <c r="A29" s="24">
        <v>1028</v>
      </c>
      <c r="B29" s="10" t="s">
        <v>136</v>
      </c>
      <c r="C29" s="10" t="s">
        <v>137</v>
      </c>
      <c r="D29" s="41" t="str">
        <f>PROPER(TRIM(FatmaUsf[[#This Row],[Last Name]]&amp;" "&amp;FatmaUsf[[#This Row],[Last Name]]))</f>
        <v>Mius Mius</v>
      </c>
      <c r="E29" s="10" t="s">
        <v>99</v>
      </c>
      <c r="F29" s="10" t="s">
        <v>60</v>
      </c>
      <c r="G29" s="10" t="s">
        <v>7</v>
      </c>
      <c r="H29" s="11" t="s">
        <v>8</v>
      </c>
      <c r="I29" s="11" t="s">
        <v>15</v>
      </c>
      <c r="J29" s="12" t="s">
        <v>23</v>
      </c>
      <c r="K29" s="10" t="s">
        <v>231</v>
      </c>
      <c r="L29" s="13">
        <v>7</v>
      </c>
      <c r="M29" s="14">
        <v>6</v>
      </c>
      <c r="N29" s="14">
        <v>2000</v>
      </c>
      <c r="O29" s="46">
        <f>DATE(FatmaUsf[[#This Row],[Hire Year]],FatmaUsf[[#This Row],[Hire Month]],FatmaUsf[[#This Row],[Hire Day]])</f>
        <v>36684</v>
      </c>
      <c r="P29" s="46">
        <f t="shared" ca="1" si="0"/>
        <v>46071</v>
      </c>
      <c r="Q29" s="14">
        <f ca="1">DATEDIF(FatmaUsf[[#This Row],[Hiring Date]],FatmaUsf[[#This Row],[current date]],"Y")</f>
        <v>25</v>
      </c>
      <c r="R29" s="15">
        <v>5118</v>
      </c>
      <c r="S29" s="53">
        <f>FatmaUsf[[#This Row],[Salary]]*0.1</f>
        <v>511.8</v>
      </c>
      <c r="T29" s="16">
        <f>FatmaUsf[[#This Row],[Salary]]*0.03</f>
        <v>153.54</v>
      </c>
      <c r="U29" s="48">
        <f>FatmaUsf[[#This Row],[Salary]]-FatmaUsf[[#This Row],[Tax 10%]]+FatmaUsf[[#This Row],[Bonus 3%]]</f>
        <v>4759.74</v>
      </c>
      <c r="V29" s="17" t="str">
        <f>IF(FatmaUsf[[#This Row],[Net Salary]]&gt;=6000,"Over","Normal")</f>
        <v>Normal</v>
      </c>
      <c r="W29" s="57">
        <f>VLOOKUP(FatmaUsf[[#This Row],[Net Salary]],$Z$10:$AA$14,2)</f>
        <v>0.05</v>
      </c>
    </row>
    <row r="30" spans="1:23" ht="15.75" customHeight="1">
      <c r="A30" s="24">
        <v>1029</v>
      </c>
      <c r="B30" s="10" t="s">
        <v>138</v>
      </c>
      <c r="C30" s="10" t="s">
        <v>139</v>
      </c>
      <c r="D30" s="41" t="str">
        <f>PROPER(TRIM(FatmaUsf[[#This Row],[Last Name]]&amp;" "&amp;FatmaUsf[[#This Row],[Last Name]]))</f>
        <v>Aljabaan Aljabaan</v>
      </c>
      <c r="E30" s="10" t="s">
        <v>99</v>
      </c>
      <c r="F30" s="10" t="s">
        <v>61</v>
      </c>
      <c r="G30" s="10" t="s">
        <v>17</v>
      </c>
      <c r="H30" s="11" t="s">
        <v>11</v>
      </c>
      <c r="I30" s="11" t="s">
        <v>28</v>
      </c>
      <c r="J30" s="12" t="s">
        <v>12</v>
      </c>
      <c r="K30" s="10" t="s">
        <v>232</v>
      </c>
      <c r="L30" s="13">
        <v>8</v>
      </c>
      <c r="M30" s="14">
        <v>6</v>
      </c>
      <c r="N30" s="14">
        <v>2015</v>
      </c>
      <c r="O30" s="46">
        <f>DATE(FatmaUsf[[#This Row],[Hire Year]],FatmaUsf[[#This Row],[Hire Month]],FatmaUsf[[#This Row],[Hire Day]])</f>
        <v>42163</v>
      </c>
      <c r="P30" s="46">
        <f t="shared" ca="1" si="0"/>
        <v>46071</v>
      </c>
      <c r="Q30" s="14">
        <f ca="1">DATEDIF(FatmaUsf[[#This Row],[Hiring Date]],FatmaUsf[[#This Row],[current date]],"Y")</f>
        <v>10</v>
      </c>
      <c r="R30" s="15">
        <v>5373</v>
      </c>
      <c r="S30" s="53">
        <f>FatmaUsf[[#This Row],[Salary]]*0.1</f>
        <v>537.30000000000007</v>
      </c>
      <c r="T30" s="16">
        <f>FatmaUsf[[#This Row],[Salary]]*0.03</f>
        <v>161.19</v>
      </c>
      <c r="U30" s="48">
        <f>FatmaUsf[[#This Row],[Salary]]-FatmaUsf[[#This Row],[Tax 10%]]+FatmaUsf[[#This Row],[Bonus 3%]]</f>
        <v>4996.8899999999994</v>
      </c>
      <c r="V30" s="17" t="str">
        <f>IF(FatmaUsf[[#This Row],[Net Salary]]&gt;=6000,"Over","Normal")</f>
        <v>Normal</v>
      </c>
      <c r="W30" s="57">
        <f>VLOOKUP(FatmaUsf[[#This Row],[Net Salary]],$Z$10:$AA$14,2)</f>
        <v>0.05</v>
      </c>
    </row>
    <row r="31" spans="1:23" ht="15.75" customHeight="1">
      <c r="A31" s="24">
        <v>1030</v>
      </c>
      <c r="B31" s="10" t="s">
        <v>140</v>
      </c>
      <c r="C31" s="10" t="s">
        <v>141</v>
      </c>
      <c r="D31" s="41" t="str">
        <f>PROPER(TRIM(FatmaUsf[[#This Row],[Last Name]]&amp;" "&amp;FatmaUsf[[#This Row],[Last Name]]))</f>
        <v>Shanan Shanan</v>
      </c>
      <c r="E31" s="10" t="s">
        <v>100</v>
      </c>
      <c r="F31" s="10" t="s">
        <v>62</v>
      </c>
      <c r="G31" s="10" t="s">
        <v>17</v>
      </c>
      <c r="H31" s="11" t="s">
        <v>14</v>
      </c>
      <c r="I31" s="11" t="s">
        <v>29</v>
      </c>
      <c r="J31" s="12" t="s">
        <v>12</v>
      </c>
      <c r="K31" s="10" t="s">
        <v>233</v>
      </c>
      <c r="L31" s="13">
        <v>10</v>
      </c>
      <c r="M31" s="14">
        <v>6</v>
      </c>
      <c r="N31" s="14">
        <v>2020</v>
      </c>
      <c r="O31" s="46">
        <f>DATE(FatmaUsf[[#This Row],[Hire Year]],FatmaUsf[[#This Row],[Hire Month]],FatmaUsf[[#This Row],[Hire Day]])</f>
        <v>43992</v>
      </c>
      <c r="P31" s="46">
        <f t="shared" ca="1" si="0"/>
        <v>46071</v>
      </c>
      <c r="Q31" s="14">
        <f ca="1">DATEDIF(FatmaUsf[[#This Row],[Hiring Date]],FatmaUsf[[#This Row],[current date]],"Y")</f>
        <v>5</v>
      </c>
      <c r="R31" s="15">
        <v>1708</v>
      </c>
      <c r="S31" s="53">
        <f>FatmaUsf[[#This Row],[Salary]]*0.1</f>
        <v>170.8</v>
      </c>
      <c r="T31" s="16">
        <f>FatmaUsf[[#This Row],[Salary]]*0.03</f>
        <v>51.239999999999995</v>
      </c>
      <c r="U31" s="48">
        <f>FatmaUsf[[#This Row],[Salary]]-FatmaUsf[[#This Row],[Tax 10%]]+FatmaUsf[[#This Row],[Bonus 3%]]</f>
        <v>1588.44</v>
      </c>
      <c r="V31" s="17" t="str">
        <f>IF(FatmaUsf[[#This Row],[Net Salary]]&gt;=6000,"Over","Normal")</f>
        <v>Normal</v>
      </c>
      <c r="W31" s="57">
        <f>VLOOKUP(FatmaUsf[[#This Row],[Net Salary]],$Z$10:$AA$14,2)</f>
        <v>0.08</v>
      </c>
    </row>
    <row r="32" spans="1:23" ht="15.75" customHeight="1">
      <c r="A32" s="24">
        <v>1031</v>
      </c>
      <c r="B32" s="10" t="s">
        <v>142</v>
      </c>
      <c r="C32" s="10" t="s">
        <v>143</v>
      </c>
      <c r="D32" s="41" t="str">
        <f>PROPER(TRIM(FatmaUsf[[#This Row],[Last Name]]&amp;" "&amp;FatmaUsf[[#This Row],[Last Name]]))</f>
        <v>Alhaj Alhaj</v>
      </c>
      <c r="E32" s="10" t="s">
        <v>99</v>
      </c>
      <c r="F32" s="10" t="s">
        <v>63</v>
      </c>
      <c r="G32" s="10" t="s">
        <v>19</v>
      </c>
      <c r="H32" s="11" t="s">
        <v>8</v>
      </c>
      <c r="I32" s="11" t="s">
        <v>264</v>
      </c>
      <c r="J32" s="12" t="s">
        <v>12</v>
      </c>
      <c r="K32" s="10" t="s">
        <v>234</v>
      </c>
      <c r="L32" s="13">
        <v>14</v>
      </c>
      <c r="M32" s="14">
        <v>6</v>
      </c>
      <c r="N32" s="14">
        <v>1993</v>
      </c>
      <c r="O32" s="46">
        <f>DATE(FatmaUsf[[#This Row],[Hire Year]],FatmaUsf[[#This Row],[Hire Month]],FatmaUsf[[#This Row],[Hire Day]])</f>
        <v>34134</v>
      </c>
      <c r="P32" s="46">
        <f t="shared" ca="1" si="0"/>
        <v>46071</v>
      </c>
      <c r="Q32" s="14">
        <f ca="1">DATEDIF(FatmaUsf[[#This Row],[Hiring Date]],FatmaUsf[[#This Row],[current date]],"Y")</f>
        <v>32</v>
      </c>
      <c r="R32" s="15">
        <v>2898</v>
      </c>
      <c r="S32" s="53">
        <f>FatmaUsf[[#This Row],[Salary]]*0.1</f>
        <v>289.8</v>
      </c>
      <c r="T32" s="16">
        <f>FatmaUsf[[#This Row],[Salary]]*0.03</f>
        <v>86.94</v>
      </c>
      <c r="U32" s="48">
        <f>FatmaUsf[[#This Row],[Salary]]-FatmaUsf[[#This Row],[Tax 10%]]+FatmaUsf[[#This Row],[Bonus 3%]]</f>
        <v>2695.14</v>
      </c>
      <c r="V32" s="17" t="str">
        <f>IF(FatmaUsf[[#This Row],[Net Salary]]&gt;=6000,"Over","Normal")</f>
        <v>Normal</v>
      </c>
      <c r="W32" s="57">
        <f>VLOOKUP(FatmaUsf[[#This Row],[Net Salary]],$Z$10:$AA$14,2)</f>
        <v>0.08</v>
      </c>
    </row>
    <row r="33" spans="1:26" ht="15.75" customHeight="1">
      <c r="A33" s="24">
        <v>1032</v>
      </c>
      <c r="B33" s="10" t="s">
        <v>144</v>
      </c>
      <c r="C33" s="10" t="s">
        <v>145</v>
      </c>
      <c r="D33" s="41" t="str">
        <f>PROPER(TRIM(FatmaUsf[[#This Row],[Last Name]]&amp;" "&amp;FatmaUsf[[#This Row],[Last Name]]))</f>
        <v>Zakianiin Zakianiin</v>
      </c>
      <c r="E33" s="10" t="s">
        <v>100</v>
      </c>
      <c r="F33" s="10" t="s">
        <v>64</v>
      </c>
      <c r="G33" s="10" t="s">
        <v>7</v>
      </c>
      <c r="H33" s="11" t="s">
        <v>8</v>
      </c>
      <c r="I33" s="11" t="s">
        <v>26</v>
      </c>
      <c r="J33" s="12" t="s">
        <v>10</v>
      </c>
      <c r="K33" s="10" t="s">
        <v>235</v>
      </c>
      <c r="L33" s="13">
        <v>18</v>
      </c>
      <c r="M33" s="14">
        <v>6</v>
      </c>
      <c r="N33" s="14">
        <v>1999</v>
      </c>
      <c r="O33" s="46">
        <f>DATE(FatmaUsf[[#This Row],[Hire Year]],FatmaUsf[[#This Row],[Hire Month]],FatmaUsf[[#This Row],[Hire Day]])</f>
        <v>36329</v>
      </c>
      <c r="P33" s="46">
        <f t="shared" ca="1" si="0"/>
        <v>46071</v>
      </c>
      <c r="Q33" s="14">
        <f ca="1">DATEDIF(FatmaUsf[[#This Row],[Hiring Date]],FatmaUsf[[#This Row],[current date]],"Y")</f>
        <v>26</v>
      </c>
      <c r="R33" s="15">
        <v>6211</v>
      </c>
      <c r="S33" s="53">
        <f>FatmaUsf[[#This Row],[Salary]]*0.1</f>
        <v>621.1</v>
      </c>
      <c r="T33" s="16">
        <f>FatmaUsf[[#This Row],[Salary]]*0.03</f>
        <v>186.32999999999998</v>
      </c>
      <c r="U33" s="48">
        <f>FatmaUsf[[#This Row],[Salary]]-FatmaUsf[[#This Row],[Tax 10%]]+FatmaUsf[[#This Row],[Bonus 3%]]</f>
        <v>5776.23</v>
      </c>
      <c r="V33" s="17" t="str">
        <f>IF(FatmaUsf[[#This Row],[Net Salary]]&gt;=6000,"Over","Normal")</f>
        <v>Normal</v>
      </c>
      <c r="W33" s="57">
        <f>VLOOKUP(FatmaUsf[[#This Row],[Net Salary]],$Z$10:$AA$14,2)</f>
        <v>0.05</v>
      </c>
    </row>
    <row r="34" spans="1:26" ht="15.75" customHeight="1">
      <c r="A34" s="24">
        <v>1033</v>
      </c>
      <c r="B34" s="10" t="s">
        <v>103</v>
      </c>
      <c r="C34" s="10" t="s">
        <v>146</v>
      </c>
      <c r="D34" s="41" t="str">
        <f>PROPER(TRIM(FatmaUsf[[#This Row],[Last Name]]&amp;" "&amp;FatmaUsf[[#This Row],[Last Name]]))</f>
        <v>Eurul Eurul</v>
      </c>
      <c r="E34" s="10" t="s">
        <v>100</v>
      </c>
      <c r="F34" s="10" t="s">
        <v>65</v>
      </c>
      <c r="G34" s="10" t="s">
        <v>19</v>
      </c>
      <c r="H34" s="11" t="s">
        <v>11</v>
      </c>
      <c r="I34" s="11" t="s">
        <v>9</v>
      </c>
      <c r="J34" s="12" t="s">
        <v>10</v>
      </c>
      <c r="K34" s="10" t="s">
        <v>236</v>
      </c>
      <c r="L34" s="13">
        <v>21</v>
      </c>
      <c r="M34" s="14">
        <v>6</v>
      </c>
      <c r="N34" s="14">
        <v>2011</v>
      </c>
      <c r="O34" s="46">
        <f>DATE(FatmaUsf[[#This Row],[Hire Year]],FatmaUsf[[#This Row],[Hire Month]],FatmaUsf[[#This Row],[Hire Day]])</f>
        <v>40715</v>
      </c>
      <c r="P34" s="46">
        <f t="shared" ca="1" si="0"/>
        <v>46071</v>
      </c>
      <c r="Q34" s="14">
        <f ca="1">DATEDIF(FatmaUsf[[#This Row],[Hiring Date]],FatmaUsf[[#This Row],[current date]],"Y")</f>
        <v>14</v>
      </c>
      <c r="R34" s="15">
        <v>5976</v>
      </c>
      <c r="S34" s="53">
        <f>FatmaUsf[[#This Row],[Salary]]*0.1</f>
        <v>597.6</v>
      </c>
      <c r="T34" s="16">
        <f>FatmaUsf[[#This Row],[Salary]]*0.03</f>
        <v>179.28</v>
      </c>
      <c r="U34" s="48">
        <f>FatmaUsf[[#This Row],[Salary]]-FatmaUsf[[#This Row],[Tax 10%]]+FatmaUsf[[#This Row],[Bonus 3%]]</f>
        <v>5557.6799999999994</v>
      </c>
      <c r="V34" s="17" t="str">
        <f>IF(FatmaUsf[[#This Row],[Net Salary]]&gt;=6000,"Over","Normal")</f>
        <v>Normal</v>
      </c>
      <c r="W34" s="57">
        <f>VLOOKUP(FatmaUsf[[#This Row],[Net Salary]],$Z$10:$AA$14,2)</f>
        <v>0.05</v>
      </c>
    </row>
    <row r="35" spans="1:26" ht="15.75" customHeight="1">
      <c r="A35" s="24">
        <v>1034</v>
      </c>
      <c r="B35" s="10" t="s">
        <v>147</v>
      </c>
      <c r="C35" s="10" t="s">
        <v>148</v>
      </c>
      <c r="D35" s="41" t="str">
        <f>PROPER(TRIM(FatmaUsf[[#This Row],[Last Name]]&amp;" "&amp;FatmaUsf[[#This Row],[Last Name]]))</f>
        <v>Ghanim Ghanim</v>
      </c>
      <c r="E35" s="10" t="s">
        <v>100</v>
      </c>
      <c r="F35" s="10" t="s">
        <v>66</v>
      </c>
      <c r="G35" s="10" t="s">
        <v>19</v>
      </c>
      <c r="H35" s="11" t="s">
        <v>22</v>
      </c>
      <c r="I35" s="11" t="s">
        <v>9</v>
      </c>
      <c r="J35" s="12" t="s">
        <v>12</v>
      </c>
      <c r="K35" s="10" t="s">
        <v>237</v>
      </c>
      <c r="L35" s="13">
        <v>1</v>
      </c>
      <c r="M35" s="14">
        <v>7</v>
      </c>
      <c r="N35" s="14">
        <v>1997</v>
      </c>
      <c r="O35" s="46">
        <f>DATE(FatmaUsf[[#This Row],[Hire Year]],FatmaUsf[[#This Row],[Hire Month]],FatmaUsf[[#This Row],[Hire Day]])</f>
        <v>35612</v>
      </c>
      <c r="P35" s="46">
        <f t="shared" ca="1" si="0"/>
        <v>46071</v>
      </c>
      <c r="Q35" s="14">
        <f ca="1">DATEDIF(FatmaUsf[[#This Row],[Hiring Date]],FatmaUsf[[#This Row],[current date]],"Y")</f>
        <v>28</v>
      </c>
      <c r="R35" s="15">
        <v>742</v>
      </c>
      <c r="S35" s="53">
        <f>FatmaUsf[[#This Row],[Salary]]*0.1</f>
        <v>74.2</v>
      </c>
      <c r="T35" s="16">
        <f>FatmaUsf[[#This Row],[Salary]]*0.03</f>
        <v>22.259999999999998</v>
      </c>
      <c r="U35" s="48">
        <f>FatmaUsf[[#This Row],[Salary]]-FatmaUsf[[#This Row],[Tax 10%]]+FatmaUsf[[#This Row],[Bonus 3%]]</f>
        <v>690.06</v>
      </c>
      <c r="V35" s="17" t="str">
        <f>IF(FatmaUsf[[#This Row],[Net Salary]]&gt;=6000,"Over","Normal")</f>
        <v>Normal</v>
      </c>
      <c r="W35" s="57">
        <f>VLOOKUP(FatmaUsf[[#This Row],[Net Salary]],$Z$10:$AA$14,2)</f>
        <v>0.1</v>
      </c>
      <c r="Z35" s="2"/>
    </row>
    <row r="36" spans="1:26" ht="15.75" customHeight="1">
      <c r="A36" s="24">
        <v>1035</v>
      </c>
      <c r="B36" s="10" t="s">
        <v>102</v>
      </c>
      <c r="C36" s="10" t="s">
        <v>149</v>
      </c>
      <c r="D36" s="41" t="str">
        <f>PROPER(TRIM(FatmaUsf[[#This Row],[Last Name]]&amp;" "&amp;FatmaUsf[[#This Row],[Last Name]]))</f>
        <v>Swyd Swyd</v>
      </c>
      <c r="E36" s="10" t="s">
        <v>100</v>
      </c>
      <c r="F36" s="10" t="s">
        <v>67</v>
      </c>
      <c r="G36" s="10" t="s">
        <v>13</v>
      </c>
      <c r="H36" s="11" t="s">
        <v>8</v>
      </c>
      <c r="I36" s="11" t="s">
        <v>27</v>
      </c>
      <c r="J36" s="12" t="s">
        <v>20</v>
      </c>
      <c r="K36" s="10" t="s">
        <v>238</v>
      </c>
      <c r="L36" s="13">
        <v>8</v>
      </c>
      <c r="M36" s="14">
        <v>7</v>
      </c>
      <c r="N36" s="14">
        <v>2008</v>
      </c>
      <c r="O36" s="46">
        <f>DATE(FatmaUsf[[#This Row],[Hire Year]],FatmaUsf[[#This Row],[Hire Month]],FatmaUsf[[#This Row],[Hire Day]])</f>
        <v>39637</v>
      </c>
      <c r="P36" s="46">
        <f t="shared" ca="1" si="0"/>
        <v>46071</v>
      </c>
      <c r="Q36" s="14">
        <f ca="1">DATEDIF(FatmaUsf[[#This Row],[Hiring Date]],FatmaUsf[[#This Row],[current date]],"Y")</f>
        <v>17</v>
      </c>
      <c r="R36" s="15">
        <v>5918</v>
      </c>
      <c r="S36" s="53">
        <f>FatmaUsf[[#This Row],[Salary]]*0.1</f>
        <v>591.80000000000007</v>
      </c>
      <c r="T36" s="16">
        <f>FatmaUsf[[#This Row],[Salary]]*0.03</f>
        <v>177.54</v>
      </c>
      <c r="U36" s="48">
        <f>FatmaUsf[[#This Row],[Salary]]-FatmaUsf[[#This Row],[Tax 10%]]+FatmaUsf[[#This Row],[Bonus 3%]]</f>
        <v>5503.74</v>
      </c>
      <c r="V36" s="17" t="str">
        <f>IF(FatmaUsf[[#This Row],[Net Salary]]&gt;=6000,"Over","Normal")</f>
        <v>Normal</v>
      </c>
      <c r="W36" s="57">
        <f>VLOOKUP(FatmaUsf[[#This Row],[Net Salary]],$Z$10:$AA$14,2)</f>
        <v>0.05</v>
      </c>
      <c r="Z36" s="2"/>
    </row>
    <row r="37" spans="1:26" ht="15.75" customHeight="1">
      <c r="A37" s="24">
        <v>1036</v>
      </c>
      <c r="B37" s="10" t="s">
        <v>103</v>
      </c>
      <c r="C37" s="10" t="s">
        <v>150</v>
      </c>
      <c r="D37" s="41" t="str">
        <f>PROPER(TRIM(FatmaUsf[[#This Row],[Last Name]]&amp;" "&amp;FatmaUsf[[#This Row],[Last Name]]))</f>
        <v>Aleass Aleass</v>
      </c>
      <c r="E37" s="10" t="s">
        <v>100</v>
      </c>
      <c r="F37" s="10" t="s">
        <v>68</v>
      </c>
      <c r="G37" s="10" t="s">
        <v>13</v>
      </c>
      <c r="H37" s="11" t="s">
        <v>8</v>
      </c>
      <c r="I37" s="11" t="s">
        <v>15</v>
      </c>
      <c r="J37" s="12" t="s">
        <v>20</v>
      </c>
      <c r="K37" s="10" t="s">
        <v>239</v>
      </c>
      <c r="L37" s="13">
        <v>9</v>
      </c>
      <c r="M37" s="14">
        <v>7</v>
      </c>
      <c r="N37" s="14">
        <v>1994</v>
      </c>
      <c r="O37" s="46">
        <f>DATE(FatmaUsf[[#This Row],[Hire Year]],FatmaUsf[[#This Row],[Hire Month]],FatmaUsf[[#This Row],[Hire Day]])</f>
        <v>34524</v>
      </c>
      <c r="P37" s="46">
        <f t="shared" ca="1" si="0"/>
        <v>46071</v>
      </c>
      <c r="Q37" s="14">
        <f ca="1">DATEDIF(FatmaUsf[[#This Row],[Hiring Date]],FatmaUsf[[#This Row],[current date]],"Y")</f>
        <v>31</v>
      </c>
      <c r="R37" s="15">
        <v>3074</v>
      </c>
      <c r="S37" s="53">
        <f>FatmaUsf[[#This Row],[Salary]]*0.1</f>
        <v>307.40000000000003</v>
      </c>
      <c r="T37" s="16">
        <f>FatmaUsf[[#This Row],[Salary]]*0.03</f>
        <v>92.22</v>
      </c>
      <c r="U37" s="48">
        <f>FatmaUsf[[#This Row],[Salary]]-FatmaUsf[[#This Row],[Tax 10%]]+FatmaUsf[[#This Row],[Bonus 3%]]</f>
        <v>2858.8199999999997</v>
      </c>
      <c r="V37" s="17" t="str">
        <f>IF(FatmaUsf[[#This Row],[Net Salary]]&gt;=6000,"Over","Normal")</f>
        <v>Normal</v>
      </c>
      <c r="W37" s="57">
        <f>VLOOKUP(FatmaUsf[[#This Row],[Net Salary]],$Z$10:$AA$14,2)</f>
        <v>0.08</v>
      </c>
      <c r="Z37" s="2"/>
    </row>
    <row r="38" spans="1:26" ht="15.75" customHeight="1">
      <c r="A38" s="24">
        <v>1037</v>
      </c>
      <c r="B38" s="10" t="s">
        <v>151</v>
      </c>
      <c r="C38" s="10" t="s">
        <v>152</v>
      </c>
      <c r="D38" s="41" t="str">
        <f>PROPER(TRIM(FatmaUsf[[#This Row],[Last Name]]&amp;" "&amp;FatmaUsf[[#This Row],[Last Name]]))</f>
        <v>Alasfar Alasfar</v>
      </c>
      <c r="E38" s="10" t="s">
        <v>99</v>
      </c>
      <c r="F38" s="10" t="s">
        <v>69</v>
      </c>
      <c r="G38" s="10" t="s">
        <v>19</v>
      </c>
      <c r="H38" s="11" t="s">
        <v>11</v>
      </c>
      <c r="I38" s="11" t="s">
        <v>29</v>
      </c>
      <c r="J38" s="12" t="s">
        <v>10</v>
      </c>
      <c r="K38" s="10" t="s">
        <v>240</v>
      </c>
      <c r="L38" s="13">
        <v>11</v>
      </c>
      <c r="M38" s="14">
        <v>7</v>
      </c>
      <c r="N38" s="14">
        <v>2014</v>
      </c>
      <c r="O38" s="46">
        <f>DATE(FatmaUsf[[#This Row],[Hire Year]],FatmaUsf[[#This Row],[Hire Month]],FatmaUsf[[#This Row],[Hire Day]])</f>
        <v>41831</v>
      </c>
      <c r="P38" s="46">
        <f t="shared" ca="1" si="0"/>
        <v>46071</v>
      </c>
      <c r="Q38" s="14">
        <f ca="1">DATEDIF(FatmaUsf[[#This Row],[Hiring Date]],FatmaUsf[[#This Row],[current date]],"Y")</f>
        <v>11</v>
      </c>
      <c r="R38" s="15">
        <v>5688</v>
      </c>
      <c r="S38" s="53">
        <f>FatmaUsf[[#This Row],[Salary]]*0.1</f>
        <v>568.80000000000007</v>
      </c>
      <c r="T38" s="16">
        <f>FatmaUsf[[#This Row],[Salary]]*0.03</f>
        <v>170.64</v>
      </c>
      <c r="U38" s="48">
        <f>FatmaUsf[[#This Row],[Salary]]-FatmaUsf[[#This Row],[Tax 10%]]+FatmaUsf[[#This Row],[Bonus 3%]]</f>
        <v>5289.84</v>
      </c>
      <c r="V38" s="17" t="str">
        <f>IF(FatmaUsf[[#This Row],[Net Salary]]&gt;=6000,"Over","Normal")</f>
        <v>Normal</v>
      </c>
      <c r="W38" s="57">
        <f>VLOOKUP(FatmaUsf[[#This Row],[Net Salary]],$Z$10:$AA$14,2)</f>
        <v>0.05</v>
      </c>
      <c r="Z38" s="2"/>
    </row>
    <row r="39" spans="1:26" ht="15.75" customHeight="1">
      <c r="A39" s="24">
        <v>1038</v>
      </c>
      <c r="B39" s="10" t="s">
        <v>153</v>
      </c>
      <c r="C39" s="10" t="s">
        <v>274</v>
      </c>
      <c r="D39" s="41" t="str">
        <f>PROPER(TRIM(FatmaUsf[[#This Row],[Last Name]]&amp;" "&amp;FatmaUsf[[#This Row],[Last Name]]))</f>
        <v>Atef Atef</v>
      </c>
      <c r="E39" s="10" t="s">
        <v>99</v>
      </c>
      <c r="F39" s="10" t="s">
        <v>70</v>
      </c>
      <c r="G39" s="10" t="s">
        <v>13</v>
      </c>
      <c r="H39" s="11" t="s">
        <v>8</v>
      </c>
      <c r="I39" s="11" t="s">
        <v>29</v>
      </c>
      <c r="J39" s="12" t="s">
        <v>23</v>
      </c>
      <c r="K39" s="10" t="s">
        <v>275</v>
      </c>
      <c r="L39" s="13">
        <v>15</v>
      </c>
      <c r="M39" s="14">
        <v>7</v>
      </c>
      <c r="N39" s="14">
        <v>2013</v>
      </c>
      <c r="O39" s="46">
        <f>DATE(FatmaUsf[[#This Row],[Hire Year]],FatmaUsf[[#This Row],[Hire Month]],FatmaUsf[[#This Row],[Hire Day]])</f>
        <v>41470</v>
      </c>
      <c r="P39" s="46">
        <f t="shared" ca="1" si="0"/>
        <v>46071</v>
      </c>
      <c r="Q39" s="14">
        <f ca="1">DATEDIF(FatmaUsf[[#This Row],[Hiring Date]],FatmaUsf[[#This Row],[current date]],"Y")</f>
        <v>12</v>
      </c>
      <c r="R39" s="15">
        <v>3362</v>
      </c>
      <c r="S39" s="53">
        <f>FatmaUsf[[#This Row],[Salary]]*0.1</f>
        <v>336.20000000000005</v>
      </c>
      <c r="T39" s="16">
        <f>FatmaUsf[[#This Row],[Salary]]*0.03</f>
        <v>100.86</v>
      </c>
      <c r="U39" s="48">
        <f>FatmaUsf[[#This Row],[Salary]]-FatmaUsf[[#This Row],[Tax 10%]]+FatmaUsf[[#This Row],[Bonus 3%]]</f>
        <v>3126.6600000000003</v>
      </c>
      <c r="V39" s="17" t="str">
        <f>IF(FatmaUsf[[#This Row],[Net Salary]]&gt;=6000,"Over","Normal")</f>
        <v>Normal</v>
      </c>
      <c r="W39" s="57">
        <f>VLOOKUP(FatmaUsf[[#This Row],[Net Salary]],$Z$10:$AA$14,2)</f>
        <v>0.05</v>
      </c>
      <c r="Z39" s="2"/>
    </row>
    <row r="40" spans="1:26" ht="15.75" customHeight="1">
      <c r="A40" s="24">
        <v>1039</v>
      </c>
      <c r="B40" s="10" t="s">
        <v>154</v>
      </c>
      <c r="C40" s="10" t="s">
        <v>155</v>
      </c>
      <c r="D40" s="41" t="str">
        <f>PROPER(TRIM(FatmaUsf[[#This Row],[Last Name]]&amp;" "&amp;FatmaUsf[[#This Row],[Last Name]]))</f>
        <v>Alshshatim Alshshatim</v>
      </c>
      <c r="E40" s="10" t="s">
        <v>100</v>
      </c>
      <c r="F40" s="10" t="s">
        <v>71</v>
      </c>
      <c r="G40" s="10" t="s">
        <v>17</v>
      </c>
      <c r="H40" s="11" t="s">
        <v>11</v>
      </c>
      <c r="I40" s="11" t="s">
        <v>29</v>
      </c>
      <c r="J40" s="12" t="s">
        <v>12</v>
      </c>
      <c r="K40" s="10" t="s">
        <v>241</v>
      </c>
      <c r="L40" s="13">
        <v>16</v>
      </c>
      <c r="M40" s="14">
        <v>7</v>
      </c>
      <c r="N40" s="14">
        <v>2008</v>
      </c>
      <c r="O40" s="46">
        <f>DATE(FatmaUsf[[#This Row],[Hire Year]],FatmaUsf[[#This Row],[Hire Month]],FatmaUsf[[#This Row],[Hire Day]])</f>
        <v>39645</v>
      </c>
      <c r="P40" s="46">
        <f t="shared" ca="1" si="0"/>
        <v>46071</v>
      </c>
      <c r="Q40" s="14">
        <f ca="1">DATEDIF(FatmaUsf[[#This Row],[Hiring Date]],FatmaUsf[[#This Row],[current date]],"Y")</f>
        <v>17</v>
      </c>
      <c r="R40" s="15">
        <v>6043</v>
      </c>
      <c r="S40" s="53">
        <f>FatmaUsf[[#This Row],[Salary]]*0.1</f>
        <v>604.30000000000007</v>
      </c>
      <c r="T40" s="16">
        <f>FatmaUsf[[#This Row],[Salary]]*0.03</f>
        <v>181.29</v>
      </c>
      <c r="U40" s="48">
        <f>FatmaUsf[[#This Row],[Salary]]-FatmaUsf[[#This Row],[Tax 10%]]+FatmaUsf[[#This Row],[Bonus 3%]]</f>
        <v>5619.99</v>
      </c>
      <c r="V40" s="17" t="str">
        <f>IF(FatmaUsf[[#This Row],[Net Salary]]&gt;=6000,"Over","Normal")</f>
        <v>Normal</v>
      </c>
      <c r="W40" s="57">
        <f>VLOOKUP(FatmaUsf[[#This Row],[Net Salary]],$Z$10:$AA$14,2)</f>
        <v>0.05</v>
      </c>
      <c r="Z40" s="2"/>
    </row>
    <row r="41" spans="1:26" ht="15.75" customHeight="1">
      <c r="A41" s="24">
        <v>1040</v>
      </c>
      <c r="B41" s="10" t="s">
        <v>156</v>
      </c>
      <c r="C41" s="10" t="s">
        <v>157</v>
      </c>
      <c r="D41" s="41" t="str">
        <f>PROPER(TRIM(FatmaUsf[[#This Row],[Last Name]]&amp;" "&amp;FatmaUsf[[#This Row],[Last Name]]))</f>
        <v>Alshahf Alshahf</v>
      </c>
      <c r="E41" s="10" t="s">
        <v>100</v>
      </c>
      <c r="F41" s="10" t="s">
        <v>72</v>
      </c>
      <c r="G41" s="10" t="s">
        <v>17</v>
      </c>
      <c r="H41" s="11" t="s">
        <v>8</v>
      </c>
      <c r="I41" s="11" t="s">
        <v>29</v>
      </c>
      <c r="J41" s="12" t="s">
        <v>23</v>
      </c>
      <c r="K41" s="10" t="s">
        <v>242</v>
      </c>
      <c r="L41" s="13">
        <v>28</v>
      </c>
      <c r="M41" s="14">
        <v>7</v>
      </c>
      <c r="N41" s="14">
        <v>2005</v>
      </c>
      <c r="O41" s="46">
        <f>DATE(FatmaUsf[[#This Row],[Hire Year]],FatmaUsf[[#This Row],[Hire Month]],FatmaUsf[[#This Row],[Hire Day]])</f>
        <v>38561</v>
      </c>
      <c r="P41" s="46">
        <f t="shared" ca="1" si="0"/>
        <v>46071</v>
      </c>
      <c r="Q41" s="14">
        <f ca="1">DATEDIF(FatmaUsf[[#This Row],[Hiring Date]],FatmaUsf[[#This Row],[current date]],"Y")</f>
        <v>20</v>
      </c>
      <c r="R41" s="15">
        <v>6260</v>
      </c>
      <c r="S41" s="53">
        <f>FatmaUsf[[#This Row],[Salary]]*0.1</f>
        <v>626</v>
      </c>
      <c r="T41" s="16">
        <f>FatmaUsf[[#This Row],[Salary]]*0.03</f>
        <v>187.79999999999998</v>
      </c>
      <c r="U41" s="48">
        <f>FatmaUsf[[#This Row],[Salary]]-FatmaUsf[[#This Row],[Tax 10%]]+FatmaUsf[[#This Row],[Bonus 3%]]</f>
        <v>5821.8</v>
      </c>
      <c r="V41" s="17" t="str">
        <f>IF(FatmaUsf[[#This Row],[Net Salary]]&gt;=6000,"Over","Normal")</f>
        <v>Normal</v>
      </c>
      <c r="W41" s="57">
        <f>VLOOKUP(FatmaUsf[[#This Row],[Net Salary]],$Z$10:$AA$14,2)</f>
        <v>0.05</v>
      </c>
      <c r="Z41" s="2"/>
    </row>
    <row r="42" spans="1:26" ht="15.75" customHeight="1">
      <c r="A42" s="24">
        <v>1041</v>
      </c>
      <c r="B42" s="10" t="s">
        <v>124</v>
      </c>
      <c r="C42" s="10" t="s">
        <v>158</v>
      </c>
      <c r="D42" s="41" t="str">
        <f>PROPER(TRIM(FatmaUsf[[#This Row],[Last Name]]&amp;" "&amp;FatmaUsf[[#This Row],[Last Name]]))</f>
        <v>Almusaa Almusaa</v>
      </c>
      <c r="E42" s="10" t="s">
        <v>100</v>
      </c>
      <c r="F42" s="10" t="s">
        <v>73</v>
      </c>
      <c r="G42" s="10" t="s">
        <v>17</v>
      </c>
      <c r="H42" s="11" t="s">
        <v>11</v>
      </c>
      <c r="I42" s="11" t="s">
        <v>9</v>
      </c>
      <c r="J42" s="12" t="s">
        <v>23</v>
      </c>
      <c r="K42" s="10" t="s">
        <v>243</v>
      </c>
      <c r="L42" s="13">
        <v>30</v>
      </c>
      <c r="M42" s="14">
        <v>7</v>
      </c>
      <c r="N42" s="14">
        <v>2005</v>
      </c>
      <c r="O42" s="46">
        <f>DATE(FatmaUsf[[#This Row],[Hire Year]],FatmaUsf[[#This Row],[Hire Month]],FatmaUsf[[#This Row],[Hire Day]])</f>
        <v>38563</v>
      </c>
      <c r="P42" s="46">
        <f t="shared" ca="1" si="0"/>
        <v>46071</v>
      </c>
      <c r="Q42" s="14">
        <f ca="1">DATEDIF(FatmaUsf[[#This Row],[Hiring Date]],FatmaUsf[[#This Row],[current date]],"Y")</f>
        <v>20</v>
      </c>
      <c r="R42" s="15">
        <v>3754</v>
      </c>
      <c r="S42" s="53">
        <f>FatmaUsf[[#This Row],[Salary]]*0.1</f>
        <v>375.40000000000003</v>
      </c>
      <c r="T42" s="16">
        <f>FatmaUsf[[#This Row],[Salary]]*0.03</f>
        <v>112.61999999999999</v>
      </c>
      <c r="U42" s="48">
        <f>FatmaUsf[[#This Row],[Salary]]-FatmaUsf[[#This Row],[Tax 10%]]+FatmaUsf[[#This Row],[Bonus 3%]]</f>
        <v>3491.22</v>
      </c>
      <c r="V42" s="17" t="str">
        <f>IF(FatmaUsf[[#This Row],[Net Salary]]&gt;=6000,"Over","Normal")</f>
        <v>Normal</v>
      </c>
      <c r="W42" s="57">
        <f>VLOOKUP(FatmaUsf[[#This Row],[Net Salary]],$Z$10:$AA$14,2)</f>
        <v>0.05</v>
      </c>
      <c r="Z42" s="2"/>
    </row>
    <row r="43" spans="1:26" ht="15.75" customHeight="1">
      <c r="A43" s="24">
        <v>1042</v>
      </c>
      <c r="B43" s="10" t="s">
        <v>159</v>
      </c>
      <c r="C43" s="10" t="s">
        <v>160</v>
      </c>
      <c r="D43" s="41" t="str">
        <f>PROPER(TRIM(FatmaUsf[[#This Row],[Last Name]]&amp;" "&amp;FatmaUsf[[#This Row],[Last Name]]))</f>
        <v>Mabrukh Mabrukh</v>
      </c>
      <c r="E43" s="10" t="s">
        <v>100</v>
      </c>
      <c r="F43" s="10" t="s">
        <v>74</v>
      </c>
      <c r="G43" s="10" t="s">
        <v>13</v>
      </c>
      <c r="H43" s="11" t="s">
        <v>8</v>
      </c>
      <c r="I43" s="11" t="s">
        <v>25</v>
      </c>
      <c r="J43" s="12" t="s">
        <v>12</v>
      </c>
      <c r="K43" s="10" t="s">
        <v>244</v>
      </c>
      <c r="L43" s="13">
        <v>31</v>
      </c>
      <c r="M43" s="14">
        <v>7</v>
      </c>
      <c r="N43" s="14">
        <v>2017</v>
      </c>
      <c r="O43" s="46">
        <f>DATE(FatmaUsf[[#This Row],[Hire Year]],FatmaUsf[[#This Row],[Hire Month]],FatmaUsf[[#This Row],[Hire Day]])</f>
        <v>42947</v>
      </c>
      <c r="P43" s="46">
        <f t="shared" ca="1" si="0"/>
        <v>46071</v>
      </c>
      <c r="Q43" s="14">
        <f ca="1">DATEDIF(FatmaUsf[[#This Row],[Hiring Date]],FatmaUsf[[#This Row],[current date]],"Y")</f>
        <v>8</v>
      </c>
      <c r="R43" s="15">
        <v>6579</v>
      </c>
      <c r="S43" s="53">
        <f>FatmaUsf[[#This Row],[Salary]]*0.1</f>
        <v>657.90000000000009</v>
      </c>
      <c r="T43" s="16">
        <f>FatmaUsf[[#This Row],[Salary]]*0.03</f>
        <v>197.37</v>
      </c>
      <c r="U43" s="48">
        <f>FatmaUsf[[#This Row],[Salary]]-FatmaUsf[[#This Row],[Tax 10%]]+FatmaUsf[[#This Row],[Bonus 3%]]</f>
        <v>6118.47</v>
      </c>
      <c r="V43" s="17" t="str">
        <f>IF(FatmaUsf[[#This Row],[Net Salary]]&gt;=6000,"Over","Normal")</f>
        <v>Over</v>
      </c>
      <c r="W43" s="57">
        <f>VLOOKUP(FatmaUsf[[#This Row],[Net Salary]],$Z$10:$AA$14,2)</f>
        <v>0.02</v>
      </c>
      <c r="Z43" s="2"/>
    </row>
    <row r="44" spans="1:26" ht="15.75" customHeight="1">
      <c r="A44" s="24">
        <v>1043</v>
      </c>
      <c r="B44" s="10" t="s">
        <v>123</v>
      </c>
      <c r="C44" s="10" t="s">
        <v>161</v>
      </c>
      <c r="D44" s="41" t="str">
        <f>PROPER(TRIM(FatmaUsf[[#This Row],[Last Name]]&amp;" "&amp;FatmaUsf[[#This Row],[Last Name]]))</f>
        <v>Abumaeun Abumaeun</v>
      </c>
      <c r="E44" s="10" t="s">
        <v>100</v>
      </c>
      <c r="F44" s="10" t="s">
        <v>75</v>
      </c>
      <c r="G44" s="10" t="s">
        <v>17</v>
      </c>
      <c r="H44" s="11" t="s">
        <v>8</v>
      </c>
      <c r="I44" s="11" t="s">
        <v>18</v>
      </c>
      <c r="J44" s="12" t="s">
        <v>10</v>
      </c>
      <c r="K44" s="10" t="s">
        <v>245</v>
      </c>
      <c r="L44" s="13">
        <v>13</v>
      </c>
      <c r="M44" s="14">
        <v>8</v>
      </c>
      <c r="N44" s="14">
        <v>1990</v>
      </c>
      <c r="O44" s="46">
        <f>DATE(FatmaUsf[[#This Row],[Hire Year]],FatmaUsf[[#This Row],[Hire Month]],FatmaUsf[[#This Row],[Hire Day]])</f>
        <v>33098</v>
      </c>
      <c r="P44" s="46">
        <f t="shared" ca="1" si="0"/>
        <v>46071</v>
      </c>
      <c r="Q44" s="14">
        <f ca="1">DATEDIF(FatmaUsf[[#This Row],[Hiring Date]],FatmaUsf[[#This Row],[current date]],"Y")</f>
        <v>35</v>
      </c>
      <c r="R44" s="15">
        <v>5373</v>
      </c>
      <c r="S44" s="53">
        <f>FatmaUsf[[#This Row],[Salary]]*0.1</f>
        <v>537.30000000000007</v>
      </c>
      <c r="T44" s="16">
        <f>FatmaUsf[[#This Row],[Salary]]*0.03</f>
        <v>161.19</v>
      </c>
      <c r="U44" s="48">
        <f>FatmaUsf[[#This Row],[Salary]]-FatmaUsf[[#This Row],[Tax 10%]]+FatmaUsf[[#This Row],[Bonus 3%]]</f>
        <v>4996.8899999999994</v>
      </c>
      <c r="V44" s="17" t="str">
        <f>IF(FatmaUsf[[#This Row],[Net Salary]]&gt;=6000,"Over","Normal")</f>
        <v>Normal</v>
      </c>
      <c r="W44" s="57">
        <f>VLOOKUP(FatmaUsf[[#This Row],[Net Salary]],$Z$10:$AA$14,2)</f>
        <v>0.05</v>
      </c>
      <c r="Z44" s="2"/>
    </row>
    <row r="45" spans="1:26" ht="15.75" customHeight="1">
      <c r="A45" s="24">
        <v>1044</v>
      </c>
      <c r="B45" s="10" t="s">
        <v>162</v>
      </c>
      <c r="C45" s="10" t="s">
        <v>163</v>
      </c>
      <c r="D45" s="41" t="str">
        <f>PROPER(TRIM(FatmaUsf[[#This Row],[Last Name]]&amp;" "&amp;FatmaUsf[[#This Row],[Last Name]]))</f>
        <v>Hamza Hamza</v>
      </c>
      <c r="E45" s="10" t="s">
        <v>100</v>
      </c>
      <c r="F45" s="10" t="s">
        <v>76</v>
      </c>
      <c r="G45" s="10" t="s">
        <v>13</v>
      </c>
      <c r="H45" s="11" t="s">
        <v>22</v>
      </c>
      <c r="I45" s="11" t="s">
        <v>15</v>
      </c>
      <c r="J45" s="12" t="s">
        <v>10</v>
      </c>
      <c r="K45" s="10" t="s">
        <v>246</v>
      </c>
      <c r="L45" s="13">
        <v>16</v>
      </c>
      <c r="M45" s="14">
        <v>8</v>
      </c>
      <c r="N45" s="14">
        <v>2022</v>
      </c>
      <c r="O45" s="46">
        <f>DATE(FatmaUsf[[#This Row],[Hire Year]],FatmaUsf[[#This Row],[Hire Month]],FatmaUsf[[#This Row],[Hire Day]])</f>
        <v>44789</v>
      </c>
      <c r="P45" s="46">
        <f t="shared" ca="1" si="0"/>
        <v>46071</v>
      </c>
      <c r="Q45" s="14">
        <f ca="1">DATEDIF(FatmaUsf[[#This Row],[Hiring Date]],FatmaUsf[[#This Row],[current date]],"Y")</f>
        <v>3</v>
      </c>
      <c r="R45" s="15">
        <v>1391</v>
      </c>
      <c r="S45" s="53">
        <f>FatmaUsf[[#This Row],[Salary]]*0.1</f>
        <v>139.1</v>
      </c>
      <c r="T45" s="16">
        <f>FatmaUsf[[#This Row],[Salary]]*0.03</f>
        <v>41.73</v>
      </c>
      <c r="U45" s="48">
        <f>FatmaUsf[[#This Row],[Salary]]-FatmaUsf[[#This Row],[Tax 10%]]+FatmaUsf[[#This Row],[Bonus 3%]]</f>
        <v>1293.6300000000001</v>
      </c>
      <c r="V45" s="17" t="str">
        <f>IF(FatmaUsf[[#This Row],[Net Salary]]&gt;=6000,"Over","Normal")</f>
        <v>Normal</v>
      </c>
      <c r="W45" s="57">
        <f>VLOOKUP(FatmaUsf[[#This Row],[Net Salary]],$Z$10:$AA$14,2)</f>
        <v>0.08</v>
      </c>
      <c r="Z45" s="2"/>
    </row>
    <row r="46" spans="1:26" ht="15.75" customHeight="1">
      <c r="A46" s="24">
        <v>1045</v>
      </c>
      <c r="B46" s="10" t="s">
        <v>102</v>
      </c>
      <c r="C46" s="10" t="s">
        <v>164</v>
      </c>
      <c r="D46" s="41" t="str">
        <f>PROPER(TRIM(FatmaUsf[[#This Row],[Last Name]]&amp;" "&amp;FatmaUsf[[#This Row],[Last Name]]))</f>
        <v>Laylana Laylana</v>
      </c>
      <c r="E46" s="10" t="s">
        <v>100</v>
      </c>
      <c r="F46" s="10" t="s">
        <v>77</v>
      </c>
      <c r="G46" s="10" t="s">
        <v>17</v>
      </c>
      <c r="H46" s="11" t="s">
        <v>11</v>
      </c>
      <c r="I46" s="11" t="s">
        <v>264</v>
      </c>
      <c r="J46" s="12" t="s">
        <v>12</v>
      </c>
      <c r="K46" s="10" t="s">
        <v>247</v>
      </c>
      <c r="L46" s="13">
        <v>26</v>
      </c>
      <c r="M46" s="14">
        <v>8</v>
      </c>
      <c r="N46" s="14">
        <v>2009</v>
      </c>
      <c r="O46" s="46">
        <f>DATE(FatmaUsf[[#This Row],[Hire Year]],FatmaUsf[[#This Row],[Hire Month]],FatmaUsf[[#This Row],[Hire Day]])</f>
        <v>40051</v>
      </c>
      <c r="P46" s="46">
        <f t="shared" ca="1" si="0"/>
        <v>46071</v>
      </c>
      <c r="Q46" s="14">
        <f ca="1">DATEDIF(FatmaUsf[[#This Row],[Hiring Date]],FatmaUsf[[#This Row],[current date]],"Y")</f>
        <v>16</v>
      </c>
      <c r="R46" s="15">
        <v>2528</v>
      </c>
      <c r="S46" s="53">
        <f>FatmaUsf[[#This Row],[Salary]]*0.1</f>
        <v>252.8</v>
      </c>
      <c r="T46" s="16">
        <f>FatmaUsf[[#This Row],[Salary]]*0.03</f>
        <v>75.84</v>
      </c>
      <c r="U46" s="48">
        <f>FatmaUsf[[#This Row],[Salary]]-FatmaUsf[[#This Row],[Tax 10%]]+FatmaUsf[[#This Row],[Bonus 3%]]</f>
        <v>2351.04</v>
      </c>
      <c r="V46" s="17" t="str">
        <f>IF(FatmaUsf[[#This Row],[Net Salary]]&gt;=6000,"Over","Normal")</f>
        <v>Normal</v>
      </c>
      <c r="W46" s="57">
        <f>VLOOKUP(FatmaUsf[[#This Row],[Net Salary]],$Z$10:$AA$14,2)</f>
        <v>0.08</v>
      </c>
      <c r="Z46" s="2"/>
    </row>
    <row r="47" spans="1:26" ht="15.75" customHeight="1">
      <c r="A47" s="24">
        <v>1046</v>
      </c>
      <c r="B47" s="10" t="s">
        <v>165</v>
      </c>
      <c r="C47" s="10" t="s">
        <v>166</v>
      </c>
      <c r="D47" s="41" t="str">
        <f>PROPER(TRIM(FatmaUsf[[#This Row],[Last Name]]&amp;" "&amp;FatmaUsf[[#This Row],[Last Name]]))</f>
        <v>Khalifih Khalifih</v>
      </c>
      <c r="E47" s="10" t="s">
        <v>99</v>
      </c>
      <c r="F47" s="10" t="s">
        <v>78</v>
      </c>
      <c r="G47" s="10" t="s">
        <v>17</v>
      </c>
      <c r="H47" s="11" t="s">
        <v>11</v>
      </c>
      <c r="I47" s="11" t="s">
        <v>29</v>
      </c>
      <c r="J47" s="12" t="s">
        <v>20</v>
      </c>
      <c r="K47" s="10" t="s">
        <v>248</v>
      </c>
      <c r="L47" s="13">
        <v>4</v>
      </c>
      <c r="M47" s="14">
        <v>9</v>
      </c>
      <c r="N47" s="14">
        <v>2010</v>
      </c>
      <c r="O47" s="46">
        <f>DATE(FatmaUsf[[#This Row],[Hire Year]],FatmaUsf[[#This Row],[Hire Month]],FatmaUsf[[#This Row],[Hire Day]])</f>
        <v>40425</v>
      </c>
      <c r="P47" s="46">
        <f t="shared" ca="1" si="0"/>
        <v>46071</v>
      </c>
      <c r="Q47" s="14">
        <f ca="1">DATEDIF(FatmaUsf[[#This Row],[Hiring Date]],FatmaUsf[[#This Row],[current date]],"Y")</f>
        <v>15</v>
      </c>
      <c r="R47" s="15">
        <v>6040</v>
      </c>
      <c r="S47" s="53">
        <f>FatmaUsf[[#This Row],[Salary]]*0.1</f>
        <v>604</v>
      </c>
      <c r="T47" s="16">
        <f>FatmaUsf[[#This Row],[Salary]]*0.03</f>
        <v>181.2</v>
      </c>
      <c r="U47" s="48">
        <f>FatmaUsf[[#This Row],[Salary]]-FatmaUsf[[#This Row],[Tax 10%]]+FatmaUsf[[#This Row],[Bonus 3%]]</f>
        <v>5617.2</v>
      </c>
      <c r="V47" s="17" t="str">
        <f>IF(FatmaUsf[[#This Row],[Net Salary]]&gt;=6000,"Over","Normal")</f>
        <v>Normal</v>
      </c>
      <c r="W47" s="57">
        <f>VLOOKUP(FatmaUsf[[#This Row],[Net Salary]],$Z$10:$AA$14,2)</f>
        <v>0.05</v>
      </c>
      <c r="Z47" s="2"/>
    </row>
    <row r="48" spans="1:26" ht="15.75" customHeight="1">
      <c r="A48" s="24">
        <v>1047</v>
      </c>
      <c r="B48" s="10" t="s">
        <v>167</v>
      </c>
      <c r="C48" s="10" t="s">
        <v>168</v>
      </c>
      <c r="D48" s="41" t="str">
        <f>PROPER(TRIM(FatmaUsf[[#This Row],[Last Name]]&amp;" "&amp;FatmaUsf[[#This Row],[Last Name]]))</f>
        <v>Alkhujih Alkhujih</v>
      </c>
      <c r="E48" s="10" t="s">
        <v>100</v>
      </c>
      <c r="F48" s="10" t="s">
        <v>79</v>
      </c>
      <c r="G48" s="10" t="s">
        <v>1100</v>
      </c>
      <c r="H48" s="11" t="s">
        <v>14</v>
      </c>
      <c r="I48" s="11" t="s">
        <v>18</v>
      </c>
      <c r="J48" s="12" t="s">
        <v>10</v>
      </c>
      <c r="K48" s="10" t="s">
        <v>249</v>
      </c>
      <c r="L48" s="13">
        <v>10</v>
      </c>
      <c r="M48" s="14">
        <v>9</v>
      </c>
      <c r="N48" s="14">
        <v>2004</v>
      </c>
      <c r="O48" s="46">
        <f>DATE(FatmaUsf[[#This Row],[Hire Year]],FatmaUsf[[#This Row],[Hire Month]],FatmaUsf[[#This Row],[Hire Day]])</f>
        <v>38240</v>
      </c>
      <c r="P48" s="46">
        <f t="shared" ca="1" si="0"/>
        <v>46071</v>
      </c>
      <c r="Q48" s="14">
        <f ca="1">DATEDIF(FatmaUsf[[#This Row],[Hiring Date]],FatmaUsf[[#This Row],[current date]],"Y")</f>
        <v>21</v>
      </c>
      <c r="R48" s="15">
        <v>3842</v>
      </c>
      <c r="S48" s="53">
        <f>FatmaUsf[[#This Row],[Salary]]*0.1</f>
        <v>384.20000000000005</v>
      </c>
      <c r="T48" s="16">
        <f>FatmaUsf[[#This Row],[Salary]]*0.03</f>
        <v>115.25999999999999</v>
      </c>
      <c r="U48" s="48">
        <f>FatmaUsf[[#This Row],[Salary]]-FatmaUsf[[#This Row],[Tax 10%]]+FatmaUsf[[#This Row],[Bonus 3%]]</f>
        <v>3573.0600000000004</v>
      </c>
      <c r="V48" s="17" t="str">
        <f>IF(FatmaUsf[[#This Row],[Net Salary]]&gt;=6000,"Over","Normal")</f>
        <v>Normal</v>
      </c>
      <c r="W48" s="57">
        <f>VLOOKUP(FatmaUsf[[#This Row],[Net Salary]],$Z$10:$AA$14,2)</f>
        <v>0.05</v>
      </c>
      <c r="Z48" s="2"/>
    </row>
    <row r="49" spans="1:26" ht="15.75" customHeight="1">
      <c r="A49" s="24">
        <v>1048</v>
      </c>
      <c r="B49" s="10" t="s">
        <v>169</v>
      </c>
      <c r="C49" s="10" t="s">
        <v>170</v>
      </c>
      <c r="D49" s="41" t="str">
        <f>PROPER(TRIM(FatmaUsf[[#This Row],[Last Name]]&amp;" "&amp;FatmaUsf[[#This Row],[Last Name]]))</f>
        <v>Alealbi Alealbi</v>
      </c>
      <c r="E49" s="10" t="s">
        <v>99</v>
      </c>
      <c r="F49" s="10" t="s">
        <v>80</v>
      </c>
      <c r="G49" s="10" t="s">
        <v>17</v>
      </c>
      <c r="H49" s="11" t="s">
        <v>22</v>
      </c>
      <c r="I49" s="11" t="s">
        <v>264</v>
      </c>
      <c r="J49" s="12" t="s">
        <v>12</v>
      </c>
      <c r="K49" s="10" t="s">
        <v>250</v>
      </c>
      <c r="L49" s="13">
        <v>16</v>
      </c>
      <c r="M49" s="14">
        <v>9</v>
      </c>
      <c r="N49" s="14">
        <v>2005</v>
      </c>
      <c r="O49" s="46">
        <f>DATE(FatmaUsf[[#This Row],[Hire Year]],FatmaUsf[[#This Row],[Hire Month]],FatmaUsf[[#This Row],[Hire Day]])</f>
        <v>38611</v>
      </c>
      <c r="P49" s="46">
        <f t="shared" ca="1" si="0"/>
        <v>46071</v>
      </c>
      <c r="Q49" s="14">
        <f ca="1">DATEDIF(FatmaUsf[[#This Row],[Hiring Date]],FatmaUsf[[#This Row],[current date]],"Y")</f>
        <v>20</v>
      </c>
      <c r="R49" s="15">
        <v>1542</v>
      </c>
      <c r="S49" s="53">
        <f>FatmaUsf[[#This Row],[Salary]]*0.1</f>
        <v>154.20000000000002</v>
      </c>
      <c r="T49" s="16">
        <f>FatmaUsf[[#This Row],[Salary]]*0.03</f>
        <v>46.26</v>
      </c>
      <c r="U49" s="48">
        <f>FatmaUsf[[#This Row],[Salary]]-FatmaUsf[[#This Row],[Tax 10%]]+FatmaUsf[[#This Row],[Bonus 3%]]</f>
        <v>1434.06</v>
      </c>
      <c r="V49" s="17" t="str">
        <f>IF(FatmaUsf[[#This Row],[Net Salary]]&gt;=6000,"Over","Normal")</f>
        <v>Normal</v>
      </c>
      <c r="W49" s="57">
        <f>VLOOKUP(FatmaUsf[[#This Row],[Net Salary]],$Z$10:$AA$14,2)</f>
        <v>0.08</v>
      </c>
      <c r="Z49" s="2"/>
    </row>
    <row r="50" spans="1:26" ht="15.75" customHeight="1">
      <c r="A50" s="24">
        <v>1049</v>
      </c>
      <c r="B50" s="10" t="s">
        <v>171</v>
      </c>
      <c r="C50" s="10" t="s">
        <v>158</v>
      </c>
      <c r="D50" s="41" t="str">
        <f>PROPER(TRIM(FatmaUsf[[#This Row],[Last Name]]&amp;" "&amp;FatmaUsf[[#This Row],[Last Name]]))</f>
        <v>Almusaa Almusaa</v>
      </c>
      <c r="E50" s="10" t="s">
        <v>99</v>
      </c>
      <c r="F50" s="10" t="s">
        <v>81</v>
      </c>
      <c r="G50" s="10" t="s">
        <v>17</v>
      </c>
      <c r="H50" s="11" t="s">
        <v>22</v>
      </c>
      <c r="I50" s="11" t="s">
        <v>9</v>
      </c>
      <c r="J50" s="12" t="s">
        <v>12</v>
      </c>
      <c r="K50" s="10" t="s">
        <v>251</v>
      </c>
      <c r="L50" s="13">
        <v>24</v>
      </c>
      <c r="M50" s="14">
        <v>9</v>
      </c>
      <c r="N50" s="14">
        <v>1997</v>
      </c>
      <c r="O50" s="46">
        <f>DATE(FatmaUsf[[#This Row],[Hire Year]],FatmaUsf[[#This Row],[Hire Month]],FatmaUsf[[#This Row],[Hire Day]])</f>
        <v>35697</v>
      </c>
      <c r="P50" s="46">
        <f t="shared" ca="1" si="0"/>
        <v>46071</v>
      </c>
      <c r="Q50" s="14">
        <f ca="1">DATEDIF(FatmaUsf[[#This Row],[Hiring Date]],FatmaUsf[[#This Row],[current date]],"Y")</f>
        <v>28</v>
      </c>
      <c r="R50" s="15">
        <v>3134</v>
      </c>
      <c r="S50" s="53">
        <f>FatmaUsf[[#This Row],[Salary]]*0.1</f>
        <v>313.40000000000003</v>
      </c>
      <c r="T50" s="16">
        <f>FatmaUsf[[#This Row],[Salary]]*0.03</f>
        <v>94.02</v>
      </c>
      <c r="U50" s="48">
        <f>FatmaUsf[[#This Row],[Salary]]-FatmaUsf[[#This Row],[Tax 10%]]+FatmaUsf[[#This Row],[Bonus 3%]]</f>
        <v>2914.62</v>
      </c>
      <c r="V50" s="17" t="str">
        <f>IF(FatmaUsf[[#This Row],[Net Salary]]&gt;=6000,"Over","Normal")</f>
        <v>Normal</v>
      </c>
      <c r="W50" s="57">
        <f>VLOOKUP(FatmaUsf[[#This Row],[Net Salary]],$Z$10:$AA$14,2)</f>
        <v>0.08</v>
      </c>
      <c r="Z50" s="2"/>
    </row>
    <row r="51" spans="1:26" ht="15.75" customHeight="1">
      <c r="A51" s="24">
        <v>1050</v>
      </c>
      <c r="B51" s="10" t="s">
        <v>172</v>
      </c>
      <c r="C51" s="10" t="s">
        <v>173</v>
      </c>
      <c r="D51" s="41" t="str">
        <f>PROPER(TRIM(FatmaUsf[[#This Row],[Last Name]]&amp;" "&amp;FatmaUsf[[#This Row],[Last Name]]))</f>
        <v>Aleasimii Aleasimii</v>
      </c>
      <c r="E51" s="10" t="s">
        <v>99</v>
      </c>
      <c r="F51" s="10" t="s">
        <v>82</v>
      </c>
      <c r="G51" s="10" t="s">
        <v>17</v>
      </c>
      <c r="H51" s="11" t="s">
        <v>11</v>
      </c>
      <c r="I51" s="11" t="s">
        <v>25</v>
      </c>
      <c r="J51" s="12" t="s">
        <v>10</v>
      </c>
      <c r="K51" s="10" t="s">
        <v>252</v>
      </c>
      <c r="L51" s="13">
        <v>27</v>
      </c>
      <c r="M51" s="14">
        <v>9</v>
      </c>
      <c r="N51" s="14">
        <v>1993</v>
      </c>
      <c r="O51" s="46">
        <f>DATE(FatmaUsf[[#This Row],[Hire Year]],FatmaUsf[[#This Row],[Hire Month]],FatmaUsf[[#This Row],[Hire Day]])</f>
        <v>34239</v>
      </c>
      <c r="P51" s="46">
        <f t="shared" ca="1" si="0"/>
        <v>46071</v>
      </c>
      <c r="Q51" s="14">
        <f ca="1">DATEDIF(FatmaUsf[[#This Row],[Hiring Date]],FatmaUsf[[#This Row],[current date]],"Y")</f>
        <v>32</v>
      </c>
      <c r="R51" s="15">
        <v>4921</v>
      </c>
      <c r="S51" s="53">
        <f>FatmaUsf[[#This Row],[Salary]]*0.1</f>
        <v>492.1</v>
      </c>
      <c r="T51" s="16">
        <f>FatmaUsf[[#This Row],[Salary]]*0.03</f>
        <v>147.63</v>
      </c>
      <c r="U51" s="48">
        <f>FatmaUsf[[#This Row],[Salary]]-FatmaUsf[[#This Row],[Tax 10%]]+FatmaUsf[[#This Row],[Bonus 3%]]</f>
        <v>4576.53</v>
      </c>
      <c r="V51" s="17" t="str">
        <f>IF(FatmaUsf[[#This Row],[Net Salary]]&gt;=6000,"Over","Normal")</f>
        <v>Normal</v>
      </c>
      <c r="W51" s="57">
        <f>VLOOKUP(FatmaUsf[[#This Row],[Net Salary]],$Z$10:$AA$14,2)</f>
        <v>0.05</v>
      </c>
      <c r="Z51" s="2"/>
    </row>
    <row r="52" spans="1:26" ht="15.75" customHeight="1">
      <c r="A52" s="24">
        <v>1051</v>
      </c>
      <c r="B52" s="10" t="s">
        <v>174</v>
      </c>
      <c r="C52" s="10" t="s">
        <v>103</v>
      </c>
      <c r="D52" s="41" t="str">
        <f>PROPER(TRIM(FatmaUsf[[#This Row],[Last Name]]&amp;" "&amp;FatmaUsf[[#This Row],[Last Name]]))</f>
        <v>Muhamad Muhamad</v>
      </c>
      <c r="E52" s="10" t="s">
        <v>100</v>
      </c>
      <c r="F52" s="10" t="s">
        <v>83</v>
      </c>
      <c r="G52" s="10" t="s">
        <v>17</v>
      </c>
      <c r="H52" s="11" t="s">
        <v>14</v>
      </c>
      <c r="I52" s="11" t="s">
        <v>264</v>
      </c>
      <c r="J52" s="12" t="s">
        <v>12</v>
      </c>
      <c r="K52" s="10" t="s">
        <v>220</v>
      </c>
      <c r="L52" s="13">
        <v>11</v>
      </c>
      <c r="M52" s="14">
        <v>2</v>
      </c>
      <c r="N52" s="14">
        <v>2004</v>
      </c>
      <c r="O52" s="46">
        <f>DATE(FatmaUsf[[#This Row],[Hire Year]],FatmaUsf[[#This Row],[Hire Month]],FatmaUsf[[#This Row],[Hire Day]])</f>
        <v>38028</v>
      </c>
      <c r="P52" s="46">
        <f t="shared" ca="1" si="0"/>
        <v>46071</v>
      </c>
      <c r="Q52" s="14">
        <f ca="1">DATEDIF(FatmaUsf[[#This Row],[Hiring Date]],FatmaUsf[[#This Row],[current date]],"Y")</f>
        <v>22</v>
      </c>
      <c r="R52" s="15">
        <v>1948</v>
      </c>
      <c r="S52" s="53">
        <f>FatmaUsf[[#This Row],[Salary]]*0.1</f>
        <v>194.8</v>
      </c>
      <c r="T52" s="16">
        <f>FatmaUsf[[#This Row],[Salary]]*0.03</f>
        <v>58.44</v>
      </c>
      <c r="U52" s="48">
        <f>FatmaUsf[[#This Row],[Salary]]-FatmaUsf[[#This Row],[Tax 10%]]+FatmaUsf[[#This Row],[Bonus 3%]]</f>
        <v>1811.64</v>
      </c>
      <c r="V52" s="17" t="str">
        <f>IF(FatmaUsf[[#This Row],[Net Salary]]&gt;=6000,"Over","Normal")</f>
        <v>Normal</v>
      </c>
      <c r="W52" s="57">
        <f>VLOOKUP(FatmaUsf[[#This Row],[Net Salary]],$Z$10:$AA$14,2)</f>
        <v>0.08</v>
      </c>
      <c r="Z52" s="2"/>
    </row>
    <row r="53" spans="1:26" ht="15.75" customHeight="1">
      <c r="A53" s="24">
        <v>1052</v>
      </c>
      <c r="B53" s="10" t="s">
        <v>175</v>
      </c>
      <c r="C53" s="10" t="s">
        <v>176</v>
      </c>
      <c r="D53" s="41" t="str">
        <f>PROPER(TRIM(FatmaUsf[[#This Row],[Last Name]]&amp;" "&amp;FatmaUsf[[#This Row],[Last Name]]))</f>
        <v>Eubayd Eubayd</v>
      </c>
      <c r="E53" s="10" t="s">
        <v>100</v>
      </c>
      <c r="F53" s="10" t="s">
        <v>84</v>
      </c>
      <c r="G53" s="10" t="s">
        <v>19</v>
      </c>
      <c r="H53" s="11" t="s">
        <v>14</v>
      </c>
      <c r="I53" s="11" t="s">
        <v>25</v>
      </c>
      <c r="J53" s="12" t="s">
        <v>23</v>
      </c>
      <c r="K53" s="10" t="s">
        <v>253</v>
      </c>
      <c r="L53" s="13">
        <v>11</v>
      </c>
      <c r="M53" s="14">
        <v>2</v>
      </c>
      <c r="N53" s="14">
        <v>2001</v>
      </c>
      <c r="O53" s="46">
        <f>DATE(FatmaUsf[[#This Row],[Hire Year]],FatmaUsf[[#This Row],[Hire Month]],FatmaUsf[[#This Row],[Hire Day]])</f>
        <v>36933</v>
      </c>
      <c r="P53" s="46">
        <f t="shared" ca="1" si="0"/>
        <v>46071</v>
      </c>
      <c r="Q53" s="14">
        <f ca="1">DATEDIF(FatmaUsf[[#This Row],[Hiring Date]],FatmaUsf[[#This Row],[current date]],"Y")</f>
        <v>25</v>
      </c>
      <c r="R53" s="15">
        <v>3294</v>
      </c>
      <c r="S53" s="53">
        <f>FatmaUsf[[#This Row],[Salary]]*0.1</f>
        <v>329.40000000000003</v>
      </c>
      <c r="T53" s="16">
        <f>FatmaUsf[[#This Row],[Salary]]*0.03</f>
        <v>98.82</v>
      </c>
      <c r="U53" s="48">
        <f>FatmaUsf[[#This Row],[Salary]]-FatmaUsf[[#This Row],[Tax 10%]]+FatmaUsf[[#This Row],[Bonus 3%]]</f>
        <v>3063.42</v>
      </c>
      <c r="V53" s="17" t="str">
        <f>IF(FatmaUsf[[#This Row],[Net Salary]]&gt;=6000,"Over","Normal")</f>
        <v>Normal</v>
      </c>
      <c r="W53" s="57">
        <f>VLOOKUP(FatmaUsf[[#This Row],[Net Salary]],$Z$10:$AA$14,2)</f>
        <v>0.05</v>
      </c>
      <c r="Z53" s="2"/>
    </row>
    <row r="54" spans="1:26" ht="15.75" customHeight="1">
      <c r="A54" s="24">
        <v>1053</v>
      </c>
      <c r="B54" s="10" t="s">
        <v>177</v>
      </c>
      <c r="C54" s="10" t="s">
        <v>178</v>
      </c>
      <c r="D54" s="41" t="str">
        <f>PROPER(TRIM(FatmaUsf[[#This Row],[Last Name]]&amp;" "&amp;FatmaUsf[[#This Row],[Last Name]]))</f>
        <v>Karim Karim</v>
      </c>
      <c r="E54" s="10" t="s">
        <v>100</v>
      </c>
      <c r="F54" s="10" t="s">
        <v>85</v>
      </c>
      <c r="G54" s="10" t="s">
        <v>1100</v>
      </c>
      <c r="H54" s="11" t="s">
        <v>11</v>
      </c>
      <c r="I54" s="11" t="s">
        <v>264</v>
      </c>
      <c r="J54" s="12" t="s">
        <v>10</v>
      </c>
      <c r="K54" s="10" t="s">
        <v>254</v>
      </c>
      <c r="L54" s="13">
        <v>17</v>
      </c>
      <c r="M54" s="14">
        <v>2</v>
      </c>
      <c r="N54" s="14">
        <v>1999</v>
      </c>
      <c r="O54" s="46">
        <f>DATE(FatmaUsf[[#This Row],[Hire Year]],FatmaUsf[[#This Row],[Hire Month]],FatmaUsf[[#This Row],[Hire Day]])</f>
        <v>36208</v>
      </c>
      <c r="P54" s="46">
        <f t="shared" ca="1" si="0"/>
        <v>46071</v>
      </c>
      <c r="Q54" s="14">
        <f ca="1">DATEDIF(FatmaUsf[[#This Row],[Hiring Date]],FatmaUsf[[#This Row],[current date]],"Y")</f>
        <v>27</v>
      </c>
      <c r="R54" s="15">
        <v>7123</v>
      </c>
      <c r="S54" s="53">
        <f>FatmaUsf[[#This Row],[Salary]]*0.1</f>
        <v>712.30000000000007</v>
      </c>
      <c r="T54" s="16">
        <f>FatmaUsf[[#This Row],[Salary]]*0.03</f>
        <v>213.69</v>
      </c>
      <c r="U54" s="48">
        <f>FatmaUsf[[#This Row],[Salary]]-FatmaUsf[[#This Row],[Tax 10%]]+FatmaUsf[[#This Row],[Bonus 3%]]</f>
        <v>6624.3899999999994</v>
      </c>
      <c r="V54" s="17" t="str">
        <f>IF(FatmaUsf[[#This Row],[Net Salary]]&gt;=6000,"Over","Normal")</f>
        <v>Over</v>
      </c>
      <c r="W54" s="57">
        <f>VLOOKUP(FatmaUsf[[#This Row],[Net Salary]],$Z$10:$AA$14,2)</f>
        <v>0.02</v>
      </c>
      <c r="Z54" s="2"/>
    </row>
    <row r="55" spans="1:26" ht="15.75" customHeight="1">
      <c r="A55" s="24">
        <v>1054</v>
      </c>
      <c r="B55" s="10" t="s">
        <v>179</v>
      </c>
      <c r="C55" s="10" t="s">
        <v>180</v>
      </c>
      <c r="D55" s="41" t="str">
        <f>PROPER(TRIM(FatmaUsf[[#This Row],[Last Name]]&amp;" "&amp;FatmaUsf[[#This Row],[Last Name]]))</f>
        <v>Salayk Salayk</v>
      </c>
      <c r="E55" s="10" t="s">
        <v>100</v>
      </c>
      <c r="F55" s="10" t="s">
        <v>86</v>
      </c>
      <c r="G55" s="10" t="s">
        <v>13</v>
      </c>
      <c r="H55" s="11" t="s">
        <v>8</v>
      </c>
      <c r="I55" s="11" t="s">
        <v>25</v>
      </c>
      <c r="J55" s="12" t="s">
        <v>10</v>
      </c>
      <c r="K55" s="10" t="s">
        <v>255</v>
      </c>
      <c r="L55" s="13">
        <v>25</v>
      </c>
      <c r="M55" s="14">
        <v>2</v>
      </c>
      <c r="N55" s="14">
        <v>2006</v>
      </c>
      <c r="O55" s="46">
        <f>DATE(FatmaUsf[[#This Row],[Hire Year]],FatmaUsf[[#This Row],[Hire Month]],FatmaUsf[[#This Row],[Hire Day]])</f>
        <v>38773</v>
      </c>
      <c r="P55" s="46">
        <f t="shared" ca="1" si="0"/>
        <v>46071</v>
      </c>
      <c r="Q55" s="14">
        <f ca="1">DATEDIF(FatmaUsf[[#This Row],[Hiring Date]],FatmaUsf[[#This Row],[current date]],"Y")</f>
        <v>19</v>
      </c>
      <c r="R55" s="15">
        <v>7236</v>
      </c>
      <c r="S55" s="53">
        <f>FatmaUsf[[#This Row],[Salary]]*0.1</f>
        <v>723.6</v>
      </c>
      <c r="T55" s="16">
        <f>FatmaUsf[[#This Row],[Salary]]*0.03</f>
        <v>217.07999999999998</v>
      </c>
      <c r="U55" s="48">
        <f>FatmaUsf[[#This Row],[Salary]]-FatmaUsf[[#This Row],[Tax 10%]]+FatmaUsf[[#This Row],[Bonus 3%]]</f>
        <v>6729.48</v>
      </c>
      <c r="V55" s="17" t="str">
        <f>IF(FatmaUsf[[#This Row],[Net Salary]]&gt;=6000,"Over","Normal")</f>
        <v>Over</v>
      </c>
      <c r="W55" s="57">
        <f>VLOOKUP(FatmaUsf[[#This Row],[Net Salary]],$Z$10:$AA$14,2)</f>
        <v>0.02</v>
      </c>
      <c r="Z55" s="2"/>
    </row>
    <row r="56" spans="1:26" ht="15.75" customHeight="1">
      <c r="A56" s="24">
        <v>1055</v>
      </c>
      <c r="B56" s="10" t="s">
        <v>181</v>
      </c>
      <c r="C56" s="10" t="s">
        <v>182</v>
      </c>
      <c r="D56" s="41" t="str">
        <f>PROPER(TRIM(FatmaUsf[[#This Row],[Last Name]]&amp;" "&amp;FatmaUsf[[#This Row],[Last Name]]))</f>
        <v>Alttahir Alttahir</v>
      </c>
      <c r="E56" s="10" t="s">
        <v>100</v>
      </c>
      <c r="F56" s="10" t="s">
        <v>87</v>
      </c>
      <c r="G56" s="10" t="s">
        <v>1100</v>
      </c>
      <c r="H56" s="11" t="s">
        <v>8</v>
      </c>
      <c r="I56" s="11" t="s">
        <v>29</v>
      </c>
      <c r="J56" s="12" t="s">
        <v>12</v>
      </c>
      <c r="K56" s="10" t="s">
        <v>256</v>
      </c>
      <c r="L56" s="13">
        <v>26</v>
      </c>
      <c r="M56" s="14">
        <v>2</v>
      </c>
      <c r="N56" s="14">
        <v>1998</v>
      </c>
      <c r="O56" s="46">
        <f>DATE(FatmaUsf[[#This Row],[Hire Year]],FatmaUsf[[#This Row],[Hire Month]],FatmaUsf[[#This Row],[Hire Day]])</f>
        <v>35852</v>
      </c>
      <c r="P56" s="46">
        <f t="shared" ca="1" si="0"/>
        <v>46071</v>
      </c>
      <c r="Q56" s="14">
        <f ca="1">DATEDIF(FatmaUsf[[#This Row],[Hiring Date]],FatmaUsf[[#This Row],[current date]],"Y")</f>
        <v>27</v>
      </c>
      <c r="R56" s="15">
        <v>6843</v>
      </c>
      <c r="S56" s="53">
        <f>FatmaUsf[[#This Row],[Salary]]*0.1</f>
        <v>684.30000000000007</v>
      </c>
      <c r="T56" s="16">
        <f>FatmaUsf[[#This Row],[Salary]]*0.03</f>
        <v>205.29</v>
      </c>
      <c r="U56" s="48">
        <f>FatmaUsf[[#This Row],[Salary]]-FatmaUsf[[#This Row],[Tax 10%]]+FatmaUsf[[#This Row],[Bonus 3%]]</f>
        <v>6363.99</v>
      </c>
      <c r="V56" s="17" t="str">
        <f>IF(FatmaUsf[[#This Row],[Net Salary]]&gt;=6000,"Over","Normal")</f>
        <v>Over</v>
      </c>
      <c r="W56" s="57">
        <f>VLOOKUP(FatmaUsf[[#This Row],[Net Salary]],$Z$10:$AA$14,2)</f>
        <v>0.02</v>
      </c>
      <c r="Z56" s="2"/>
    </row>
    <row r="57" spans="1:26" ht="15.75" customHeight="1">
      <c r="A57" s="24">
        <v>1056</v>
      </c>
      <c r="B57" s="10" t="s">
        <v>183</v>
      </c>
      <c r="C57" s="10" t="s">
        <v>184</v>
      </c>
      <c r="D57" s="41" t="str">
        <f>PROPER(TRIM(FatmaUsf[[#This Row],[Last Name]]&amp;" "&amp;FatmaUsf[[#This Row],[Last Name]]))</f>
        <v>Alzzahir Alzzahir</v>
      </c>
      <c r="E57" s="10" t="s">
        <v>100</v>
      </c>
      <c r="F57" s="10" t="s">
        <v>88</v>
      </c>
      <c r="G57" s="10" t="s">
        <v>1100</v>
      </c>
      <c r="H57" s="11" t="s">
        <v>22</v>
      </c>
      <c r="I57" s="11" t="s">
        <v>29</v>
      </c>
      <c r="J57" s="12" t="s">
        <v>12</v>
      </c>
      <c r="K57" s="10" t="s">
        <v>257</v>
      </c>
      <c r="L57" s="13">
        <v>2</v>
      </c>
      <c r="M57" s="14">
        <v>3</v>
      </c>
      <c r="N57" s="14">
        <v>2020</v>
      </c>
      <c r="O57" s="46">
        <f>DATE(FatmaUsf[[#This Row],[Hire Year]],FatmaUsf[[#This Row],[Hire Month]],FatmaUsf[[#This Row],[Hire Day]])</f>
        <v>43892</v>
      </c>
      <c r="P57" s="46">
        <f t="shared" ca="1" si="0"/>
        <v>46071</v>
      </c>
      <c r="Q57" s="14">
        <f ca="1">DATEDIF(FatmaUsf[[#This Row],[Hiring Date]],FatmaUsf[[#This Row],[current date]],"Y")</f>
        <v>5</v>
      </c>
      <c r="R57" s="15">
        <v>1070</v>
      </c>
      <c r="S57" s="53">
        <f>FatmaUsf[[#This Row],[Salary]]*0.1</f>
        <v>107</v>
      </c>
      <c r="T57" s="16">
        <f>FatmaUsf[[#This Row],[Salary]]*0.03</f>
        <v>32.1</v>
      </c>
      <c r="U57" s="48">
        <f>FatmaUsf[[#This Row],[Salary]]-FatmaUsf[[#This Row],[Tax 10%]]+FatmaUsf[[#This Row],[Bonus 3%]]</f>
        <v>995.1</v>
      </c>
      <c r="V57" s="17" t="str">
        <f>IF(FatmaUsf[[#This Row],[Net Salary]]&gt;=6000,"Over","Normal")</f>
        <v>Normal</v>
      </c>
      <c r="W57" s="57">
        <f>VLOOKUP(FatmaUsf[[#This Row],[Net Salary]],$Z$10:$AA$14,2)</f>
        <v>0.1</v>
      </c>
      <c r="Z57" s="2"/>
    </row>
    <row r="58" spans="1:26" ht="15.75" customHeight="1">
      <c r="A58" s="24">
        <v>1057</v>
      </c>
      <c r="B58" s="10" t="s">
        <v>185</v>
      </c>
      <c r="C58" s="10" t="s">
        <v>186</v>
      </c>
      <c r="D58" s="41" t="str">
        <f>PROPER(TRIM(FatmaUsf[[#This Row],[Last Name]]&amp;" "&amp;FatmaUsf[[#This Row],[Last Name]]))</f>
        <v>Ashbrh Ashbrh</v>
      </c>
      <c r="E58" s="10" t="s">
        <v>99</v>
      </c>
      <c r="F58" s="10" t="s">
        <v>89</v>
      </c>
      <c r="G58" s="10" t="s">
        <v>13</v>
      </c>
      <c r="H58" s="11" t="s">
        <v>22</v>
      </c>
      <c r="I58" s="11" t="s">
        <v>25</v>
      </c>
      <c r="J58" s="12" t="s">
        <v>10</v>
      </c>
      <c r="K58" s="10" t="s">
        <v>258</v>
      </c>
      <c r="L58" s="13">
        <v>10</v>
      </c>
      <c r="M58" s="14">
        <v>3</v>
      </c>
      <c r="N58" s="14">
        <v>1996</v>
      </c>
      <c r="O58" s="46">
        <f>DATE(FatmaUsf[[#This Row],[Hire Year]],FatmaUsf[[#This Row],[Hire Month]],FatmaUsf[[#This Row],[Hire Day]])</f>
        <v>35134</v>
      </c>
      <c r="P58" s="46">
        <f t="shared" ca="1" si="0"/>
        <v>46071</v>
      </c>
      <c r="Q58" s="14">
        <f ca="1">DATEDIF(FatmaUsf[[#This Row],[Hiring Date]],FatmaUsf[[#This Row],[current date]],"Y")</f>
        <v>29</v>
      </c>
      <c r="R58" s="15">
        <v>1493</v>
      </c>
      <c r="S58" s="53">
        <f>FatmaUsf[[#This Row],[Salary]]*0.1</f>
        <v>149.30000000000001</v>
      </c>
      <c r="T58" s="16">
        <f>FatmaUsf[[#This Row],[Salary]]*0.03</f>
        <v>44.79</v>
      </c>
      <c r="U58" s="48">
        <f>FatmaUsf[[#This Row],[Salary]]-FatmaUsf[[#This Row],[Tax 10%]]+FatmaUsf[[#This Row],[Bonus 3%]]</f>
        <v>1388.49</v>
      </c>
      <c r="V58" s="17" t="str">
        <f>IF(FatmaUsf[[#This Row],[Net Salary]]&gt;=6000,"Over","Normal")</f>
        <v>Normal</v>
      </c>
      <c r="W58" s="57">
        <f>VLOOKUP(FatmaUsf[[#This Row],[Net Salary]],$Z$10:$AA$14,2)</f>
        <v>0.08</v>
      </c>
      <c r="Z58" s="2"/>
    </row>
    <row r="59" spans="1:26" ht="15.75" customHeight="1">
      <c r="A59" s="24">
        <v>1058</v>
      </c>
      <c r="B59" s="10" t="s">
        <v>187</v>
      </c>
      <c r="C59" s="10" t="s">
        <v>188</v>
      </c>
      <c r="D59" s="41" t="str">
        <f>PROPER(TRIM(FatmaUsf[[#This Row],[Last Name]]&amp;" "&amp;FatmaUsf[[#This Row],[Last Name]]))</f>
        <v>Dahadal Dahadal</v>
      </c>
      <c r="E59" s="10" t="s">
        <v>99</v>
      </c>
      <c r="F59" s="10" t="s">
        <v>90</v>
      </c>
      <c r="G59" s="10" t="s">
        <v>19</v>
      </c>
      <c r="H59" s="11" t="s">
        <v>8</v>
      </c>
      <c r="I59" s="11" t="s">
        <v>25</v>
      </c>
      <c r="J59" s="12" t="s">
        <v>12</v>
      </c>
      <c r="K59" s="10" t="s">
        <v>259</v>
      </c>
      <c r="L59" s="13">
        <v>6</v>
      </c>
      <c r="M59" s="14">
        <v>4</v>
      </c>
      <c r="N59" s="14">
        <v>2011</v>
      </c>
      <c r="O59" s="46">
        <f>DATE(FatmaUsf[[#This Row],[Hire Year]],FatmaUsf[[#This Row],[Hire Month]],FatmaUsf[[#This Row],[Hire Day]])</f>
        <v>40639</v>
      </c>
      <c r="P59" s="46">
        <f t="shared" ca="1" si="0"/>
        <v>46071</v>
      </c>
      <c r="Q59" s="14">
        <f ca="1">DATEDIF(FatmaUsf[[#This Row],[Hiring Date]],FatmaUsf[[#This Row],[current date]],"Y")</f>
        <v>14</v>
      </c>
      <c r="R59" s="15">
        <v>5857</v>
      </c>
      <c r="S59" s="53">
        <f>FatmaUsf[[#This Row],[Salary]]*0.1</f>
        <v>585.70000000000005</v>
      </c>
      <c r="T59" s="16">
        <f>FatmaUsf[[#This Row],[Salary]]*0.03</f>
        <v>175.70999999999998</v>
      </c>
      <c r="U59" s="48">
        <f>FatmaUsf[[#This Row],[Salary]]-FatmaUsf[[#This Row],[Tax 10%]]+FatmaUsf[[#This Row],[Bonus 3%]]</f>
        <v>5447.01</v>
      </c>
      <c r="V59" s="17" t="str">
        <f>IF(FatmaUsf[[#This Row],[Net Salary]]&gt;=6000,"Over","Normal")</f>
        <v>Normal</v>
      </c>
      <c r="W59" s="57">
        <f>VLOOKUP(FatmaUsf[[#This Row],[Net Salary]],$Z$10:$AA$14,2)</f>
        <v>0.05</v>
      </c>
      <c r="Z59" s="2"/>
    </row>
    <row r="60" spans="1:26" ht="15.75" customHeight="1">
      <c r="A60" s="24">
        <v>1059</v>
      </c>
      <c r="B60" s="10" t="s">
        <v>189</v>
      </c>
      <c r="C60" s="10" t="s">
        <v>190</v>
      </c>
      <c r="D60" s="41" t="str">
        <f>PROPER(TRIM(FatmaUsf[[#This Row],[Last Name]]&amp;" "&amp;FatmaUsf[[#This Row],[Last Name]]))</f>
        <v>Tuish Tuish</v>
      </c>
      <c r="E60" s="10" t="s">
        <v>99</v>
      </c>
      <c r="F60" s="10" t="s">
        <v>91</v>
      </c>
      <c r="G60" s="10" t="s">
        <v>19</v>
      </c>
      <c r="H60" s="11" t="s">
        <v>11</v>
      </c>
      <c r="I60" s="11" t="s">
        <v>264</v>
      </c>
      <c r="J60" s="12" t="s">
        <v>12</v>
      </c>
      <c r="K60" s="10" t="s">
        <v>260</v>
      </c>
      <c r="L60" s="13">
        <v>12</v>
      </c>
      <c r="M60" s="14">
        <v>4</v>
      </c>
      <c r="N60" s="14">
        <v>2011</v>
      </c>
      <c r="O60" s="46">
        <f>DATE(FatmaUsf[[#This Row],[Hire Year]],FatmaUsf[[#This Row],[Hire Month]],FatmaUsf[[#This Row],[Hire Day]])</f>
        <v>40645</v>
      </c>
      <c r="P60" s="46">
        <f t="shared" ca="1" si="0"/>
        <v>46071</v>
      </c>
      <c r="Q60" s="14">
        <f ca="1">DATEDIF(FatmaUsf[[#This Row],[Hiring Date]],FatmaUsf[[#This Row],[current date]],"Y")</f>
        <v>14</v>
      </c>
      <c r="R60" s="15">
        <v>5278</v>
      </c>
      <c r="S60" s="53">
        <f>FatmaUsf[[#This Row],[Salary]]*0.1</f>
        <v>527.80000000000007</v>
      </c>
      <c r="T60" s="16">
        <f>FatmaUsf[[#This Row],[Salary]]*0.03</f>
        <v>158.34</v>
      </c>
      <c r="U60" s="48">
        <f>FatmaUsf[[#This Row],[Salary]]-FatmaUsf[[#This Row],[Tax 10%]]+FatmaUsf[[#This Row],[Bonus 3%]]</f>
        <v>4908.54</v>
      </c>
      <c r="V60" s="17" t="str">
        <f>IF(FatmaUsf[[#This Row],[Net Salary]]&gt;=6000,"Over","Normal")</f>
        <v>Normal</v>
      </c>
      <c r="W60" s="57">
        <f>VLOOKUP(FatmaUsf[[#This Row],[Net Salary]],$Z$10:$AA$14,2)</f>
        <v>0.05</v>
      </c>
      <c r="Z60" s="2"/>
    </row>
    <row r="61" spans="1:26" ht="15.75" customHeight="1">
      <c r="A61" s="24">
        <v>1060</v>
      </c>
      <c r="B61" s="10" t="s">
        <v>103</v>
      </c>
      <c r="C61" s="10" t="s">
        <v>191</v>
      </c>
      <c r="D61" s="41" t="str">
        <f>PROPER(TRIM(FatmaUsf[[#This Row],[Last Name]]&amp;" "&amp;FatmaUsf[[#This Row],[Last Name]]))</f>
        <v>Qarh Qarh</v>
      </c>
      <c r="E61" s="10" t="s">
        <v>100</v>
      </c>
      <c r="F61" s="10" t="s">
        <v>92</v>
      </c>
      <c r="G61" s="10" t="s">
        <v>1100</v>
      </c>
      <c r="H61" s="11" t="s">
        <v>8</v>
      </c>
      <c r="I61" s="11" t="s">
        <v>26</v>
      </c>
      <c r="J61" s="12" t="s">
        <v>12</v>
      </c>
      <c r="K61" s="10" t="s">
        <v>261</v>
      </c>
      <c r="L61" s="13">
        <v>13</v>
      </c>
      <c r="M61" s="14">
        <v>4</v>
      </c>
      <c r="N61" s="14">
        <v>2021</v>
      </c>
      <c r="O61" s="46">
        <f>DATE(FatmaUsf[[#This Row],[Hire Year]],FatmaUsf[[#This Row],[Hire Month]],FatmaUsf[[#This Row],[Hire Day]])</f>
        <v>44299</v>
      </c>
      <c r="P61" s="46">
        <f t="shared" ca="1" si="0"/>
        <v>46071</v>
      </c>
      <c r="Q61" s="14">
        <f ca="1">DATEDIF(FatmaUsf[[#This Row],[Hiring Date]],FatmaUsf[[#This Row],[current date]],"Y")</f>
        <v>4</v>
      </c>
      <c r="R61" s="15">
        <v>5710</v>
      </c>
      <c r="S61" s="53">
        <f>FatmaUsf[[#This Row],[Salary]]*0.1</f>
        <v>571</v>
      </c>
      <c r="T61" s="16">
        <f>FatmaUsf[[#This Row],[Salary]]*0.03</f>
        <v>171.29999999999998</v>
      </c>
      <c r="U61" s="48">
        <f>FatmaUsf[[#This Row],[Salary]]-FatmaUsf[[#This Row],[Tax 10%]]+FatmaUsf[[#This Row],[Bonus 3%]]</f>
        <v>5310.3</v>
      </c>
      <c r="V61" s="17" t="str">
        <f>IF(FatmaUsf[[#This Row],[Net Salary]]&gt;=6000,"Over","Normal")</f>
        <v>Normal</v>
      </c>
      <c r="W61" s="57">
        <f>VLOOKUP(FatmaUsf[[#This Row],[Net Salary]],$Z$10:$AA$14,2)</f>
        <v>0.05</v>
      </c>
      <c r="Z61" s="2"/>
    </row>
    <row r="62" spans="1:26" ht="15.75" customHeight="1">
      <c r="A62" s="24">
        <v>1061</v>
      </c>
      <c r="B62" s="10" t="s">
        <v>142</v>
      </c>
      <c r="C62" s="10" t="s">
        <v>192</v>
      </c>
      <c r="D62" s="41" t="str">
        <f>PROPER(TRIM(FatmaUsf[[#This Row],[Last Name]]&amp;" "&amp;FatmaUsf[[#This Row],[Last Name]]))</f>
        <v>Almisri Almisri</v>
      </c>
      <c r="E62" s="10" t="s">
        <v>99</v>
      </c>
      <c r="F62" s="10" t="s">
        <v>93</v>
      </c>
      <c r="G62" s="10" t="s">
        <v>13</v>
      </c>
      <c r="H62" s="11" t="s">
        <v>8</v>
      </c>
      <c r="I62" s="11" t="s">
        <v>15</v>
      </c>
      <c r="J62" s="12" t="s">
        <v>12</v>
      </c>
      <c r="K62" s="10" t="s">
        <v>262</v>
      </c>
      <c r="L62" s="13">
        <v>28</v>
      </c>
      <c r="M62" s="14">
        <v>4</v>
      </c>
      <c r="N62" s="14">
        <v>2013</v>
      </c>
      <c r="O62" s="46">
        <f>DATE(FatmaUsf[[#This Row],[Hire Year]],FatmaUsf[[#This Row],[Hire Month]],FatmaUsf[[#This Row],[Hire Day]])</f>
        <v>41392</v>
      </c>
      <c r="P62" s="46">
        <f t="shared" ca="1" si="0"/>
        <v>46071</v>
      </c>
      <c r="Q62" s="14">
        <f ca="1">DATEDIF(FatmaUsf[[#This Row],[Hiring Date]],FatmaUsf[[#This Row],[current date]],"Y")</f>
        <v>12</v>
      </c>
      <c r="R62" s="15">
        <v>6145</v>
      </c>
      <c r="S62" s="53">
        <f>FatmaUsf[[#This Row],[Salary]]*0.1</f>
        <v>614.5</v>
      </c>
      <c r="T62" s="16">
        <f>FatmaUsf[[#This Row],[Salary]]*0.03</f>
        <v>184.35</v>
      </c>
      <c r="U62" s="48">
        <f>FatmaUsf[[#This Row],[Salary]]-FatmaUsf[[#This Row],[Tax 10%]]+FatmaUsf[[#This Row],[Bonus 3%]]</f>
        <v>5714.85</v>
      </c>
      <c r="V62" s="17" t="str">
        <f>IF(FatmaUsf[[#This Row],[Net Salary]]&gt;=6000,"Over","Normal")</f>
        <v>Normal</v>
      </c>
      <c r="W62" s="57">
        <f>VLOOKUP(FatmaUsf[[#This Row],[Net Salary]],$Z$10:$AA$14,2)</f>
        <v>0.05</v>
      </c>
      <c r="Z62" s="2"/>
    </row>
    <row r="63" spans="1:26" ht="15.75" customHeight="1">
      <c r="A63" s="24">
        <v>1062</v>
      </c>
      <c r="B63" s="10" t="s">
        <v>103</v>
      </c>
      <c r="C63" s="10" t="s">
        <v>193</v>
      </c>
      <c r="D63" s="41" t="str">
        <f>PROPER(TRIM(FatmaUsf[[#This Row],[Last Name]]&amp;" "&amp;FatmaUsf[[#This Row],[Last Name]]))</f>
        <v>Alzaybq Alzaybq</v>
      </c>
      <c r="E63" s="10" t="s">
        <v>100</v>
      </c>
      <c r="F63" s="10" t="s">
        <v>94</v>
      </c>
      <c r="G63" s="10" t="s">
        <v>17</v>
      </c>
      <c r="H63" s="11" t="s">
        <v>11</v>
      </c>
      <c r="I63" s="11" t="s">
        <v>26</v>
      </c>
      <c r="J63" s="12" t="s">
        <v>23</v>
      </c>
      <c r="K63" s="10" t="s">
        <v>263</v>
      </c>
      <c r="L63" s="13">
        <v>1</v>
      </c>
      <c r="M63" s="14">
        <v>5</v>
      </c>
      <c r="N63" s="14">
        <v>1993</v>
      </c>
      <c r="O63" s="46">
        <f>DATE(FatmaUsf[[#This Row],[Hire Year]],FatmaUsf[[#This Row],[Hire Month]],FatmaUsf[[#This Row],[Hire Day]])</f>
        <v>34090</v>
      </c>
      <c r="P63" s="46">
        <f t="shared" ca="1" si="0"/>
        <v>46071</v>
      </c>
      <c r="Q63" s="14">
        <f ca="1">DATEDIF(FatmaUsf[[#This Row],[Hiring Date]],FatmaUsf[[#This Row],[current date]],"Y")</f>
        <v>32</v>
      </c>
      <c r="R63" s="15">
        <v>5278</v>
      </c>
      <c r="S63" s="53">
        <f>FatmaUsf[[#This Row],[Salary]]*0.1</f>
        <v>527.80000000000007</v>
      </c>
      <c r="T63" s="16">
        <f>FatmaUsf[[#This Row],[Salary]]*0.03</f>
        <v>158.34</v>
      </c>
      <c r="U63" s="48">
        <f>FatmaUsf[[#This Row],[Salary]]-FatmaUsf[[#This Row],[Tax 10%]]+FatmaUsf[[#This Row],[Bonus 3%]]</f>
        <v>4908.54</v>
      </c>
      <c r="V63" s="17" t="str">
        <f>IF(FatmaUsf[[#This Row],[Net Salary]]&gt;=6000,"Over","Normal")</f>
        <v>Normal</v>
      </c>
      <c r="W63" s="57">
        <f>VLOOKUP(FatmaUsf[[#This Row],[Net Salary]],$Z$10:$AA$14,2)</f>
        <v>0.05</v>
      </c>
      <c r="Z63" s="2"/>
    </row>
    <row r="64" spans="1:26" ht="15.75" customHeight="1">
      <c r="A64" s="24">
        <v>1063</v>
      </c>
      <c r="B64" s="10" t="s">
        <v>103</v>
      </c>
      <c r="C64" s="10" t="s">
        <v>278</v>
      </c>
      <c r="D64" s="41" t="str">
        <f>PROPER(TRIM(FatmaUsf[[#This Row],[Last Name]]&amp;" "&amp;FatmaUsf[[#This Row],[Last Name]]))</f>
        <v>Rajab Rajab</v>
      </c>
      <c r="E64" s="10" t="s">
        <v>100</v>
      </c>
      <c r="F64" s="10" t="s">
        <v>621</v>
      </c>
      <c r="G64" s="10" t="s">
        <v>1100</v>
      </c>
      <c r="H64" s="11" t="s">
        <v>11</v>
      </c>
      <c r="I64" s="11" t="s">
        <v>9</v>
      </c>
      <c r="J64" s="12" t="s">
        <v>12</v>
      </c>
      <c r="K64" s="10" t="s">
        <v>859</v>
      </c>
      <c r="L64" s="13">
        <v>12</v>
      </c>
      <c r="M64" s="14">
        <v>2</v>
      </c>
      <c r="N64" s="14">
        <v>1999</v>
      </c>
      <c r="O64" s="46">
        <f>DATE(FatmaUsf[[#This Row],[Hire Year]],FatmaUsf[[#This Row],[Hire Month]],FatmaUsf[[#This Row],[Hire Day]])</f>
        <v>36203</v>
      </c>
      <c r="P64" s="46">
        <f t="shared" ca="1" si="0"/>
        <v>46071</v>
      </c>
      <c r="Q64" s="14">
        <f ca="1">DATEDIF(FatmaUsf[[#This Row],[Hiring Date]],FatmaUsf[[#This Row],[current date]],"Y")</f>
        <v>27</v>
      </c>
      <c r="R64" s="15">
        <v>6548</v>
      </c>
      <c r="S64" s="53">
        <f>FatmaUsf[[#This Row],[Salary]]*0.1</f>
        <v>654.80000000000007</v>
      </c>
      <c r="T64" s="16">
        <f>FatmaUsf[[#This Row],[Salary]]*0.03</f>
        <v>196.44</v>
      </c>
      <c r="U64" s="48">
        <f>FatmaUsf[[#This Row],[Salary]]-FatmaUsf[[#This Row],[Tax 10%]]+FatmaUsf[[#This Row],[Bonus 3%]]</f>
        <v>6089.6399999999994</v>
      </c>
      <c r="V64" s="17" t="str">
        <f>IF(FatmaUsf[[#This Row],[Net Salary]]&gt;=6000,"Over","Normal")</f>
        <v>Over</v>
      </c>
      <c r="W64" s="57">
        <f>VLOOKUP(FatmaUsf[[#This Row],[Net Salary]],$Z$10:$AA$14,2)</f>
        <v>0.02</v>
      </c>
    </row>
    <row r="65" spans="1:23" ht="15.75" customHeight="1">
      <c r="A65" s="24">
        <v>1064</v>
      </c>
      <c r="B65" s="10" t="s">
        <v>279</v>
      </c>
      <c r="C65" s="10" t="s">
        <v>280</v>
      </c>
      <c r="D65" s="41" t="str">
        <f>PROPER(TRIM(FatmaUsf[[#This Row],[Last Name]]&amp;" "&amp;FatmaUsf[[#This Row],[Last Name]]))</f>
        <v>Hmshw Hmshw</v>
      </c>
      <c r="E65" s="10" t="s">
        <v>99</v>
      </c>
      <c r="F65" s="10" t="s">
        <v>622</v>
      </c>
      <c r="G65" s="10" t="s">
        <v>7</v>
      </c>
      <c r="H65" s="11" t="s">
        <v>11</v>
      </c>
      <c r="I65" s="11" t="s">
        <v>25</v>
      </c>
      <c r="J65" s="12" t="s">
        <v>12</v>
      </c>
      <c r="K65" s="10" t="s">
        <v>860</v>
      </c>
      <c r="L65" s="13">
        <v>21</v>
      </c>
      <c r="M65" s="14">
        <v>1</v>
      </c>
      <c r="N65" s="14">
        <v>2006</v>
      </c>
      <c r="O65" s="46">
        <f>DATE(FatmaUsf[[#This Row],[Hire Year]],FatmaUsf[[#This Row],[Hire Month]],FatmaUsf[[#This Row],[Hire Day]])</f>
        <v>38738</v>
      </c>
      <c r="P65" s="46">
        <f t="shared" ca="1" si="0"/>
        <v>46071</v>
      </c>
      <c r="Q65" s="14">
        <f ca="1">DATEDIF(FatmaUsf[[#This Row],[Hiring Date]],FatmaUsf[[#This Row],[current date]],"Y")</f>
        <v>20</v>
      </c>
      <c r="R65" s="15">
        <v>7175</v>
      </c>
      <c r="S65" s="53">
        <f>FatmaUsf[[#This Row],[Salary]]*0.1</f>
        <v>717.5</v>
      </c>
      <c r="T65" s="16">
        <f>FatmaUsf[[#This Row],[Salary]]*0.03</f>
        <v>215.25</v>
      </c>
      <c r="U65" s="48">
        <f>FatmaUsf[[#This Row],[Salary]]-FatmaUsf[[#This Row],[Tax 10%]]+FatmaUsf[[#This Row],[Bonus 3%]]</f>
        <v>6672.75</v>
      </c>
      <c r="V65" s="17" t="str">
        <f>IF(FatmaUsf[[#This Row],[Net Salary]]&gt;=6000,"Over","Normal")</f>
        <v>Over</v>
      </c>
      <c r="W65" s="57">
        <f>VLOOKUP(FatmaUsf[[#This Row],[Net Salary]],$Z$10:$AA$14,2)</f>
        <v>0.02</v>
      </c>
    </row>
    <row r="66" spans="1:23" ht="15.75" customHeight="1">
      <c r="A66" s="24">
        <v>1065</v>
      </c>
      <c r="B66" s="10" t="s">
        <v>281</v>
      </c>
      <c r="C66" s="10" t="s">
        <v>282</v>
      </c>
      <c r="D66" s="41" t="str">
        <f>PROPER(TRIM(FatmaUsf[[#This Row],[Last Name]]&amp;" "&amp;FatmaUsf[[#This Row],[Last Name]]))</f>
        <v>Sharaf Sharaf</v>
      </c>
      <c r="E66" s="10" t="s">
        <v>99</v>
      </c>
      <c r="F66" s="10" t="s">
        <v>623</v>
      </c>
      <c r="G66" s="10" t="s">
        <v>13</v>
      </c>
      <c r="H66" s="11" t="s">
        <v>8</v>
      </c>
      <c r="I66" s="11" t="s">
        <v>9</v>
      </c>
      <c r="J66" s="12" t="s">
        <v>10</v>
      </c>
      <c r="K66" s="10" t="s">
        <v>207</v>
      </c>
      <c r="L66" s="13">
        <v>9</v>
      </c>
      <c r="M66" s="14">
        <v>3</v>
      </c>
      <c r="N66" s="14">
        <v>1996</v>
      </c>
      <c r="O66" s="46">
        <f>DATE(FatmaUsf[[#This Row],[Hire Year]],FatmaUsf[[#This Row],[Hire Month]],FatmaUsf[[#This Row],[Hire Day]])</f>
        <v>35133</v>
      </c>
      <c r="P66" s="46">
        <f t="shared" ref="P66:P129" ca="1" si="1">TODAY()</f>
        <v>46071</v>
      </c>
      <c r="Q66" s="14">
        <f ca="1">DATEDIF(FatmaUsf[[#This Row],[Hiring Date]],FatmaUsf[[#This Row],[current date]],"Y")</f>
        <v>29</v>
      </c>
      <c r="R66" s="15">
        <v>4070</v>
      </c>
      <c r="S66" s="53">
        <f>FatmaUsf[[#This Row],[Salary]]*0.1</f>
        <v>407</v>
      </c>
      <c r="T66" s="16">
        <f>FatmaUsf[[#This Row],[Salary]]*0.03</f>
        <v>122.1</v>
      </c>
      <c r="U66" s="48">
        <f>FatmaUsf[[#This Row],[Salary]]-FatmaUsf[[#This Row],[Tax 10%]]+FatmaUsf[[#This Row],[Bonus 3%]]</f>
        <v>3785.1</v>
      </c>
      <c r="V66" s="17" t="str">
        <f>IF(FatmaUsf[[#This Row],[Net Salary]]&gt;=6000,"Over","Normal")</f>
        <v>Normal</v>
      </c>
      <c r="W66" s="57">
        <f>VLOOKUP(FatmaUsf[[#This Row],[Net Salary]],$Z$10:$AA$14,2)</f>
        <v>0.05</v>
      </c>
    </row>
    <row r="67" spans="1:23" ht="15.75" customHeight="1">
      <c r="A67" s="24">
        <v>1066</v>
      </c>
      <c r="B67" s="10" t="s">
        <v>102</v>
      </c>
      <c r="C67" s="10" t="s">
        <v>283</v>
      </c>
      <c r="D67" s="41" t="str">
        <f>PROPER(TRIM(FatmaUsf[[#This Row],[Last Name]]&amp;" "&amp;FatmaUsf[[#This Row],[Last Name]]))</f>
        <v>Bikri Bikri</v>
      </c>
      <c r="E67" s="10" t="s">
        <v>100</v>
      </c>
      <c r="F67" s="10" t="s">
        <v>624</v>
      </c>
      <c r="G67" s="10" t="s">
        <v>1100</v>
      </c>
      <c r="H67" s="11" t="s">
        <v>11</v>
      </c>
      <c r="I67" s="11" t="s">
        <v>15</v>
      </c>
      <c r="J67" s="12" t="s">
        <v>10</v>
      </c>
      <c r="K67" s="10" t="s">
        <v>209</v>
      </c>
      <c r="L67" s="13">
        <v>4</v>
      </c>
      <c r="M67" s="14">
        <v>11</v>
      </c>
      <c r="N67" s="14">
        <v>2006</v>
      </c>
      <c r="O67" s="46">
        <f>DATE(FatmaUsf[[#This Row],[Hire Year]],FatmaUsf[[#This Row],[Hire Month]],FatmaUsf[[#This Row],[Hire Day]])</f>
        <v>39025</v>
      </c>
      <c r="P67" s="46">
        <f t="shared" ca="1" si="1"/>
        <v>46071</v>
      </c>
      <c r="Q67" s="14">
        <f ca="1">DATEDIF(FatmaUsf[[#This Row],[Hiring Date]],FatmaUsf[[#This Row],[current date]],"Y")</f>
        <v>19</v>
      </c>
      <c r="R67" s="15">
        <v>1906</v>
      </c>
      <c r="S67" s="53">
        <f>FatmaUsf[[#This Row],[Salary]]*0.1</f>
        <v>190.60000000000002</v>
      </c>
      <c r="T67" s="16">
        <f>FatmaUsf[[#This Row],[Salary]]*0.03</f>
        <v>57.18</v>
      </c>
      <c r="U67" s="48">
        <f>FatmaUsf[[#This Row],[Salary]]-FatmaUsf[[#This Row],[Tax 10%]]+FatmaUsf[[#This Row],[Bonus 3%]]</f>
        <v>1772.5800000000002</v>
      </c>
      <c r="V67" s="17" t="str">
        <f>IF(FatmaUsf[[#This Row],[Net Salary]]&gt;=6000,"Over","Normal")</f>
        <v>Normal</v>
      </c>
      <c r="W67" s="57">
        <f>VLOOKUP(FatmaUsf[[#This Row],[Net Salary]],$Z$10:$AA$14,2)</f>
        <v>0.08</v>
      </c>
    </row>
    <row r="68" spans="1:23" ht="15.75" customHeight="1">
      <c r="A68" s="24">
        <v>1067</v>
      </c>
      <c r="B68" s="10" t="s">
        <v>284</v>
      </c>
      <c r="C68" s="10" t="s">
        <v>285</v>
      </c>
      <c r="D68" s="41" t="str">
        <f>PROPER(TRIM(FatmaUsf[[#This Row],[Last Name]]&amp;" "&amp;FatmaUsf[[#This Row],[Last Name]]))</f>
        <v>Alkhalifa Alkhalifa</v>
      </c>
      <c r="E68" s="10" t="s">
        <v>100</v>
      </c>
      <c r="F68" s="10" t="s">
        <v>625</v>
      </c>
      <c r="G68" s="10" t="s">
        <v>17</v>
      </c>
      <c r="H68" s="11" t="s">
        <v>8</v>
      </c>
      <c r="I68" s="11" t="s">
        <v>15</v>
      </c>
      <c r="J68" s="12" t="s">
        <v>10</v>
      </c>
      <c r="K68" s="10" t="s">
        <v>861</v>
      </c>
      <c r="L68" s="13">
        <v>20</v>
      </c>
      <c r="M68" s="14">
        <v>12</v>
      </c>
      <c r="N68" s="14">
        <v>2021</v>
      </c>
      <c r="O68" s="46">
        <f>DATE(FatmaUsf[[#This Row],[Hire Year]],FatmaUsf[[#This Row],[Hire Month]],FatmaUsf[[#This Row],[Hire Day]])</f>
        <v>44550</v>
      </c>
      <c r="P68" s="46">
        <f t="shared" ca="1" si="1"/>
        <v>46071</v>
      </c>
      <c r="Q68" s="14">
        <f ca="1">DATEDIF(FatmaUsf[[#This Row],[Hiring Date]],FatmaUsf[[#This Row],[current date]],"Y")</f>
        <v>4</v>
      </c>
      <c r="R68" s="15">
        <v>2600</v>
      </c>
      <c r="S68" s="53">
        <f>FatmaUsf[[#This Row],[Salary]]*0.1</f>
        <v>260</v>
      </c>
      <c r="T68" s="16">
        <f>FatmaUsf[[#This Row],[Salary]]*0.03</f>
        <v>78</v>
      </c>
      <c r="U68" s="48">
        <f>FatmaUsf[[#This Row],[Salary]]-FatmaUsf[[#This Row],[Tax 10%]]+FatmaUsf[[#This Row],[Bonus 3%]]</f>
        <v>2418</v>
      </c>
      <c r="V68" s="17" t="str">
        <f>IF(FatmaUsf[[#This Row],[Net Salary]]&gt;=6000,"Over","Normal")</f>
        <v>Normal</v>
      </c>
      <c r="W68" s="57">
        <f>VLOOKUP(FatmaUsf[[#This Row],[Net Salary]],$Z$10:$AA$14,2)</f>
        <v>0.08</v>
      </c>
    </row>
    <row r="69" spans="1:23" ht="15.75" customHeight="1">
      <c r="A69" s="24">
        <v>1068</v>
      </c>
      <c r="B69" s="10" t="s">
        <v>277</v>
      </c>
      <c r="C69" s="10" t="s">
        <v>286</v>
      </c>
      <c r="D69" s="41" t="str">
        <f>PROPER(TRIM(FatmaUsf[[#This Row],[Last Name]]&amp;" "&amp;FatmaUsf[[#This Row],[Last Name]]))</f>
        <v>Ramadan Ramadan</v>
      </c>
      <c r="E69" s="10" t="s">
        <v>100</v>
      </c>
      <c r="F69" s="10" t="s">
        <v>626</v>
      </c>
      <c r="G69" s="10" t="s">
        <v>13</v>
      </c>
      <c r="H69" s="11" t="s">
        <v>11</v>
      </c>
      <c r="I69" s="11" t="s">
        <v>18</v>
      </c>
      <c r="J69" s="12" t="s">
        <v>20</v>
      </c>
      <c r="K69" s="10" t="s">
        <v>862</v>
      </c>
      <c r="L69" s="13">
        <v>18</v>
      </c>
      <c r="M69" s="14">
        <v>12</v>
      </c>
      <c r="N69" s="14">
        <v>2011</v>
      </c>
      <c r="O69" s="46">
        <f>DATE(FatmaUsf[[#This Row],[Hire Year]],FatmaUsf[[#This Row],[Hire Month]],FatmaUsf[[#This Row],[Hire Day]])</f>
        <v>40895</v>
      </c>
      <c r="P69" s="46">
        <f t="shared" ca="1" si="1"/>
        <v>46071</v>
      </c>
      <c r="Q69" s="14">
        <f ca="1">DATEDIF(FatmaUsf[[#This Row],[Hiring Date]],FatmaUsf[[#This Row],[current date]],"Y")</f>
        <v>14</v>
      </c>
      <c r="R69" s="15">
        <v>3753</v>
      </c>
      <c r="S69" s="53">
        <f>FatmaUsf[[#This Row],[Salary]]*0.1</f>
        <v>375.3</v>
      </c>
      <c r="T69" s="16">
        <f>FatmaUsf[[#This Row],[Salary]]*0.03</f>
        <v>112.58999999999999</v>
      </c>
      <c r="U69" s="48">
        <f>FatmaUsf[[#This Row],[Salary]]-FatmaUsf[[#This Row],[Tax 10%]]+FatmaUsf[[#This Row],[Bonus 3%]]</f>
        <v>3490.29</v>
      </c>
      <c r="V69" s="17" t="str">
        <f>IF(FatmaUsf[[#This Row],[Net Salary]]&gt;=6000,"Over","Normal")</f>
        <v>Normal</v>
      </c>
      <c r="W69" s="57">
        <f>VLOOKUP(FatmaUsf[[#This Row],[Net Salary]],$Z$10:$AA$14,2)</f>
        <v>0.05</v>
      </c>
    </row>
    <row r="70" spans="1:23" ht="15.75" customHeight="1">
      <c r="A70" s="24">
        <v>1069</v>
      </c>
      <c r="B70" s="10" t="s">
        <v>169</v>
      </c>
      <c r="C70" s="10" t="s">
        <v>276</v>
      </c>
      <c r="D70" s="41" t="str">
        <f>PROPER(TRIM(FatmaUsf[[#This Row],[Last Name]]&amp;" "&amp;FatmaUsf[[#This Row],[Last Name]]))</f>
        <v>Alkhatib Alkhatib</v>
      </c>
      <c r="E70" s="10" t="s">
        <v>100</v>
      </c>
      <c r="F70" s="10" t="s">
        <v>627</v>
      </c>
      <c r="G70" s="10" t="s">
        <v>19</v>
      </c>
      <c r="H70" s="11" t="s">
        <v>8</v>
      </c>
      <c r="I70" s="11" t="s">
        <v>264</v>
      </c>
      <c r="J70" s="12" t="s">
        <v>23</v>
      </c>
      <c r="K70" s="10" t="s">
        <v>863</v>
      </c>
      <c r="L70" s="13">
        <v>8</v>
      </c>
      <c r="M70" s="14">
        <v>3</v>
      </c>
      <c r="N70" s="14">
        <v>1994</v>
      </c>
      <c r="O70" s="46">
        <f>DATE(FatmaUsf[[#This Row],[Hire Year]],FatmaUsf[[#This Row],[Hire Month]],FatmaUsf[[#This Row],[Hire Day]])</f>
        <v>34401</v>
      </c>
      <c r="P70" s="46">
        <f t="shared" ca="1" si="1"/>
        <v>46071</v>
      </c>
      <c r="Q70" s="14">
        <f ca="1">DATEDIF(FatmaUsf[[#This Row],[Hiring Date]],FatmaUsf[[#This Row],[current date]],"Y")</f>
        <v>31</v>
      </c>
      <c r="R70" s="15">
        <v>5086</v>
      </c>
      <c r="S70" s="53">
        <f>FatmaUsf[[#This Row],[Salary]]*0.1</f>
        <v>508.6</v>
      </c>
      <c r="T70" s="16">
        <f>FatmaUsf[[#This Row],[Salary]]*0.03</f>
        <v>152.57999999999998</v>
      </c>
      <c r="U70" s="48">
        <f>FatmaUsf[[#This Row],[Salary]]-FatmaUsf[[#This Row],[Tax 10%]]+FatmaUsf[[#This Row],[Bonus 3%]]</f>
        <v>4729.9799999999996</v>
      </c>
      <c r="V70" s="17" t="str">
        <f>IF(FatmaUsf[[#This Row],[Net Salary]]&gt;=6000,"Over","Normal")</f>
        <v>Normal</v>
      </c>
      <c r="W70" s="57">
        <f>VLOOKUP(FatmaUsf[[#This Row],[Net Salary]],$Z$10:$AA$14,2)</f>
        <v>0.05</v>
      </c>
    </row>
    <row r="71" spans="1:23" ht="15.75" customHeight="1">
      <c r="A71" s="24">
        <v>1070</v>
      </c>
      <c r="B71" s="10" t="s">
        <v>287</v>
      </c>
      <c r="C71" s="10" t="s">
        <v>288</v>
      </c>
      <c r="D71" s="41" t="str">
        <f>PROPER(TRIM(FatmaUsf[[#This Row],[Last Name]]&amp;" "&amp;FatmaUsf[[#This Row],[Last Name]]))</f>
        <v>Akrym Akrym</v>
      </c>
      <c r="E71" s="10" t="s">
        <v>99</v>
      </c>
      <c r="F71" s="10" t="s">
        <v>628</v>
      </c>
      <c r="G71" s="10" t="s">
        <v>13</v>
      </c>
      <c r="H71" s="11" t="s">
        <v>8</v>
      </c>
      <c r="I71" s="11" t="s">
        <v>9</v>
      </c>
      <c r="J71" s="12" t="s">
        <v>20</v>
      </c>
      <c r="K71" s="10" t="s">
        <v>864</v>
      </c>
      <c r="L71" s="13">
        <v>24</v>
      </c>
      <c r="M71" s="14">
        <v>3</v>
      </c>
      <c r="N71" s="14">
        <v>2000</v>
      </c>
      <c r="O71" s="46">
        <f>DATE(FatmaUsf[[#This Row],[Hire Year]],FatmaUsf[[#This Row],[Hire Month]],FatmaUsf[[#This Row],[Hire Day]])</f>
        <v>36609</v>
      </c>
      <c r="P71" s="46">
        <f t="shared" ca="1" si="1"/>
        <v>46071</v>
      </c>
      <c r="Q71" s="14">
        <f ca="1">DATEDIF(FatmaUsf[[#This Row],[Hiring Date]],FatmaUsf[[#This Row],[current date]],"Y")</f>
        <v>25</v>
      </c>
      <c r="R71" s="15">
        <v>2431</v>
      </c>
      <c r="S71" s="53">
        <f>FatmaUsf[[#This Row],[Salary]]*0.1</f>
        <v>243.10000000000002</v>
      </c>
      <c r="T71" s="16">
        <f>FatmaUsf[[#This Row],[Salary]]*0.03</f>
        <v>72.929999999999993</v>
      </c>
      <c r="U71" s="48">
        <f>FatmaUsf[[#This Row],[Salary]]-FatmaUsf[[#This Row],[Tax 10%]]+FatmaUsf[[#This Row],[Bonus 3%]]</f>
        <v>2260.83</v>
      </c>
      <c r="V71" s="17" t="str">
        <f>IF(FatmaUsf[[#This Row],[Net Salary]]&gt;=6000,"Over","Normal")</f>
        <v>Normal</v>
      </c>
      <c r="W71" s="57">
        <f>VLOOKUP(FatmaUsf[[#This Row],[Net Salary]],$Z$10:$AA$14,2)</f>
        <v>0.08</v>
      </c>
    </row>
    <row r="72" spans="1:23" ht="15.75" customHeight="1">
      <c r="A72" s="24">
        <v>1071</v>
      </c>
      <c r="B72" s="10" t="s">
        <v>289</v>
      </c>
      <c r="C72" s="10" t="s">
        <v>290</v>
      </c>
      <c r="D72" s="41" t="str">
        <f>PROPER(TRIM(FatmaUsf[[#This Row],[Last Name]]&amp;" "&amp;FatmaUsf[[#This Row],[Last Name]]))</f>
        <v>Almaydanii Almaydanii</v>
      </c>
      <c r="E72" s="10" t="s">
        <v>99</v>
      </c>
      <c r="F72" s="10" t="s">
        <v>629</v>
      </c>
      <c r="G72" s="10" t="s">
        <v>17</v>
      </c>
      <c r="H72" s="11" t="s">
        <v>8</v>
      </c>
      <c r="I72" s="11" t="s">
        <v>9</v>
      </c>
      <c r="J72" s="12" t="s">
        <v>10</v>
      </c>
      <c r="K72" s="10" t="s">
        <v>865</v>
      </c>
      <c r="L72" s="13">
        <v>4</v>
      </c>
      <c r="M72" s="14">
        <v>10</v>
      </c>
      <c r="N72" s="14">
        <v>2016</v>
      </c>
      <c r="O72" s="46">
        <f>DATE(FatmaUsf[[#This Row],[Hire Year]],FatmaUsf[[#This Row],[Hire Month]],FatmaUsf[[#This Row],[Hire Day]])</f>
        <v>42647</v>
      </c>
      <c r="P72" s="46">
        <f t="shared" ca="1" si="1"/>
        <v>46071</v>
      </c>
      <c r="Q72" s="14">
        <f ca="1">DATEDIF(FatmaUsf[[#This Row],[Hiring Date]],FatmaUsf[[#This Row],[current date]],"Y")</f>
        <v>9</v>
      </c>
      <c r="R72" s="15">
        <v>2955</v>
      </c>
      <c r="S72" s="53">
        <f>FatmaUsf[[#This Row],[Salary]]*0.1</f>
        <v>295.5</v>
      </c>
      <c r="T72" s="16">
        <f>FatmaUsf[[#This Row],[Salary]]*0.03</f>
        <v>88.649999999999991</v>
      </c>
      <c r="U72" s="48">
        <f>FatmaUsf[[#This Row],[Salary]]-FatmaUsf[[#This Row],[Tax 10%]]+FatmaUsf[[#This Row],[Bonus 3%]]</f>
        <v>2748.15</v>
      </c>
      <c r="V72" s="17" t="str">
        <f>IF(FatmaUsf[[#This Row],[Net Salary]]&gt;=6000,"Over","Normal")</f>
        <v>Normal</v>
      </c>
      <c r="W72" s="57">
        <f>VLOOKUP(FatmaUsf[[#This Row],[Net Salary]],$Z$10:$AA$14,2)</f>
        <v>0.08</v>
      </c>
    </row>
    <row r="73" spans="1:23" ht="15.75" customHeight="1">
      <c r="A73" s="24">
        <v>1072</v>
      </c>
      <c r="B73" s="10" t="s">
        <v>97</v>
      </c>
      <c r="C73" s="10" t="s">
        <v>291</v>
      </c>
      <c r="D73" s="41" t="str">
        <f>PROPER(TRIM(FatmaUsf[[#This Row],[Last Name]]&amp;" "&amp;FatmaUsf[[#This Row],[Last Name]]))</f>
        <v>Alhamid Alhamid</v>
      </c>
      <c r="E73" s="10" t="s">
        <v>100</v>
      </c>
      <c r="F73" s="10" t="s">
        <v>630</v>
      </c>
      <c r="G73" s="10" t="s">
        <v>17</v>
      </c>
      <c r="H73" s="11" t="s">
        <v>22</v>
      </c>
      <c r="I73" s="11" t="s">
        <v>264</v>
      </c>
      <c r="J73" s="12" t="s">
        <v>23</v>
      </c>
      <c r="K73" s="10" t="s">
        <v>866</v>
      </c>
      <c r="L73" s="13">
        <v>11</v>
      </c>
      <c r="M73" s="14">
        <v>8</v>
      </c>
      <c r="N73" s="14">
        <v>2018</v>
      </c>
      <c r="O73" s="46">
        <f>DATE(FatmaUsf[[#This Row],[Hire Year]],FatmaUsf[[#This Row],[Hire Month]],FatmaUsf[[#This Row],[Hire Day]])</f>
        <v>43323</v>
      </c>
      <c r="P73" s="46">
        <f t="shared" ca="1" si="1"/>
        <v>46071</v>
      </c>
      <c r="Q73" s="14">
        <f ca="1">DATEDIF(FatmaUsf[[#This Row],[Hiring Date]],FatmaUsf[[#This Row],[current date]],"Y")</f>
        <v>7</v>
      </c>
      <c r="R73" s="15">
        <v>1948</v>
      </c>
      <c r="S73" s="53">
        <f>FatmaUsf[[#This Row],[Salary]]*0.1</f>
        <v>194.8</v>
      </c>
      <c r="T73" s="16">
        <f>FatmaUsf[[#This Row],[Salary]]*0.03</f>
        <v>58.44</v>
      </c>
      <c r="U73" s="48">
        <f>FatmaUsf[[#This Row],[Salary]]-FatmaUsf[[#This Row],[Tax 10%]]+FatmaUsf[[#This Row],[Bonus 3%]]</f>
        <v>1811.64</v>
      </c>
      <c r="V73" s="17" t="str">
        <f>IF(FatmaUsf[[#This Row],[Net Salary]]&gt;=6000,"Over","Normal")</f>
        <v>Normal</v>
      </c>
      <c r="W73" s="57">
        <f>VLOOKUP(FatmaUsf[[#This Row],[Net Salary]],$Z$10:$AA$14,2)</f>
        <v>0.08</v>
      </c>
    </row>
    <row r="74" spans="1:23" ht="15.75" customHeight="1">
      <c r="A74" s="24">
        <v>1073</v>
      </c>
      <c r="B74" s="10" t="s">
        <v>292</v>
      </c>
      <c r="C74" s="10" t="s">
        <v>293</v>
      </c>
      <c r="D74" s="41" t="str">
        <f>PROPER(TRIM(FatmaUsf[[#This Row],[Last Name]]&amp;" "&amp;FatmaUsf[[#This Row],[Last Name]]))</f>
        <v>Jabir Jabir</v>
      </c>
      <c r="E74" s="10" t="s">
        <v>100</v>
      </c>
      <c r="F74" s="10" t="s">
        <v>631</v>
      </c>
      <c r="G74" s="10" t="s">
        <v>19</v>
      </c>
      <c r="H74" s="11" t="s">
        <v>22</v>
      </c>
      <c r="I74" s="11" t="s">
        <v>25</v>
      </c>
      <c r="J74" s="12" t="s">
        <v>23</v>
      </c>
      <c r="K74" s="10" t="s">
        <v>867</v>
      </c>
      <c r="L74" s="13">
        <v>10</v>
      </c>
      <c r="M74" s="14">
        <v>11</v>
      </c>
      <c r="N74" s="14">
        <v>1993</v>
      </c>
      <c r="O74" s="46">
        <f>DATE(FatmaUsf[[#This Row],[Hire Year]],FatmaUsf[[#This Row],[Hire Month]],FatmaUsf[[#This Row],[Hire Day]])</f>
        <v>34283</v>
      </c>
      <c r="P74" s="46">
        <f t="shared" ca="1" si="1"/>
        <v>46071</v>
      </c>
      <c r="Q74" s="14">
        <f ca="1">DATEDIF(FatmaUsf[[#This Row],[Hiring Date]],FatmaUsf[[#This Row],[current date]],"Y")</f>
        <v>32</v>
      </c>
      <c r="R74" s="15">
        <v>3294</v>
      </c>
      <c r="S74" s="53">
        <f>FatmaUsf[[#This Row],[Salary]]*0.1</f>
        <v>329.40000000000003</v>
      </c>
      <c r="T74" s="16">
        <f>FatmaUsf[[#This Row],[Salary]]*0.03</f>
        <v>98.82</v>
      </c>
      <c r="U74" s="48">
        <f>FatmaUsf[[#This Row],[Salary]]-FatmaUsf[[#This Row],[Tax 10%]]+FatmaUsf[[#This Row],[Bonus 3%]]</f>
        <v>3063.42</v>
      </c>
      <c r="V74" s="17" t="str">
        <f>IF(FatmaUsf[[#This Row],[Net Salary]]&gt;=6000,"Over","Normal")</f>
        <v>Normal</v>
      </c>
      <c r="W74" s="57">
        <f>VLOOKUP(FatmaUsf[[#This Row],[Net Salary]],$Z$10:$AA$14,2)</f>
        <v>0.05</v>
      </c>
    </row>
    <row r="75" spans="1:23" ht="15.75" customHeight="1">
      <c r="A75" s="24">
        <v>1074</v>
      </c>
      <c r="B75" s="10" t="s">
        <v>294</v>
      </c>
      <c r="C75" s="10" t="s">
        <v>295</v>
      </c>
      <c r="D75" s="41" t="str">
        <f>PROPER(TRIM(FatmaUsf[[#This Row],[Last Name]]&amp;" "&amp;FatmaUsf[[#This Row],[Last Name]]))</f>
        <v>Alhamadii Alhamadii</v>
      </c>
      <c r="E75" s="10" t="s">
        <v>99</v>
      </c>
      <c r="F75" s="10" t="s">
        <v>632</v>
      </c>
      <c r="G75" s="10" t="s">
        <v>1100</v>
      </c>
      <c r="H75" s="11" t="s">
        <v>11</v>
      </c>
      <c r="I75" s="11" t="s">
        <v>264</v>
      </c>
      <c r="J75" s="12" t="s">
        <v>20</v>
      </c>
      <c r="K75" s="10" t="s">
        <v>868</v>
      </c>
      <c r="L75" s="13">
        <v>13</v>
      </c>
      <c r="M75" s="14">
        <v>2</v>
      </c>
      <c r="N75" s="14">
        <v>2002</v>
      </c>
      <c r="O75" s="46">
        <f>DATE(FatmaUsf[[#This Row],[Hire Year]],FatmaUsf[[#This Row],[Hire Month]],FatmaUsf[[#This Row],[Hire Day]])</f>
        <v>37300</v>
      </c>
      <c r="P75" s="46">
        <f t="shared" ca="1" si="1"/>
        <v>46071</v>
      </c>
      <c r="Q75" s="14">
        <f ca="1">DATEDIF(FatmaUsf[[#This Row],[Hiring Date]],FatmaUsf[[#This Row],[current date]],"Y")</f>
        <v>24</v>
      </c>
      <c r="R75" s="15">
        <v>7123</v>
      </c>
      <c r="S75" s="53">
        <f>FatmaUsf[[#This Row],[Salary]]*0.1</f>
        <v>712.30000000000007</v>
      </c>
      <c r="T75" s="16">
        <f>FatmaUsf[[#This Row],[Salary]]*0.03</f>
        <v>213.69</v>
      </c>
      <c r="U75" s="48">
        <f>FatmaUsf[[#This Row],[Salary]]-FatmaUsf[[#This Row],[Tax 10%]]+FatmaUsf[[#This Row],[Bonus 3%]]</f>
        <v>6624.3899999999994</v>
      </c>
      <c r="V75" s="17" t="str">
        <f>IF(FatmaUsf[[#This Row],[Net Salary]]&gt;=6000,"Over","Normal")</f>
        <v>Over</v>
      </c>
      <c r="W75" s="57">
        <f>VLOOKUP(FatmaUsf[[#This Row],[Net Salary]],$Z$10:$AA$14,2)</f>
        <v>0.02</v>
      </c>
    </row>
    <row r="76" spans="1:23" ht="15.75" customHeight="1">
      <c r="A76" s="24">
        <v>1075</v>
      </c>
      <c r="B76" s="10" t="s">
        <v>296</v>
      </c>
      <c r="C76" s="10" t="s">
        <v>297</v>
      </c>
      <c r="D76" s="41" t="str">
        <f>PROPER(TRIM(FatmaUsf[[#This Row],[Last Name]]&amp;" "&amp;FatmaUsf[[#This Row],[Last Name]]))</f>
        <v>Kiali Kiali</v>
      </c>
      <c r="E76" s="10" t="s">
        <v>100</v>
      </c>
      <c r="F76" s="10" t="s">
        <v>633</v>
      </c>
      <c r="G76" s="10" t="s">
        <v>13</v>
      </c>
      <c r="H76" s="11" t="s">
        <v>8</v>
      </c>
      <c r="I76" s="11" t="s">
        <v>25</v>
      </c>
      <c r="J76" s="12" t="s">
        <v>10</v>
      </c>
      <c r="K76" s="10" t="s">
        <v>869</v>
      </c>
      <c r="L76" s="13">
        <v>20</v>
      </c>
      <c r="M76" s="14">
        <v>2</v>
      </c>
      <c r="N76" s="14">
        <v>2012</v>
      </c>
      <c r="O76" s="46">
        <f>DATE(FatmaUsf[[#This Row],[Hire Year]],FatmaUsf[[#This Row],[Hire Month]],FatmaUsf[[#This Row],[Hire Day]])</f>
        <v>40959</v>
      </c>
      <c r="P76" s="46">
        <f t="shared" ca="1" si="1"/>
        <v>46071</v>
      </c>
      <c r="Q76" s="14">
        <f ca="1">DATEDIF(FatmaUsf[[#This Row],[Hiring Date]],FatmaUsf[[#This Row],[current date]],"Y")</f>
        <v>13</v>
      </c>
      <c r="R76" s="15">
        <v>7236</v>
      </c>
      <c r="S76" s="53">
        <f>FatmaUsf[[#This Row],[Salary]]*0.1</f>
        <v>723.6</v>
      </c>
      <c r="T76" s="16">
        <f>FatmaUsf[[#This Row],[Salary]]*0.03</f>
        <v>217.07999999999998</v>
      </c>
      <c r="U76" s="48">
        <f>FatmaUsf[[#This Row],[Salary]]-FatmaUsf[[#This Row],[Tax 10%]]+FatmaUsf[[#This Row],[Bonus 3%]]</f>
        <v>6729.48</v>
      </c>
      <c r="V76" s="17" t="str">
        <f>IF(FatmaUsf[[#This Row],[Net Salary]]&gt;=6000,"Over","Normal")</f>
        <v>Over</v>
      </c>
      <c r="W76" s="57">
        <f>VLOOKUP(FatmaUsf[[#This Row],[Net Salary]],$Z$10:$AA$14,2)</f>
        <v>0.02</v>
      </c>
    </row>
    <row r="77" spans="1:23" ht="15.75" customHeight="1">
      <c r="A77" s="24">
        <v>1076</v>
      </c>
      <c r="B77" s="10" t="s">
        <v>298</v>
      </c>
      <c r="C77" s="10" t="s">
        <v>188</v>
      </c>
      <c r="D77" s="41" t="str">
        <f>PROPER(TRIM(FatmaUsf[[#This Row],[Last Name]]&amp;" "&amp;FatmaUsf[[#This Row],[Last Name]]))</f>
        <v>Dahadal Dahadal</v>
      </c>
      <c r="E77" s="10" t="s">
        <v>99</v>
      </c>
      <c r="F77" s="10" t="s">
        <v>634</v>
      </c>
      <c r="G77" s="10" t="s">
        <v>1100</v>
      </c>
      <c r="H77" s="11" t="s">
        <v>11</v>
      </c>
      <c r="I77" s="11" t="s">
        <v>25</v>
      </c>
      <c r="J77" s="12" t="s">
        <v>23</v>
      </c>
      <c r="K77" s="10" t="s">
        <v>870</v>
      </c>
      <c r="L77" s="13">
        <v>20</v>
      </c>
      <c r="M77" s="14">
        <v>3</v>
      </c>
      <c r="N77" s="14">
        <v>1994</v>
      </c>
      <c r="O77" s="46">
        <f>DATE(FatmaUsf[[#This Row],[Hire Year]],FatmaUsf[[#This Row],[Hire Month]],FatmaUsf[[#This Row],[Hire Day]])</f>
        <v>34413</v>
      </c>
      <c r="P77" s="46">
        <f t="shared" ca="1" si="1"/>
        <v>46071</v>
      </c>
      <c r="Q77" s="14">
        <f ca="1">DATEDIF(FatmaUsf[[#This Row],[Hiring Date]],FatmaUsf[[#This Row],[current date]],"Y")</f>
        <v>31</v>
      </c>
      <c r="R77" s="15">
        <v>6843</v>
      </c>
      <c r="S77" s="53">
        <f>FatmaUsf[[#This Row],[Salary]]*0.1</f>
        <v>684.30000000000007</v>
      </c>
      <c r="T77" s="16">
        <f>FatmaUsf[[#This Row],[Salary]]*0.03</f>
        <v>205.29</v>
      </c>
      <c r="U77" s="48">
        <f>FatmaUsf[[#This Row],[Salary]]-FatmaUsf[[#This Row],[Tax 10%]]+FatmaUsf[[#This Row],[Bonus 3%]]</f>
        <v>6363.99</v>
      </c>
      <c r="V77" s="17" t="str">
        <f>IF(FatmaUsf[[#This Row],[Net Salary]]&gt;=6000,"Over","Normal")</f>
        <v>Over</v>
      </c>
      <c r="W77" s="57">
        <f>VLOOKUP(FatmaUsf[[#This Row],[Net Salary]],$Z$10:$AA$14,2)</f>
        <v>0.02</v>
      </c>
    </row>
    <row r="78" spans="1:23" ht="15.75" customHeight="1">
      <c r="A78" s="24">
        <v>1077</v>
      </c>
      <c r="B78" s="10" t="s">
        <v>105</v>
      </c>
      <c r="C78" s="10" t="s">
        <v>299</v>
      </c>
      <c r="D78" s="41" t="str">
        <f>PROPER(TRIM(FatmaUsf[[#This Row],[Last Name]]&amp;" "&amp;FatmaUsf[[#This Row],[Last Name]]))</f>
        <v>Qisi Qisi</v>
      </c>
      <c r="E78" s="10" t="s">
        <v>99</v>
      </c>
      <c r="F78" s="10" t="s">
        <v>635</v>
      </c>
      <c r="G78" s="10" t="s">
        <v>1100</v>
      </c>
      <c r="H78" s="11" t="s">
        <v>22</v>
      </c>
      <c r="I78" s="11" t="s">
        <v>25</v>
      </c>
      <c r="J78" s="12" t="s">
        <v>23</v>
      </c>
      <c r="K78" s="10" t="s">
        <v>871</v>
      </c>
      <c r="L78" s="13">
        <v>7</v>
      </c>
      <c r="M78" s="14">
        <v>1</v>
      </c>
      <c r="N78" s="14">
        <v>2006</v>
      </c>
      <c r="O78" s="46">
        <f>DATE(FatmaUsf[[#This Row],[Hire Year]],FatmaUsf[[#This Row],[Hire Month]],FatmaUsf[[#This Row],[Hire Day]])</f>
        <v>38724</v>
      </c>
      <c r="P78" s="46">
        <f t="shared" ca="1" si="1"/>
        <v>46071</v>
      </c>
      <c r="Q78" s="14">
        <f ca="1">DATEDIF(FatmaUsf[[#This Row],[Hiring Date]],FatmaUsf[[#This Row],[current date]],"Y")</f>
        <v>20</v>
      </c>
      <c r="R78" s="15">
        <v>1070</v>
      </c>
      <c r="S78" s="53">
        <f>FatmaUsf[[#This Row],[Salary]]*0.1</f>
        <v>107</v>
      </c>
      <c r="T78" s="16">
        <f>FatmaUsf[[#This Row],[Salary]]*0.03</f>
        <v>32.1</v>
      </c>
      <c r="U78" s="48">
        <f>FatmaUsf[[#This Row],[Salary]]-FatmaUsf[[#This Row],[Tax 10%]]+FatmaUsf[[#This Row],[Bonus 3%]]</f>
        <v>995.1</v>
      </c>
      <c r="V78" s="17" t="str">
        <f>IF(FatmaUsf[[#This Row],[Net Salary]]&gt;=6000,"Over","Normal")</f>
        <v>Normal</v>
      </c>
      <c r="W78" s="57">
        <f>VLOOKUP(FatmaUsf[[#This Row],[Net Salary]],$Z$10:$AA$14,2)</f>
        <v>0.1</v>
      </c>
    </row>
    <row r="79" spans="1:23" ht="15.75" customHeight="1">
      <c r="A79" s="24">
        <v>1078</v>
      </c>
      <c r="B79" s="10" t="s">
        <v>142</v>
      </c>
      <c r="C79" s="10" t="s">
        <v>300</v>
      </c>
      <c r="D79" s="41" t="str">
        <f>PROPER(TRIM(FatmaUsf[[#This Row],[Last Name]]&amp;" "&amp;FatmaUsf[[#This Row],[Last Name]]))</f>
        <v>Dahbur Dahbur</v>
      </c>
      <c r="E79" s="10" t="s">
        <v>99</v>
      </c>
      <c r="F79" s="10" t="s">
        <v>636</v>
      </c>
      <c r="G79" s="10" t="s">
        <v>13</v>
      </c>
      <c r="H79" s="11" t="s">
        <v>8</v>
      </c>
      <c r="I79" s="11" t="s">
        <v>25</v>
      </c>
      <c r="J79" s="12" t="s">
        <v>10</v>
      </c>
      <c r="K79" s="10" t="s">
        <v>872</v>
      </c>
      <c r="L79" s="13">
        <v>13</v>
      </c>
      <c r="M79" s="14">
        <v>6</v>
      </c>
      <c r="N79" s="14">
        <v>2001</v>
      </c>
      <c r="O79" s="46">
        <f>DATE(FatmaUsf[[#This Row],[Hire Year]],FatmaUsf[[#This Row],[Hire Month]],FatmaUsf[[#This Row],[Hire Day]])</f>
        <v>37055</v>
      </c>
      <c r="P79" s="46">
        <f t="shared" ca="1" si="1"/>
        <v>46071</v>
      </c>
      <c r="Q79" s="14">
        <f ca="1">DATEDIF(FatmaUsf[[#This Row],[Hiring Date]],FatmaUsf[[#This Row],[current date]],"Y")</f>
        <v>24</v>
      </c>
      <c r="R79" s="15">
        <v>1493</v>
      </c>
      <c r="S79" s="53">
        <f>FatmaUsf[[#This Row],[Salary]]*0.1</f>
        <v>149.30000000000001</v>
      </c>
      <c r="T79" s="16">
        <f>FatmaUsf[[#This Row],[Salary]]*0.03</f>
        <v>44.79</v>
      </c>
      <c r="U79" s="48">
        <f>FatmaUsf[[#This Row],[Salary]]-FatmaUsf[[#This Row],[Tax 10%]]+FatmaUsf[[#This Row],[Bonus 3%]]</f>
        <v>1388.49</v>
      </c>
      <c r="V79" s="17" t="str">
        <f>IF(FatmaUsf[[#This Row],[Net Salary]]&gt;=6000,"Over","Normal")</f>
        <v>Normal</v>
      </c>
      <c r="W79" s="57">
        <f>VLOOKUP(FatmaUsf[[#This Row],[Net Salary]],$Z$10:$AA$14,2)</f>
        <v>0.08</v>
      </c>
    </row>
    <row r="80" spans="1:23" ht="15.75" customHeight="1">
      <c r="A80" s="24">
        <v>1079</v>
      </c>
      <c r="B80" s="10" t="s">
        <v>301</v>
      </c>
      <c r="C80" s="10" t="s">
        <v>302</v>
      </c>
      <c r="D80" s="41" t="str">
        <f>PROPER(TRIM(FatmaUsf[[#This Row],[Last Name]]&amp;" "&amp;FatmaUsf[[#This Row],[Last Name]]))</f>
        <v>Alzaebii Alzaebii</v>
      </c>
      <c r="E80" s="10" t="s">
        <v>100</v>
      </c>
      <c r="F80" s="10" t="s">
        <v>637</v>
      </c>
      <c r="G80" s="10" t="s">
        <v>19</v>
      </c>
      <c r="H80" s="11" t="s">
        <v>11</v>
      </c>
      <c r="I80" s="11" t="s">
        <v>25</v>
      </c>
      <c r="J80" s="12" t="s">
        <v>23</v>
      </c>
      <c r="K80" s="10" t="s">
        <v>873</v>
      </c>
      <c r="L80" s="13">
        <v>28</v>
      </c>
      <c r="M80" s="14">
        <v>6</v>
      </c>
      <c r="N80" s="14">
        <v>2017</v>
      </c>
      <c r="O80" s="46">
        <f>DATE(FatmaUsf[[#This Row],[Hire Year]],FatmaUsf[[#This Row],[Hire Month]],FatmaUsf[[#This Row],[Hire Day]])</f>
        <v>42914</v>
      </c>
      <c r="P80" s="46">
        <f t="shared" ca="1" si="1"/>
        <v>46071</v>
      </c>
      <c r="Q80" s="14">
        <f ca="1">DATEDIF(FatmaUsf[[#This Row],[Hiring Date]],FatmaUsf[[#This Row],[current date]],"Y")</f>
        <v>8</v>
      </c>
      <c r="R80" s="15">
        <v>5857</v>
      </c>
      <c r="S80" s="53">
        <f>FatmaUsf[[#This Row],[Salary]]*0.1</f>
        <v>585.70000000000005</v>
      </c>
      <c r="T80" s="16">
        <f>FatmaUsf[[#This Row],[Salary]]*0.03</f>
        <v>175.70999999999998</v>
      </c>
      <c r="U80" s="48">
        <f>FatmaUsf[[#This Row],[Salary]]-FatmaUsf[[#This Row],[Tax 10%]]+FatmaUsf[[#This Row],[Bonus 3%]]</f>
        <v>5447.01</v>
      </c>
      <c r="V80" s="17" t="str">
        <f>IF(FatmaUsf[[#This Row],[Net Salary]]&gt;=6000,"Over","Normal")</f>
        <v>Normal</v>
      </c>
      <c r="W80" s="57">
        <f>VLOOKUP(FatmaUsf[[#This Row],[Net Salary]],$Z$10:$AA$14,2)</f>
        <v>0.05</v>
      </c>
    </row>
    <row r="81" spans="1:23" ht="15.75" customHeight="1">
      <c r="A81" s="24">
        <v>1080</v>
      </c>
      <c r="B81" s="10" t="s">
        <v>303</v>
      </c>
      <c r="C81" s="10" t="s">
        <v>304</v>
      </c>
      <c r="D81" s="41" t="str">
        <f>PROPER(TRIM(FatmaUsf[[#This Row],[Last Name]]&amp;" "&amp;FatmaUsf[[#This Row],[Last Name]]))</f>
        <v>Alaleppoy Alaleppoy</v>
      </c>
      <c r="E81" s="10" t="s">
        <v>99</v>
      </c>
      <c r="F81" s="10" t="s">
        <v>638</v>
      </c>
      <c r="G81" s="10" t="s">
        <v>19</v>
      </c>
      <c r="H81" s="11" t="s">
        <v>11</v>
      </c>
      <c r="I81" s="11" t="s">
        <v>264</v>
      </c>
      <c r="J81" s="12" t="s">
        <v>20</v>
      </c>
      <c r="K81" s="10" t="s">
        <v>874</v>
      </c>
      <c r="L81" s="13">
        <v>22</v>
      </c>
      <c r="M81" s="14">
        <v>10</v>
      </c>
      <c r="N81" s="14">
        <v>2019</v>
      </c>
      <c r="O81" s="46">
        <f>DATE(FatmaUsf[[#This Row],[Hire Year]],FatmaUsf[[#This Row],[Hire Month]],FatmaUsf[[#This Row],[Hire Day]])</f>
        <v>43760</v>
      </c>
      <c r="P81" s="46">
        <f t="shared" ca="1" si="1"/>
        <v>46071</v>
      </c>
      <c r="Q81" s="14">
        <f ca="1">DATEDIF(FatmaUsf[[#This Row],[Hiring Date]],FatmaUsf[[#This Row],[current date]],"Y")</f>
        <v>6</v>
      </c>
      <c r="R81" s="15">
        <v>5278</v>
      </c>
      <c r="S81" s="53">
        <f>FatmaUsf[[#This Row],[Salary]]*0.1</f>
        <v>527.80000000000007</v>
      </c>
      <c r="T81" s="16">
        <f>FatmaUsf[[#This Row],[Salary]]*0.03</f>
        <v>158.34</v>
      </c>
      <c r="U81" s="48">
        <f>FatmaUsf[[#This Row],[Salary]]-FatmaUsf[[#This Row],[Tax 10%]]+FatmaUsf[[#This Row],[Bonus 3%]]</f>
        <v>4908.54</v>
      </c>
      <c r="V81" s="17" t="str">
        <f>IF(FatmaUsf[[#This Row],[Net Salary]]&gt;=6000,"Over","Normal")</f>
        <v>Normal</v>
      </c>
      <c r="W81" s="57">
        <f>VLOOKUP(FatmaUsf[[#This Row],[Net Salary]],$Z$10:$AA$14,2)</f>
        <v>0.05</v>
      </c>
    </row>
    <row r="82" spans="1:23" ht="15.75" customHeight="1">
      <c r="A82" s="24">
        <v>1081</v>
      </c>
      <c r="B82" s="10" t="s">
        <v>305</v>
      </c>
      <c r="C82" s="10" t="s">
        <v>306</v>
      </c>
      <c r="D82" s="41" t="str">
        <f>PROPER(TRIM(FatmaUsf[[#This Row],[Last Name]]&amp;" "&amp;FatmaUsf[[#This Row],[Last Name]]))</f>
        <v>Jadid Jadid</v>
      </c>
      <c r="E82" s="10" t="s">
        <v>100</v>
      </c>
      <c r="F82" s="10" t="s">
        <v>639</v>
      </c>
      <c r="G82" s="10" t="s">
        <v>1100</v>
      </c>
      <c r="H82" s="11" t="s">
        <v>11</v>
      </c>
      <c r="I82" s="11" t="s">
        <v>26</v>
      </c>
      <c r="J82" s="12" t="s">
        <v>10</v>
      </c>
      <c r="K82" s="10" t="s">
        <v>875</v>
      </c>
      <c r="L82" s="13">
        <v>2</v>
      </c>
      <c r="M82" s="14">
        <v>9</v>
      </c>
      <c r="N82" s="14">
        <v>2011</v>
      </c>
      <c r="O82" s="46">
        <f>DATE(FatmaUsf[[#This Row],[Hire Year]],FatmaUsf[[#This Row],[Hire Month]],FatmaUsf[[#This Row],[Hire Day]])</f>
        <v>40788</v>
      </c>
      <c r="P82" s="46">
        <f t="shared" ca="1" si="1"/>
        <v>46071</v>
      </c>
      <c r="Q82" s="14">
        <f ca="1">DATEDIF(FatmaUsf[[#This Row],[Hiring Date]],FatmaUsf[[#This Row],[current date]],"Y")</f>
        <v>14</v>
      </c>
      <c r="R82" s="15">
        <v>5710</v>
      </c>
      <c r="S82" s="53">
        <f>FatmaUsf[[#This Row],[Salary]]*0.1</f>
        <v>571</v>
      </c>
      <c r="T82" s="16">
        <f>FatmaUsf[[#This Row],[Salary]]*0.03</f>
        <v>171.29999999999998</v>
      </c>
      <c r="U82" s="48">
        <f>FatmaUsf[[#This Row],[Salary]]-FatmaUsf[[#This Row],[Tax 10%]]+FatmaUsf[[#This Row],[Bonus 3%]]</f>
        <v>5310.3</v>
      </c>
      <c r="V82" s="17" t="str">
        <f>IF(FatmaUsf[[#This Row],[Net Salary]]&gt;=6000,"Over","Normal")</f>
        <v>Normal</v>
      </c>
      <c r="W82" s="57">
        <f>VLOOKUP(FatmaUsf[[#This Row],[Net Salary]],$Z$10:$AA$14,2)</f>
        <v>0.05</v>
      </c>
    </row>
    <row r="83" spans="1:23" ht="15.75" customHeight="1">
      <c r="A83" s="24">
        <v>1082</v>
      </c>
      <c r="B83" s="10" t="s">
        <v>307</v>
      </c>
      <c r="C83" s="10" t="s">
        <v>308</v>
      </c>
      <c r="D83" s="41" t="str">
        <f>PROPER(TRIM(FatmaUsf[[#This Row],[Last Name]]&amp;" "&amp;FatmaUsf[[#This Row],[Last Name]]))</f>
        <v>Sabagh Sabagh</v>
      </c>
      <c r="E83" s="10" t="s">
        <v>100</v>
      </c>
      <c r="F83" s="10" t="s">
        <v>640</v>
      </c>
      <c r="G83" s="10" t="s">
        <v>13</v>
      </c>
      <c r="H83" s="11" t="s">
        <v>8</v>
      </c>
      <c r="I83" s="11" t="s">
        <v>15</v>
      </c>
      <c r="J83" s="12" t="s">
        <v>20</v>
      </c>
      <c r="K83" s="10" t="s">
        <v>876</v>
      </c>
      <c r="L83" s="13">
        <v>15</v>
      </c>
      <c r="M83" s="14">
        <v>10</v>
      </c>
      <c r="N83" s="14">
        <v>2002</v>
      </c>
      <c r="O83" s="46">
        <f>DATE(FatmaUsf[[#This Row],[Hire Year]],FatmaUsf[[#This Row],[Hire Month]],FatmaUsf[[#This Row],[Hire Day]])</f>
        <v>37544</v>
      </c>
      <c r="P83" s="46">
        <f t="shared" ca="1" si="1"/>
        <v>46071</v>
      </c>
      <c r="Q83" s="14">
        <f ca="1">DATEDIF(FatmaUsf[[#This Row],[Hiring Date]],FatmaUsf[[#This Row],[current date]],"Y")</f>
        <v>23</v>
      </c>
      <c r="R83" s="15">
        <v>6145</v>
      </c>
      <c r="S83" s="53">
        <f>FatmaUsf[[#This Row],[Salary]]*0.1</f>
        <v>614.5</v>
      </c>
      <c r="T83" s="16">
        <f>FatmaUsf[[#This Row],[Salary]]*0.03</f>
        <v>184.35</v>
      </c>
      <c r="U83" s="48">
        <f>FatmaUsf[[#This Row],[Salary]]-FatmaUsf[[#This Row],[Tax 10%]]+FatmaUsf[[#This Row],[Bonus 3%]]</f>
        <v>5714.85</v>
      </c>
      <c r="V83" s="17" t="str">
        <f>IF(FatmaUsf[[#This Row],[Net Salary]]&gt;=6000,"Over","Normal")</f>
        <v>Normal</v>
      </c>
      <c r="W83" s="57">
        <f>VLOOKUP(FatmaUsf[[#This Row],[Net Salary]],$Z$10:$AA$14,2)</f>
        <v>0.05</v>
      </c>
    </row>
    <row r="84" spans="1:23" ht="15.75" customHeight="1">
      <c r="A84" s="24">
        <v>1083</v>
      </c>
      <c r="B84" s="10" t="s">
        <v>309</v>
      </c>
      <c r="C84" s="10" t="s">
        <v>310</v>
      </c>
      <c r="D84" s="41" t="str">
        <f>PROPER(TRIM(FatmaUsf[[#This Row],[Last Name]]&amp;" "&amp;FatmaUsf[[#This Row],[Last Name]]))</f>
        <v>Eazu Eazu</v>
      </c>
      <c r="E84" s="10" t="s">
        <v>100</v>
      </c>
      <c r="F84" s="10" t="s">
        <v>641</v>
      </c>
      <c r="G84" s="10" t="s">
        <v>17</v>
      </c>
      <c r="H84" s="11" t="s">
        <v>11</v>
      </c>
      <c r="I84" s="11" t="s">
        <v>26</v>
      </c>
      <c r="J84" s="12" t="s">
        <v>20</v>
      </c>
      <c r="K84" s="10" t="s">
        <v>877</v>
      </c>
      <c r="L84" s="13">
        <v>22</v>
      </c>
      <c r="M84" s="14">
        <v>5</v>
      </c>
      <c r="N84" s="14">
        <v>1995</v>
      </c>
      <c r="O84" s="46">
        <f>DATE(FatmaUsf[[#This Row],[Hire Year]],FatmaUsf[[#This Row],[Hire Month]],FatmaUsf[[#This Row],[Hire Day]])</f>
        <v>34841</v>
      </c>
      <c r="P84" s="46">
        <f t="shared" ca="1" si="1"/>
        <v>46071</v>
      </c>
      <c r="Q84" s="14">
        <f ca="1">DATEDIF(FatmaUsf[[#This Row],[Hiring Date]],FatmaUsf[[#This Row],[current date]],"Y")</f>
        <v>30</v>
      </c>
      <c r="R84" s="15">
        <v>5278</v>
      </c>
      <c r="S84" s="53">
        <f>FatmaUsf[[#This Row],[Salary]]*0.1</f>
        <v>527.80000000000007</v>
      </c>
      <c r="T84" s="16">
        <f>FatmaUsf[[#This Row],[Salary]]*0.03</f>
        <v>158.34</v>
      </c>
      <c r="U84" s="48">
        <f>FatmaUsf[[#This Row],[Salary]]-FatmaUsf[[#This Row],[Tax 10%]]+FatmaUsf[[#This Row],[Bonus 3%]]</f>
        <v>4908.54</v>
      </c>
      <c r="V84" s="17" t="str">
        <f>IF(FatmaUsf[[#This Row],[Net Salary]]&gt;=6000,"Over","Normal")</f>
        <v>Normal</v>
      </c>
      <c r="W84" s="57">
        <f>VLOOKUP(FatmaUsf[[#This Row],[Net Salary]],$Z$10:$AA$14,2)</f>
        <v>0.05</v>
      </c>
    </row>
    <row r="85" spans="1:23" ht="15.75" customHeight="1">
      <c r="A85" s="24">
        <v>1084</v>
      </c>
      <c r="B85" s="10" t="s">
        <v>311</v>
      </c>
      <c r="C85" s="10" t="s">
        <v>312</v>
      </c>
      <c r="D85" s="41" t="str">
        <f>PROPER(TRIM(FatmaUsf[[#This Row],[Last Name]]&amp;" "&amp;FatmaUsf[[#This Row],[Last Name]]))</f>
        <v>Turkmany Turkmany</v>
      </c>
      <c r="E85" s="10" t="s">
        <v>100</v>
      </c>
      <c r="F85" s="10" t="s">
        <v>642</v>
      </c>
      <c r="G85" s="10" t="s">
        <v>17</v>
      </c>
      <c r="H85" s="11" t="s">
        <v>8</v>
      </c>
      <c r="I85" s="11" t="s">
        <v>9</v>
      </c>
      <c r="J85" s="12" t="s">
        <v>10</v>
      </c>
      <c r="K85" s="10" t="s">
        <v>878</v>
      </c>
      <c r="L85" s="13">
        <v>17</v>
      </c>
      <c r="M85" s="14">
        <v>1</v>
      </c>
      <c r="N85" s="14">
        <v>2019</v>
      </c>
      <c r="O85" s="46">
        <f>DATE(FatmaUsf[[#This Row],[Hire Year]],FatmaUsf[[#This Row],[Hire Month]],FatmaUsf[[#This Row],[Hire Day]])</f>
        <v>43482</v>
      </c>
      <c r="P85" s="46">
        <f t="shared" ca="1" si="1"/>
        <v>46071</v>
      </c>
      <c r="Q85" s="14">
        <f ca="1">DATEDIF(FatmaUsf[[#This Row],[Hiring Date]],FatmaUsf[[#This Row],[current date]],"Y")</f>
        <v>7</v>
      </c>
      <c r="R85" s="15">
        <v>6409</v>
      </c>
      <c r="S85" s="53">
        <f>FatmaUsf[[#This Row],[Salary]]*0.1</f>
        <v>640.90000000000009</v>
      </c>
      <c r="T85" s="16">
        <f>FatmaUsf[[#This Row],[Salary]]*0.03</f>
        <v>192.26999999999998</v>
      </c>
      <c r="U85" s="48">
        <f>FatmaUsf[[#This Row],[Salary]]-FatmaUsf[[#This Row],[Tax 10%]]+FatmaUsf[[#This Row],[Bonus 3%]]</f>
        <v>5960.3700000000008</v>
      </c>
      <c r="V85" s="17" t="str">
        <f>IF(FatmaUsf[[#This Row],[Net Salary]]&gt;=6000,"Over","Normal")</f>
        <v>Normal</v>
      </c>
      <c r="W85" s="57">
        <f>VLOOKUP(FatmaUsf[[#This Row],[Net Salary]],$Z$10:$AA$14,2)</f>
        <v>0.05</v>
      </c>
    </row>
    <row r="86" spans="1:23" ht="15.75" customHeight="1">
      <c r="A86" s="24">
        <v>1085</v>
      </c>
      <c r="B86" s="10" t="s">
        <v>313</v>
      </c>
      <c r="C86" s="10" t="s">
        <v>314</v>
      </c>
      <c r="D86" s="41" t="str">
        <f>PROPER(TRIM(FatmaUsf[[#This Row],[Last Name]]&amp;" "&amp;FatmaUsf[[#This Row],[Last Name]]))</f>
        <v>Sabiq Sabiq</v>
      </c>
      <c r="E86" s="10" t="s">
        <v>99</v>
      </c>
      <c r="F86" s="10" t="s">
        <v>643</v>
      </c>
      <c r="G86" s="10" t="s">
        <v>13</v>
      </c>
      <c r="H86" s="11" t="s">
        <v>22</v>
      </c>
      <c r="I86" s="11" t="s">
        <v>9</v>
      </c>
      <c r="J86" s="12" t="s">
        <v>23</v>
      </c>
      <c r="K86" s="10" t="s">
        <v>879</v>
      </c>
      <c r="L86" s="13">
        <v>4</v>
      </c>
      <c r="M86" s="14">
        <v>12</v>
      </c>
      <c r="N86" s="14">
        <v>2015</v>
      </c>
      <c r="O86" s="46">
        <f>DATE(FatmaUsf[[#This Row],[Hire Year]],FatmaUsf[[#This Row],[Hire Month]],FatmaUsf[[#This Row],[Hire Day]])</f>
        <v>42342</v>
      </c>
      <c r="P86" s="46">
        <f t="shared" ca="1" si="1"/>
        <v>46071</v>
      </c>
      <c r="Q86" s="14">
        <f ca="1">DATEDIF(FatmaUsf[[#This Row],[Hiring Date]],FatmaUsf[[#This Row],[current date]],"Y")</f>
        <v>10</v>
      </c>
      <c r="R86" s="15">
        <v>7478</v>
      </c>
      <c r="S86" s="53">
        <f>FatmaUsf[[#This Row],[Salary]]*0.1</f>
        <v>747.80000000000007</v>
      </c>
      <c r="T86" s="16">
        <f>FatmaUsf[[#This Row],[Salary]]*0.03</f>
        <v>224.34</v>
      </c>
      <c r="U86" s="48">
        <f>FatmaUsf[[#This Row],[Salary]]-FatmaUsf[[#This Row],[Tax 10%]]+FatmaUsf[[#This Row],[Bonus 3%]]</f>
        <v>6954.54</v>
      </c>
      <c r="V86" s="17" t="str">
        <f>IF(FatmaUsf[[#This Row],[Net Salary]]&gt;=6000,"Over","Normal")</f>
        <v>Over</v>
      </c>
      <c r="W86" s="57">
        <f>VLOOKUP(FatmaUsf[[#This Row],[Net Salary]],$Z$10:$AA$14,2)</f>
        <v>0.02</v>
      </c>
    </row>
    <row r="87" spans="1:23" ht="15.75" customHeight="1">
      <c r="A87" s="24">
        <v>1086</v>
      </c>
      <c r="B87" s="10" t="s">
        <v>177</v>
      </c>
      <c r="C87" s="10" t="s">
        <v>315</v>
      </c>
      <c r="D87" s="41" t="str">
        <f>PROPER(TRIM(FatmaUsf[[#This Row],[Last Name]]&amp;" "&amp;FatmaUsf[[#This Row],[Last Name]]))</f>
        <v>Shaykh Shaykh</v>
      </c>
      <c r="E87" s="10" t="s">
        <v>100</v>
      </c>
      <c r="F87" s="10" t="s">
        <v>644</v>
      </c>
      <c r="G87" s="10" t="s">
        <v>1100</v>
      </c>
      <c r="H87" s="11" t="s">
        <v>11</v>
      </c>
      <c r="I87" s="11" t="s">
        <v>9</v>
      </c>
      <c r="J87" s="12" t="s">
        <v>10</v>
      </c>
      <c r="K87" s="10" t="s">
        <v>880</v>
      </c>
      <c r="L87" s="13">
        <v>14</v>
      </c>
      <c r="M87" s="14">
        <v>12</v>
      </c>
      <c r="N87" s="14">
        <v>2018</v>
      </c>
      <c r="O87" s="46">
        <f>DATE(FatmaUsf[[#This Row],[Hire Year]],FatmaUsf[[#This Row],[Hire Month]],FatmaUsf[[#This Row],[Hire Day]])</f>
        <v>43448</v>
      </c>
      <c r="P87" s="46">
        <f t="shared" ca="1" si="1"/>
        <v>46071</v>
      </c>
      <c r="Q87" s="14">
        <f ca="1">DATEDIF(FatmaUsf[[#This Row],[Hiring Date]],FatmaUsf[[#This Row],[current date]],"Y")</f>
        <v>7</v>
      </c>
      <c r="R87" s="15">
        <v>4621</v>
      </c>
      <c r="S87" s="53">
        <f>FatmaUsf[[#This Row],[Salary]]*0.1</f>
        <v>462.1</v>
      </c>
      <c r="T87" s="16">
        <f>FatmaUsf[[#This Row],[Salary]]*0.03</f>
        <v>138.63</v>
      </c>
      <c r="U87" s="48">
        <f>FatmaUsf[[#This Row],[Salary]]-FatmaUsf[[#This Row],[Tax 10%]]+FatmaUsf[[#This Row],[Bonus 3%]]</f>
        <v>4297.53</v>
      </c>
      <c r="V87" s="17" t="str">
        <f>IF(FatmaUsf[[#This Row],[Net Salary]]&gt;=6000,"Over","Normal")</f>
        <v>Normal</v>
      </c>
      <c r="W87" s="57">
        <f>VLOOKUP(FatmaUsf[[#This Row],[Net Salary]],$Z$10:$AA$14,2)</f>
        <v>0.05</v>
      </c>
    </row>
    <row r="88" spans="1:23" ht="15.75" customHeight="1">
      <c r="A88" s="24">
        <v>1087</v>
      </c>
      <c r="B88" s="10" t="s">
        <v>316</v>
      </c>
      <c r="C88" s="10" t="s">
        <v>317</v>
      </c>
      <c r="D88" s="41" t="str">
        <f>PROPER(TRIM(FatmaUsf[[#This Row],[Last Name]]&amp;" "&amp;FatmaUsf[[#This Row],[Last Name]]))</f>
        <v>Suqbani Suqbani</v>
      </c>
      <c r="E88" s="10" t="s">
        <v>100</v>
      </c>
      <c r="F88" s="10" t="s">
        <v>645</v>
      </c>
      <c r="G88" s="10" t="s">
        <v>17</v>
      </c>
      <c r="H88" s="11" t="s">
        <v>8</v>
      </c>
      <c r="I88" s="11" t="s">
        <v>27</v>
      </c>
      <c r="J88" s="12" t="s">
        <v>10</v>
      </c>
      <c r="K88" s="10" t="s">
        <v>881</v>
      </c>
      <c r="L88" s="13">
        <v>14</v>
      </c>
      <c r="M88" s="14">
        <v>12</v>
      </c>
      <c r="N88" s="14">
        <v>1993</v>
      </c>
      <c r="O88" s="46">
        <f>DATE(FatmaUsf[[#This Row],[Hire Year]],FatmaUsf[[#This Row],[Hire Month]],FatmaUsf[[#This Row],[Hire Day]])</f>
        <v>34317</v>
      </c>
      <c r="P88" s="46">
        <f t="shared" ca="1" si="1"/>
        <v>46071</v>
      </c>
      <c r="Q88" s="14">
        <f ca="1">DATEDIF(FatmaUsf[[#This Row],[Hiring Date]],FatmaUsf[[#This Row],[current date]],"Y")</f>
        <v>32</v>
      </c>
      <c r="R88" s="15">
        <v>2093</v>
      </c>
      <c r="S88" s="53">
        <f>FatmaUsf[[#This Row],[Salary]]*0.1</f>
        <v>209.3</v>
      </c>
      <c r="T88" s="16">
        <f>FatmaUsf[[#This Row],[Salary]]*0.03</f>
        <v>62.79</v>
      </c>
      <c r="U88" s="48">
        <f>FatmaUsf[[#This Row],[Salary]]-FatmaUsf[[#This Row],[Tax 10%]]+FatmaUsf[[#This Row],[Bonus 3%]]</f>
        <v>1946.49</v>
      </c>
      <c r="V88" s="17" t="str">
        <f>IF(FatmaUsf[[#This Row],[Net Salary]]&gt;=6000,"Over","Normal")</f>
        <v>Normal</v>
      </c>
      <c r="W88" s="57">
        <f>VLOOKUP(FatmaUsf[[#This Row],[Net Salary]],$Z$10:$AA$14,2)</f>
        <v>0.08</v>
      </c>
    </row>
    <row r="89" spans="1:23" ht="15.75" customHeight="1">
      <c r="A89" s="24">
        <v>1088</v>
      </c>
      <c r="B89" s="10" t="s">
        <v>318</v>
      </c>
      <c r="C89" s="10" t="s">
        <v>319</v>
      </c>
      <c r="D89" s="41" t="str">
        <f>PROPER(TRIM(FatmaUsf[[#This Row],[Last Name]]&amp;" "&amp;FatmaUsf[[#This Row],[Last Name]]))</f>
        <v>Qarqazan Qarqazan</v>
      </c>
      <c r="E89" s="10" t="s">
        <v>99</v>
      </c>
      <c r="F89" s="10" t="s">
        <v>646</v>
      </c>
      <c r="G89" s="10" t="s">
        <v>1100</v>
      </c>
      <c r="H89" s="11" t="s">
        <v>8</v>
      </c>
      <c r="I89" s="11" t="s">
        <v>264</v>
      </c>
      <c r="J89" s="12" t="s">
        <v>20</v>
      </c>
      <c r="K89" s="10" t="s">
        <v>882</v>
      </c>
      <c r="L89" s="13">
        <v>20</v>
      </c>
      <c r="M89" s="14">
        <v>5</v>
      </c>
      <c r="N89" s="14">
        <v>2002</v>
      </c>
      <c r="O89" s="46">
        <f>DATE(FatmaUsf[[#This Row],[Hire Year]],FatmaUsf[[#This Row],[Hire Month]],FatmaUsf[[#This Row],[Hire Day]])</f>
        <v>37396</v>
      </c>
      <c r="P89" s="46">
        <f t="shared" ca="1" si="1"/>
        <v>46071</v>
      </c>
      <c r="Q89" s="14">
        <f ca="1">DATEDIF(FatmaUsf[[#This Row],[Hiring Date]],FatmaUsf[[#This Row],[current date]],"Y")</f>
        <v>23</v>
      </c>
      <c r="R89" s="15">
        <v>7333</v>
      </c>
      <c r="S89" s="53">
        <f>FatmaUsf[[#This Row],[Salary]]*0.1</f>
        <v>733.30000000000007</v>
      </c>
      <c r="T89" s="16">
        <f>FatmaUsf[[#This Row],[Salary]]*0.03</f>
        <v>219.98999999999998</v>
      </c>
      <c r="U89" s="48">
        <f>FatmaUsf[[#This Row],[Salary]]-FatmaUsf[[#This Row],[Tax 10%]]+FatmaUsf[[#This Row],[Bonus 3%]]</f>
        <v>6819.69</v>
      </c>
      <c r="V89" s="17" t="str">
        <f>IF(FatmaUsf[[#This Row],[Net Salary]]&gt;=6000,"Over","Normal")</f>
        <v>Over</v>
      </c>
      <c r="W89" s="57">
        <f>VLOOKUP(FatmaUsf[[#This Row],[Net Salary]],$Z$10:$AA$14,2)</f>
        <v>0.02</v>
      </c>
    </row>
    <row r="90" spans="1:23" ht="15.75" customHeight="1">
      <c r="A90" s="24">
        <v>1089</v>
      </c>
      <c r="B90" s="10" t="s">
        <v>126</v>
      </c>
      <c r="C90" s="10" t="s">
        <v>320</v>
      </c>
      <c r="D90" s="41" t="str">
        <f>PROPER(TRIM(FatmaUsf[[#This Row],[Last Name]]&amp;" "&amp;FatmaUsf[[#This Row],[Last Name]]))</f>
        <v>Alsaeid Alsaeid</v>
      </c>
      <c r="E90" s="10" t="s">
        <v>100</v>
      </c>
      <c r="F90" s="10" t="s">
        <v>647</v>
      </c>
      <c r="G90" s="10" t="s">
        <v>17</v>
      </c>
      <c r="H90" s="11" t="s">
        <v>11</v>
      </c>
      <c r="I90" s="11" t="s">
        <v>15</v>
      </c>
      <c r="J90" s="12" t="s">
        <v>20</v>
      </c>
      <c r="K90" s="10" t="s">
        <v>883</v>
      </c>
      <c r="L90" s="13">
        <v>16</v>
      </c>
      <c r="M90" s="14">
        <v>9</v>
      </c>
      <c r="N90" s="14">
        <v>2008</v>
      </c>
      <c r="O90" s="46">
        <f>DATE(FatmaUsf[[#This Row],[Hire Year]],FatmaUsf[[#This Row],[Hire Month]],FatmaUsf[[#This Row],[Hire Day]])</f>
        <v>39707</v>
      </c>
      <c r="P90" s="46">
        <f t="shared" ca="1" si="1"/>
        <v>46071</v>
      </c>
      <c r="Q90" s="14">
        <f ca="1">DATEDIF(FatmaUsf[[#This Row],[Hiring Date]],FatmaUsf[[#This Row],[current date]],"Y")</f>
        <v>17</v>
      </c>
      <c r="R90" s="15">
        <v>1194</v>
      </c>
      <c r="S90" s="53">
        <f>FatmaUsf[[#This Row],[Salary]]*0.1</f>
        <v>119.4</v>
      </c>
      <c r="T90" s="16">
        <f>FatmaUsf[[#This Row],[Salary]]*0.03</f>
        <v>35.82</v>
      </c>
      <c r="U90" s="48">
        <f>FatmaUsf[[#This Row],[Salary]]-FatmaUsf[[#This Row],[Tax 10%]]+FatmaUsf[[#This Row],[Bonus 3%]]</f>
        <v>1110.4199999999998</v>
      </c>
      <c r="V90" s="17" t="str">
        <f>IF(FatmaUsf[[#This Row],[Net Salary]]&gt;=6000,"Over","Normal")</f>
        <v>Normal</v>
      </c>
      <c r="W90" s="57">
        <f>VLOOKUP(FatmaUsf[[#This Row],[Net Salary]],$Z$10:$AA$14,2)</f>
        <v>0.08</v>
      </c>
    </row>
    <row r="91" spans="1:23" ht="15.75" customHeight="1">
      <c r="A91" s="24">
        <v>1090</v>
      </c>
      <c r="B91" s="10" t="s">
        <v>321</v>
      </c>
      <c r="C91" s="10" t="s">
        <v>322</v>
      </c>
      <c r="D91" s="41" t="str">
        <f>PROPER(TRIM(FatmaUsf[[#This Row],[Last Name]]&amp;" "&amp;FatmaUsf[[#This Row],[Last Name]]))</f>
        <v>Alhifar Alhifar</v>
      </c>
      <c r="E91" s="10" t="s">
        <v>100</v>
      </c>
      <c r="F91" s="10" t="s">
        <v>648</v>
      </c>
      <c r="G91" s="10" t="s">
        <v>7</v>
      </c>
      <c r="H91" s="11" t="s">
        <v>8</v>
      </c>
      <c r="I91" s="11" t="s">
        <v>15</v>
      </c>
      <c r="J91" s="12" t="s">
        <v>23</v>
      </c>
      <c r="K91" s="10" t="s">
        <v>884</v>
      </c>
      <c r="L91" s="13">
        <v>6</v>
      </c>
      <c r="M91" s="14">
        <v>11</v>
      </c>
      <c r="N91" s="14">
        <v>2015</v>
      </c>
      <c r="O91" s="46">
        <f>DATE(FatmaUsf[[#This Row],[Hire Year]],FatmaUsf[[#This Row],[Hire Month]],FatmaUsf[[#This Row],[Hire Day]])</f>
        <v>42314</v>
      </c>
      <c r="P91" s="46">
        <f t="shared" ca="1" si="1"/>
        <v>46071</v>
      </c>
      <c r="Q91" s="14">
        <f ca="1">DATEDIF(FatmaUsf[[#This Row],[Hiring Date]],FatmaUsf[[#This Row],[current date]],"Y")</f>
        <v>10</v>
      </c>
      <c r="R91" s="15">
        <v>5118</v>
      </c>
      <c r="S91" s="53">
        <f>FatmaUsf[[#This Row],[Salary]]*0.1</f>
        <v>511.8</v>
      </c>
      <c r="T91" s="16">
        <f>FatmaUsf[[#This Row],[Salary]]*0.03</f>
        <v>153.54</v>
      </c>
      <c r="U91" s="48">
        <f>FatmaUsf[[#This Row],[Salary]]-FatmaUsf[[#This Row],[Tax 10%]]+FatmaUsf[[#This Row],[Bonus 3%]]</f>
        <v>4759.74</v>
      </c>
      <c r="V91" s="17" t="str">
        <f>IF(FatmaUsf[[#This Row],[Net Salary]]&gt;=6000,"Over","Normal")</f>
        <v>Normal</v>
      </c>
      <c r="W91" s="57">
        <f>VLOOKUP(FatmaUsf[[#This Row],[Net Salary]],$Z$10:$AA$14,2)</f>
        <v>0.05</v>
      </c>
    </row>
    <row r="92" spans="1:23" ht="15.75" customHeight="1">
      <c r="A92" s="24">
        <v>1091</v>
      </c>
      <c r="B92" s="10" t="s">
        <v>323</v>
      </c>
      <c r="C92" s="10" t="s">
        <v>324</v>
      </c>
      <c r="D92" s="41" t="str">
        <f>PROPER(TRIM(FatmaUsf[[#This Row],[Last Name]]&amp;" "&amp;FatmaUsf[[#This Row],[Last Name]]))</f>
        <v>Alrz Alrz</v>
      </c>
      <c r="E92" s="10" t="s">
        <v>100</v>
      </c>
      <c r="F92" s="10" t="s">
        <v>649</v>
      </c>
      <c r="G92" s="10" t="s">
        <v>17</v>
      </c>
      <c r="H92" s="11" t="s">
        <v>8</v>
      </c>
      <c r="I92" s="11" t="s">
        <v>28</v>
      </c>
      <c r="J92" s="12" t="s">
        <v>20</v>
      </c>
      <c r="K92" s="10" t="s">
        <v>885</v>
      </c>
      <c r="L92" s="13">
        <v>28</v>
      </c>
      <c r="M92" s="14">
        <v>5</v>
      </c>
      <c r="N92" s="14">
        <v>2004</v>
      </c>
      <c r="O92" s="46">
        <f>DATE(FatmaUsf[[#This Row],[Hire Year]],FatmaUsf[[#This Row],[Hire Month]],FatmaUsf[[#This Row],[Hire Day]])</f>
        <v>38135</v>
      </c>
      <c r="P92" s="46">
        <f t="shared" ca="1" si="1"/>
        <v>46071</v>
      </c>
      <c r="Q92" s="14">
        <f ca="1">DATEDIF(FatmaUsf[[#This Row],[Hiring Date]],FatmaUsf[[#This Row],[current date]],"Y")</f>
        <v>21</v>
      </c>
      <c r="R92" s="15">
        <v>5373</v>
      </c>
      <c r="S92" s="53">
        <f>FatmaUsf[[#This Row],[Salary]]*0.1</f>
        <v>537.30000000000007</v>
      </c>
      <c r="T92" s="16">
        <f>FatmaUsf[[#This Row],[Salary]]*0.03</f>
        <v>161.19</v>
      </c>
      <c r="U92" s="48">
        <f>FatmaUsf[[#This Row],[Salary]]-FatmaUsf[[#This Row],[Tax 10%]]+FatmaUsf[[#This Row],[Bonus 3%]]</f>
        <v>4996.8899999999994</v>
      </c>
      <c r="V92" s="17" t="str">
        <f>IF(FatmaUsf[[#This Row],[Net Salary]]&gt;=6000,"Over","Normal")</f>
        <v>Normal</v>
      </c>
      <c r="W92" s="57">
        <f>VLOOKUP(FatmaUsf[[#This Row],[Net Salary]],$Z$10:$AA$14,2)</f>
        <v>0.05</v>
      </c>
    </row>
    <row r="93" spans="1:23" ht="15.75" customHeight="1">
      <c r="A93" s="24">
        <v>1092</v>
      </c>
      <c r="B93" s="10" t="s">
        <v>325</v>
      </c>
      <c r="C93" s="10" t="s">
        <v>326</v>
      </c>
      <c r="D93" s="41" t="str">
        <f>PROPER(TRIM(FatmaUsf[[#This Row],[Last Name]]&amp;" "&amp;FatmaUsf[[#This Row],[Last Name]]))</f>
        <v>Alhariri Alhariri</v>
      </c>
      <c r="E93" s="10" t="s">
        <v>99</v>
      </c>
      <c r="F93" s="10" t="s">
        <v>650</v>
      </c>
      <c r="G93" s="10" t="s">
        <v>17</v>
      </c>
      <c r="H93" s="11" t="s">
        <v>14</v>
      </c>
      <c r="I93" s="11" t="s">
        <v>29</v>
      </c>
      <c r="J93" s="12" t="s">
        <v>10</v>
      </c>
      <c r="K93" s="10" t="s">
        <v>886</v>
      </c>
      <c r="L93" s="13">
        <v>27</v>
      </c>
      <c r="M93" s="14">
        <v>7</v>
      </c>
      <c r="N93" s="14">
        <v>2011</v>
      </c>
      <c r="O93" s="46">
        <f>DATE(FatmaUsf[[#This Row],[Hire Year]],FatmaUsf[[#This Row],[Hire Month]],FatmaUsf[[#This Row],[Hire Day]])</f>
        <v>40751</v>
      </c>
      <c r="P93" s="46">
        <f t="shared" ca="1" si="1"/>
        <v>46071</v>
      </c>
      <c r="Q93" s="14">
        <f ca="1">DATEDIF(FatmaUsf[[#This Row],[Hiring Date]],FatmaUsf[[#This Row],[current date]],"Y")</f>
        <v>14</v>
      </c>
      <c r="R93" s="15">
        <v>1708</v>
      </c>
      <c r="S93" s="53">
        <f>FatmaUsf[[#This Row],[Salary]]*0.1</f>
        <v>170.8</v>
      </c>
      <c r="T93" s="16">
        <f>FatmaUsf[[#This Row],[Salary]]*0.03</f>
        <v>51.239999999999995</v>
      </c>
      <c r="U93" s="48">
        <f>FatmaUsf[[#This Row],[Salary]]-FatmaUsf[[#This Row],[Tax 10%]]+FatmaUsf[[#This Row],[Bonus 3%]]</f>
        <v>1588.44</v>
      </c>
      <c r="V93" s="17" t="str">
        <f>IF(FatmaUsf[[#This Row],[Net Salary]]&gt;=6000,"Over","Normal")</f>
        <v>Normal</v>
      </c>
      <c r="W93" s="57">
        <f>VLOOKUP(FatmaUsf[[#This Row],[Net Salary]],$Z$10:$AA$14,2)</f>
        <v>0.08</v>
      </c>
    </row>
    <row r="94" spans="1:23" ht="15.75" customHeight="1">
      <c r="A94" s="24">
        <v>1093</v>
      </c>
      <c r="B94" s="10" t="s">
        <v>327</v>
      </c>
      <c r="C94" s="10" t="s">
        <v>328</v>
      </c>
      <c r="D94" s="41" t="str">
        <f>PROPER(TRIM(FatmaUsf[[#This Row],[Last Name]]&amp;" "&amp;FatmaUsf[[#This Row],[Last Name]]))</f>
        <v>Alhusayn Alhusayn</v>
      </c>
      <c r="E94" s="10" t="s">
        <v>99</v>
      </c>
      <c r="F94" s="10" t="s">
        <v>651</v>
      </c>
      <c r="G94" s="10" t="s">
        <v>19</v>
      </c>
      <c r="H94" s="11" t="s">
        <v>8</v>
      </c>
      <c r="I94" s="11" t="s">
        <v>264</v>
      </c>
      <c r="J94" s="12" t="s">
        <v>23</v>
      </c>
      <c r="K94" s="10" t="s">
        <v>887</v>
      </c>
      <c r="L94" s="13">
        <v>11</v>
      </c>
      <c r="M94" s="14">
        <v>8</v>
      </c>
      <c r="N94" s="14">
        <v>2019</v>
      </c>
      <c r="O94" s="46">
        <f>DATE(FatmaUsf[[#This Row],[Hire Year]],FatmaUsf[[#This Row],[Hire Month]],FatmaUsf[[#This Row],[Hire Day]])</f>
        <v>43688</v>
      </c>
      <c r="P94" s="46">
        <f t="shared" ca="1" si="1"/>
        <v>46071</v>
      </c>
      <c r="Q94" s="14">
        <f ca="1">DATEDIF(FatmaUsf[[#This Row],[Hiring Date]],FatmaUsf[[#This Row],[current date]],"Y")</f>
        <v>6</v>
      </c>
      <c r="R94" s="15">
        <v>2898</v>
      </c>
      <c r="S94" s="53">
        <f>FatmaUsf[[#This Row],[Salary]]*0.1</f>
        <v>289.8</v>
      </c>
      <c r="T94" s="16">
        <f>FatmaUsf[[#This Row],[Salary]]*0.03</f>
        <v>86.94</v>
      </c>
      <c r="U94" s="48">
        <f>FatmaUsf[[#This Row],[Salary]]-FatmaUsf[[#This Row],[Tax 10%]]+FatmaUsf[[#This Row],[Bonus 3%]]</f>
        <v>2695.14</v>
      </c>
      <c r="V94" s="17" t="str">
        <f>IF(FatmaUsf[[#This Row],[Net Salary]]&gt;=6000,"Over","Normal")</f>
        <v>Normal</v>
      </c>
      <c r="W94" s="57">
        <f>VLOOKUP(FatmaUsf[[#This Row],[Net Salary]],$Z$10:$AA$14,2)</f>
        <v>0.08</v>
      </c>
    </row>
    <row r="95" spans="1:23" ht="15.75" customHeight="1">
      <c r="A95" s="24">
        <v>1094</v>
      </c>
      <c r="B95" s="10" t="s">
        <v>118</v>
      </c>
      <c r="C95" s="10" t="s">
        <v>329</v>
      </c>
      <c r="D95" s="41" t="str">
        <f>PROPER(TRIM(FatmaUsf[[#This Row],[Last Name]]&amp;" "&amp;FatmaUsf[[#This Row],[Last Name]]))</f>
        <v>Alqasir Alqasir</v>
      </c>
      <c r="E95" s="10" t="s">
        <v>100</v>
      </c>
      <c r="F95" s="10" t="s">
        <v>652</v>
      </c>
      <c r="G95" s="10" t="s">
        <v>7</v>
      </c>
      <c r="H95" s="11" t="s">
        <v>11</v>
      </c>
      <c r="I95" s="11" t="s">
        <v>26</v>
      </c>
      <c r="J95" s="12" t="s">
        <v>10</v>
      </c>
      <c r="K95" s="10" t="s">
        <v>888</v>
      </c>
      <c r="L95" s="13">
        <v>16</v>
      </c>
      <c r="M95" s="14">
        <v>10</v>
      </c>
      <c r="N95" s="14">
        <v>2007</v>
      </c>
      <c r="O95" s="46">
        <f>DATE(FatmaUsf[[#This Row],[Hire Year]],FatmaUsf[[#This Row],[Hire Month]],FatmaUsf[[#This Row],[Hire Day]])</f>
        <v>39371</v>
      </c>
      <c r="P95" s="46">
        <f t="shared" ca="1" si="1"/>
        <v>46071</v>
      </c>
      <c r="Q95" s="14">
        <f ca="1">DATEDIF(FatmaUsf[[#This Row],[Hiring Date]],FatmaUsf[[#This Row],[current date]],"Y")</f>
        <v>18</v>
      </c>
      <c r="R95" s="15">
        <v>6211</v>
      </c>
      <c r="S95" s="53">
        <f>FatmaUsf[[#This Row],[Salary]]*0.1</f>
        <v>621.1</v>
      </c>
      <c r="T95" s="16">
        <f>FatmaUsf[[#This Row],[Salary]]*0.03</f>
        <v>186.32999999999998</v>
      </c>
      <c r="U95" s="48">
        <f>FatmaUsf[[#This Row],[Salary]]-FatmaUsf[[#This Row],[Tax 10%]]+FatmaUsf[[#This Row],[Bonus 3%]]</f>
        <v>5776.23</v>
      </c>
      <c r="V95" s="17" t="str">
        <f>IF(FatmaUsf[[#This Row],[Net Salary]]&gt;=6000,"Over","Normal")</f>
        <v>Normal</v>
      </c>
      <c r="W95" s="57">
        <f>VLOOKUP(FatmaUsf[[#This Row],[Net Salary]],$Z$10:$AA$14,2)</f>
        <v>0.05</v>
      </c>
    </row>
    <row r="96" spans="1:23" ht="15.75" customHeight="1">
      <c r="A96" s="24">
        <v>1095</v>
      </c>
      <c r="B96" s="10" t="s">
        <v>330</v>
      </c>
      <c r="C96" s="10" t="s">
        <v>331</v>
      </c>
      <c r="D96" s="41" t="str">
        <f>PROPER(TRIM(FatmaUsf[[#This Row],[Last Name]]&amp;" "&amp;FatmaUsf[[#This Row],[Last Name]]))</f>
        <v>Salih Salih</v>
      </c>
      <c r="E96" s="10" t="s">
        <v>100</v>
      </c>
      <c r="F96" s="10" t="s">
        <v>653</v>
      </c>
      <c r="G96" s="10" t="s">
        <v>19</v>
      </c>
      <c r="H96" s="11" t="s">
        <v>8</v>
      </c>
      <c r="I96" s="11" t="s">
        <v>9</v>
      </c>
      <c r="J96" s="12" t="s">
        <v>10</v>
      </c>
      <c r="K96" s="10" t="s">
        <v>889</v>
      </c>
      <c r="L96" s="13">
        <v>25</v>
      </c>
      <c r="M96" s="14">
        <v>12</v>
      </c>
      <c r="N96" s="14">
        <v>2020</v>
      </c>
      <c r="O96" s="46">
        <f>DATE(FatmaUsf[[#This Row],[Hire Year]],FatmaUsf[[#This Row],[Hire Month]],FatmaUsf[[#This Row],[Hire Day]])</f>
        <v>44190</v>
      </c>
      <c r="P96" s="46">
        <f t="shared" ca="1" si="1"/>
        <v>46071</v>
      </c>
      <c r="Q96" s="14">
        <f ca="1">DATEDIF(FatmaUsf[[#This Row],[Hiring Date]],FatmaUsf[[#This Row],[current date]],"Y")</f>
        <v>5</v>
      </c>
      <c r="R96" s="15">
        <v>5976</v>
      </c>
      <c r="S96" s="53">
        <f>FatmaUsf[[#This Row],[Salary]]*0.1</f>
        <v>597.6</v>
      </c>
      <c r="T96" s="16">
        <f>FatmaUsf[[#This Row],[Salary]]*0.03</f>
        <v>179.28</v>
      </c>
      <c r="U96" s="48">
        <f>FatmaUsf[[#This Row],[Salary]]-FatmaUsf[[#This Row],[Tax 10%]]+FatmaUsf[[#This Row],[Bonus 3%]]</f>
        <v>5557.6799999999994</v>
      </c>
      <c r="V96" s="17" t="str">
        <f>IF(FatmaUsf[[#This Row],[Net Salary]]&gt;=6000,"Over","Normal")</f>
        <v>Normal</v>
      </c>
      <c r="W96" s="57">
        <f>VLOOKUP(FatmaUsf[[#This Row],[Net Salary]],$Z$10:$AA$14,2)</f>
        <v>0.05</v>
      </c>
    </row>
    <row r="97" spans="1:23" ht="15.75" customHeight="1">
      <c r="A97" s="24">
        <v>1096</v>
      </c>
      <c r="B97" s="10" t="s">
        <v>105</v>
      </c>
      <c r="C97" s="10" t="s">
        <v>332</v>
      </c>
      <c r="D97" s="41" t="str">
        <f>PROPER(TRIM(FatmaUsf[[#This Row],[Last Name]]&amp;" "&amp;FatmaUsf[[#This Row],[Last Name]]))</f>
        <v>Alhumwi Alhumwi</v>
      </c>
      <c r="E97" s="10" t="s">
        <v>99</v>
      </c>
      <c r="F97" s="10" t="s">
        <v>654</v>
      </c>
      <c r="G97" s="10" t="s">
        <v>19</v>
      </c>
      <c r="H97" s="11" t="s">
        <v>11</v>
      </c>
      <c r="I97" s="11" t="s">
        <v>9</v>
      </c>
      <c r="J97" s="12" t="s">
        <v>20</v>
      </c>
      <c r="K97" s="10" t="s">
        <v>890</v>
      </c>
      <c r="L97" s="13">
        <v>28</v>
      </c>
      <c r="M97" s="14">
        <v>10</v>
      </c>
      <c r="N97" s="14">
        <v>1997</v>
      </c>
      <c r="O97" s="46">
        <f>DATE(FatmaUsf[[#This Row],[Hire Year]],FatmaUsf[[#This Row],[Hire Month]],FatmaUsf[[#This Row],[Hire Day]])</f>
        <v>35731</v>
      </c>
      <c r="P97" s="46">
        <f t="shared" ca="1" si="1"/>
        <v>46071</v>
      </c>
      <c r="Q97" s="14">
        <f ca="1">DATEDIF(FatmaUsf[[#This Row],[Hiring Date]],FatmaUsf[[#This Row],[current date]],"Y")</f>
        <v>28</v>
      </c>
      <c r="R97" s="15">
        <v>742</v>
      </c>
      <c r="S97" s="53">
        <f>FatmaUsf[[#This Row],[Salary]]*0.1</f>
        <v>74.2</v>
      </c>
      <c r="T97" s="16">
        <f>FatmaUsf[[#This Row],[Salary]]*0.03</f>
        <v>22.259999999999998</v>
      </c>
      <c r="U97" s="48">
        <f>FatmaUsf[[#This Row],[Salary]]-FatmaUsf[[#This Row],[Tax 10%]]+FatmaUsf[[#This Row],[Bonus 3%]]</f>
        <v>690.06</v>
      </c>
      <c r="V97" s="17" t="str">
        <f>IF(FatmaUsf[[#This Row],[Net Salary]]&gt;=6000,"Over","Normal")</f>
        <v>Normal</v>
      </c>
      <c r="W97" s="57">
        <f>VLOOKUP(FatmaUsf[[#This Row],[Net Salary]],$Z$10:$AA$14,2)</f>
        <v>0.1</v>
      </c>
    </row>
    <row r="98" spans="1:23" ht="15.75" customHeight="1">
      <c r="A98" s="24">
        <v>1097</v>
      </c>
      <c r="B98" s="10" t="s">
        <v>118</v>
      </c>
      <c r="C98" s="10" t="s">
        <v>333</v>
      </c>
      <c r="D98" s="41" t="str">
        <f>PROPER(TRIM(FatmaUsf[[#This Row],[Last Name]]&amp;" "&amp;FatmaUsf[[#This Row],[Last Name]]))</f>
        <v>Saed Saed</v>
      </c>
      <c r="E98" s="10" t="s">
        <v>99</v>
      </c>
      <c r="F98" s="10" t="s">
        <v>655</v>
      </c>
      <c r="G98" s="10" t="s">
        <v>13</v>
      </c>
      <c r="H98" s="11" t="s">
        <v>11</v>
      </c>
      <c r="I98" s="11" t="s">
        <v>27</v>
      </c>
      <c r="J98" s="12" t="s">
        <v>10</v>
      </c>
      <c r="K98" s="10" t="s">
        <v>891</v>
      </c>
      <c r="L98" s="13">
        <v>3</v>
      </c>
      <c r="M98" s="14">
        <v>4</v>
      </c>
      <c r="N98" s="14">
        <v>2008</v>
      </c>
      <c r="O98" s="46">
        <f>DATE(FatmaUsf[[#This Row],[Hire Year]],FatmaUsf[[#This Row],[Hire Month]],FatmaUsf[[#This Row],[Hire Day]])</f>
        <v>39541</v>
      </c>
      <c r="P98" s="46">
        <f t="shared" ca="1" si="1"/>
        <v>46071</v>
      </c>
      <c r="Q98" s="14">
        <f ca="1">DATEDIF(FatmaUsf[[#This Row],[Hiring Date]],FatmaUsf[[#This Row],[current date]],"Y")</f>
        <v>17</v>
      </c>
      <c r="R98" s="15">
        <v>5918</v>
      </c>
      <c r="S98" s="53">
        <f>FatmaUsf[[#This Row],[Salary]]*0.1</f>
        <v>591.80000000000007</v>
      </c>
      <c r="T98" s="16">
        <f>FatmaUsf[[#This Row],[Salary]]*0.03</f>
        <v>177.54</v>
      </c>
      <c r="U98" s="48">
        <f>FatmaUsf[[#This Row],[Salary]]-FatmaUsf[[#This Row],[Tax 10%]]+FatmaUsf[[#This Row],[Bonus 3%]]</f>
        <v>5503.74</v>
      </c>
      <c r="V98" s="17" t="str">
        <f>IF(FatmaUsf[[#This Row],[Net Salary]]&gt;=6000,"Over","Normal")</f>
        <v>Normal</v>
      </c>
      <c r="W98" s="57">
        <f>VLOOKUP(FatmaUsf[[#This Row],[Net Salary]],$Z$10:$AA$14,2)</f>
        <v>0.05</v>
      </c>
    </row>
    <row r="99" spans="1:23" ht="15.75" customHeight="1">
      <c r="A99" s="24">
        <v>1098</v>
      </c>
      <c r="B99" s="10" t="s">
        <v>334</v>
      </c>
      <c r="C99" s="10" t="s">
        <v>335</v>
      </c>
      <c r="D99" s="41" t="str">
        <f>PROPER(TRIM(FatmaUsf[[#This Row],[Last Name]]&amp;" "&amp;FatmaUsf[[#This Row],[Last Name]]))</f>
        <v>Alahmar Alahmar</v>
      </c>
      <c r="E99" s="10" t="s">
        <v>99</v>
      </c>
      <c r="F99" s="10" t="s">
        <v>656</v>
      </c>
      <c r="G99" s="10" t="s">
        <v>13</v>
      </c>
      <c r="H99" s="11" t="s">
        <v>11</v>
      </c>
      <c r="I99" s="11" t="s">
        <v>15</v>
      </c>
      <c r="J99" s="12" t="s">
        <v>23</v>
      </c>
      <c r="K99" s="10" t="s">
        <v>892</v>
      </c>
      <c r="L99" s="13">
        <v>3</v>
      </c>
      <c r="M99" s="14">
        <v>1</v>
      </c>
      <c r="N99" s="14">
        <v>1998</v>
      </c>
      <c r="O99" s="46">
        <f>DATE(FatmaUsf[[#This Row],[Hire Year]],FatmaUsf[[#This Row],[Hire Month]],FatmaUsf[[#This Row],[Hire Day]])</f>
        <v>35798</v>
      </c>
      <c r="P99" s="46">
        <f t="shared" ca="1" si="1"/>
        <v>46071</v>
      </c>
      <c r="Q99" s="14">
        <f ca="1">DATEDIF(FatmaUsf[[#This Row],[Hiring Date]],FatmaUsf[[#This Row],[current date]],"Y")</f>
        <v>28</v>
      </c>
      <c r="R99" s="15">
        <v>3074</v>
      </c>
      <c r="S99" s="53">
        <f>FatmaUsf[[#This Row],[Salary]]*0.1</f>
        <v>307.40000000000003</v>
      </c>
      <c r="T99" s="16">
        <f>FatmaUsf[[#This Row],[Salary]]*0.03</f>
        <v>92.22</v>
      </c>
      <c r="U99" s="48">
        <f>FatmaUsf[[#This Row],[Salary]]-FatmaUsf[[#This Row],[Tax 10%]]+FatmaUsf[[#This Row],[Bonus 3%]]</f>
        <v>2858.8199999999997</v>
      </c>
      <c r="V99" s="17" t="str">
        <f>IF(FatmaUsf[[#This Row],[Net Salary]]&gt;=6000,"Over","Normal")</f>
        <v>Normal</v>
      </c>
      <c r="W99" s="57">
        <f>VLOOKUP(FatmaUsf[[#This Row],[Net Salary]],$Z$10:$AA$14,2)</f>
        <v>0.08</v>
      </c>
    </row>
    <row r="100" spans="1:23" ht="15.75" customHeight="1">
      <c r="A100" s="24">
        <v>1099</v>
      </c>
      <c r="B100" s="10" t="s">
        <v>336</v>
      </c>
      <c r="C100" s="10" t="s">
        <v>337</v>
      </c>
      <c r="D100" s="41" t="str">
        <f>PROPER(TRIM(FatmaUsf[[#This Row],[Last Name]]&amp;" "&amp;FatmaUsf[[#This Row],[Last Name]]))</f>
        <v>Sharabi Sharabi</v>
      </c>
      <c r="E100" s="10" t="s">
        <v>99</v>
      </c>
      <c r="F100" s="10" t="s">
        <v>657</v>
      </c>
      <c r="G100" s="10" t="s">
        <v>19</v>
      </c>
      <c r="H100" s="11" t="s">
        <v>8</v>
      </c>
      <c r="I100" s="11" t="s">
        <v>9</v>
      </c>
      <c r="J100" s="12" t="s">
        <v>23</v>
      </c>
      <c r="K100" s="10" t="s">
        <v>893</v>
      </c>
      <c r="L100" s="13">
        <v>21</v>
      </c>
      <c r="M100" s="14">
        <v>4</v>
      </c>
      <c r="N100" s="14">
        <v>2006</v>
      </c>
      <c r="O100" s="46">
        <f>DATE(FatmaUsf[[#This Row],[Hire Year]],FatmaUsf[[#This Row],[Hire Month]],FatmaUsf[[#This Row],[Hire Day]])</f>
        <v>38828</v>
      </c>
      <c r="P100" s="46">
        <f t="shared" ca="1" si="1"/>
        <v>46071</v>
      </c>
      <c r="Q100" s="14">
        <f ca="1">DATEDIF(FatmaUsf[[#This Row],[Hiring Date]],FatmaUsf[[#This Row],[current date]],"Y")</f>
        <v>19</v>
      </c>
      <c r="R100" s="15">
        <v>5688</v>
      </c>
      <c r="S100" s="53">
        <f>FatmaUsf[[#This Row],[Salary]]*0.1</f>
        <v>568.80000000000007</v>
      </c>
      <c r="T100" s="16">
        <f>FatmaUsf[[#This Row],[Salary]]*0.03</f>
        <v>170.64</v>
      </c>
      <c r="U100" s="48">
        <f>FatmaUsf[[#This Row],[Salary]]-FatmaUsf[[#This Row],[Tax 10%]]+FatmaUsf[[#This Row],[Bonus 3%]]</f>
        <v>5289.84</v>
      </c>
      <c r="V100" s="17" t="str">
        <f>IF(FatmaUsf[[#This Row],[Net Salary]]&gt;=6000,"Over","Normal")</f>
        <v>Normal</v>
      </c>
      <c r="W100" s="57">
        <f>VLOOKUP(FatmaUsf[[#This Row],[Net Salary]],$Z$10:$AA$14,2)</f>
        <v>0.05</v>
      </c>
    </row>
    <row r="101" spans="1:23" ht="15.75" customHeight="1">
      <c r="A101" s="24">
        <v>1100</v>
      </c>
      <c r="B101" s="10" t="s">
        <v>338</v>
      </c>
      <c r="C101" s="10" t="s">
        <v>339</v>
      </c>
      <c r="D101" s="41" t="str">
        <f>PROPER(TRIM(FatmaUsf[[#This Row],[Last Name]]&amp;" "&amp;FatmaUsf[[#This Row],[Last Name]]))</f>
        <v>Durkzili Durkzili</v>
      </c>
      <c r="E101" s="10" t="s">
        <v>99</v>
      </c>
      <c r="F101" s="10" t="s">
        <v>658</v>
      </c>
      <c r="G101" s="10" t="s">
        <v>13</v>
      </c>
      <c r="H101" s="11" t="s">
        <v>11</v>
      </c>
      <c r="I101" s="11" t="s">
        <v>9</v>
      </c>
      <c r="J101" s="12" t="s">
        <v>10</v>
      </c>
      <c r="K101" s="10" t="s">
        <v>894</v>
      </c>
      <c r="L101" s="13">
        <v>25</v>
      </c>
      <c r="M101" s="14">
        <v>9</v>
      </c>
      <c r="N101" s="14">
        <v>2003</v>
      </c>
      <c r="O101" s="46">
        <f>DATE(FatmaUsf[[#This Row],[Hire Year]],FatmaUsf[[#This Row],[Hire Month]],FatmaUsf[[#This Row],[Hire Day]])</f>
        <v>37889</v>
      </c>
      <c r="P101" s="46">
        <f t="shared" ca="1" si="1"/>
        <v>46071</v>
      </c>
      <c r="Q101" s="14">
        <f ca="1">DATEDIF(FatmaUsf[[#This Row],[Hiring Date]],FatmaUsf[[#This Row],[current date]],"Y")</f>
        <v>22</v>
      </c>
      <c r="R101" s="15">
        <v>3362</v>
      </c>
      <c r="S101" s="53">
        <f>FatmaUsf[[#This Row],[Salary]]*0.1</f>
        <v>336.20000000000005</v>
      </c>
      <c r="T101" s="16">
        <f>FatmaUsf[[#This Row],[Salary]]*0.03</f>
        <v>100.86</v>
      </c>
      <c r="U101" s="48">
        <f>FatmaUsf[[#This Row],[Salary]]-FatmaUsf[[#This Row],[Tax 10%]]+FatmaUsf[[#This Row],[Bonus 3%]]</f>
        <v>3126.6600000000003</v>
      </c>
      <c r="V101" s="17" t="str">
        <f>IF(FatmaUsf[[#This Row],[Net Salary]]&gt;=6000,"Over","Normal")</f>
        <v>Normal</v>
      </c>
      <c r="W101" s="57">
        <f>VLOOKUP(FatmaUsf[[#This Row],[Net Salary]],$Z$10:$AA$14,2)</f>
        <v>0.05</v>
      </c>
    </row>
    <row r="102" spans="1:23" ht="15.75" customHeight="1">
      <c r="A102" s="24">
        <v>1101</v>
      </c>
      <c r="B102" s="10" t="s">
        <v>340</v>
      </c>
      <c r="C102" s="10" t="s">
        <v>341</v>
      </c>
      <c r="D102" s="41" t="str">
        <f>PROPER(TRIM(FatmaUsf[[#This Row],[Last Name]]&amp;" "&amp;FatmaUsf[[#This Row],[Last Name]]))</f>
        <v>Husu Husu</v>
      </c>
      <c r="E102" s="10" t="s">
        <v>100</v>
      </c>
      <c r="F102" s="10" t="s">
        <v>659</v>
      </c>
      <c r="G102" s="10" t="s">
        <v>17</v>
      </c>
      <c r="H102" s="11" t="s">
        <v>11</v>
      </c>
      <c r="I102" s="11" t="s">
        <v>9</v>
      </c>
      <c r="J102" s="12" t="s">
        <v>23</v>
      </c>
      <c r="K102" s="10" t="s">
        <v>895</v>
      </c>
      <c r="L102" s="13">
        <v>23</v>
      </c>
      <c r="M102" s="14">
        <v>9</v>
      </c>
      <c r="N102" s="14">
        <v>1996</v>
      </c>
      <c r="O102" s="46">
        <f>DATE(FatmaUsf[[#This Row],[Hire Year]],FatmaUsf[[#This Row],[Hire Month]],FatmaUsf[[#This Row],[Hire Day]])</f>
        <v>35331</v>
      </c>
      <c r="P102" s="46">
        <f t="shared" ca="1" si="1"/>
        <v>46071</v>
      </c>
      <c r="Q102" s="14">
        <f ca="1">DATEDIF(FatmaUsf[[#This Row],[Hiring Date]],FatmaUsf[[#This Row],[current date]],"Y")</f>
        <v>29</v>
      </c>
      <c r="R102" s="15">
        <v>6043</v>
      </c>
      <c r="S102" s="53">
        <f>FatmaUsf[[#This Row],[Salary]]*0.1</f>
        <v>604.30000000000007</v>
      </c>
      <c r="T102" s="16">
        <f>FatmaUsf[[#This Row],[Salary]]*0.03</f>
        <v>181.29</v>
      </c>
      <c r="U102" s="48">
        <f>FatmaUsf[[#This Row],[Salary]]-FatmaUsf[[#This Row],[Tax 10%]]+FatmaUsf[[#This Row],[Bonus 3%]]</f>
        <v>5619.99</v>
      </c>
      <c r="V102" s="17" t="str">
        <f>IF(FatmaUsf[[#This Row],[Net Salary]]&gt;=6000,"Over","Normal")</f>
        <v>Normal</v>
      </c>
      <c r="W102" s="57">
        <f>VLOOKUP(FatmaUsf[[#This Row],[Net Salary]],$Z$10:$AA$14,2)</f>
        <v>0.05</v>
      </c>
    </row>
    <row r="103" spans="1:23" ht="15.75" customHeight="1">
      <c r="A103" s="24">
        <v>1102</v>
      </c>
      <c r="B103" s="10" t="s">
        <v>342</v>
      </c>
      <c r="C103" s="10" t="s">
        <v>343</v>
      </c>
      <c r="D103" s="41" t="str">
        <f>PROPER(TRIM(FatmaUsf[[#This Row],[Last Name]]&amp;" "&amp;FatmaUsf[[#This Row],[Last Name]]))</f>
        <v>Eilwan Eilwan</v>
      </c>
      <c r="E103" s="10" t="s">
        <v>99</v>
      </c>
      <c r="F103" s="10" t="s">
        <v>660</v>
      </c>
      <c r="G103" s="10" t="s">
        <v>17</v>
      </c>
      <c r="H103" s="11" t="s">
        <v>8</v>
      </c>
      <c r="I103" s="11" t="s">
        <v>9</v>
      </c>
      <c r="J103" s="12" t="s">
        <v>10</v>
      </c>
      <c r="K103" s="10" t="s">
        <v>896</v>
      </c>
      <c r="L103" s="13">
        <v>26</v>
      </c>
      <c r="M103" s="14">
        <v>8</v>
      </c>
      <c r="N103" s="14">
        <v>2022</v>
      </c>
      <c r="O103" s="46">
        <f>DATE(FatmaUsf[[#This Row],[Hire Year]],FatmaUsf[[#This Row],[Hire Month]],FatmaUsf[[#This Row],[Hire Day]])</f>
        <v>44799</v>
      </c>
      <c r="P103" s="46">
        <f t="shared" ca="1" si="1"/>
        <v>46071</v>
      </c>
      <c r="Q103" s="14">
        <f ca="1">DATEDIF(FatmaUsf[[#This Row],[Hiring Date]],FatmaUsf[[#This Row],[current date]],"Y")</f>
        <v>3</v>
      </c>
      <c r="R103" s="15">
        <v>6260</v>
      </c>
      <c r="S103" s="53">
        <f>FatmaUsf[[#This Row],[Salary]]*0.1</f>
        <v>626</v>
      </c>
      <c r="T103" s="16">
        <f>FatmaUsf[[#This Row],[Salary]]*0.03</f>
        <v>187.79999999999998</v>
      </c>
      <c r="U103" s="48">
        <f>FatmaUsf[[#This Row],[Salary]]-FatmaUsf[[#This Row],[Tax 10%]]+FatmaUsf[[#This Row],[Bonus 3%]]</f>
        <v>5821.8</v>
      </c>
      <c r="V103" s="17" t="str">
        <f>IF(FatmaUsf[[#This Row],[Net Salary]]&gt;=6000,"Over","Normal")</f>
        <v>Normal</v>
      </c>
      <c r="W103" s="57">
        <f>VLOOKUP(FatmaUsf[[#This Row],[Net Salary]],$Z$10:$AA$14,2)</f>
        <v>0.05</v>
      </c>
    </row>
    <row r="104" spans="1:23" ht="15.75" customHeight="1">
      <c r="A104" s="24">
        <v>1103</v>
      </c>
      <c r="B104" s="10" t="s">
        <v>30</v>
      </c>
      <c r="C104" s="10" t="s">
        <v>344</v>
      </c>
      <c r="D104" s="41" t="str">
        <f>PROPER(TRIM(FatmaUsf[[#This Row],[Last Name]]&amp;" "&amp;FatmaUsf[[#This Row],[Last Name]]))</f>
        <v>Zyny Zyny</v>
      </c>
      <c r="E104" s="10" t="s">
        <v>100</v>
      </c>
      <c r="F104" s="10" t="s">
        <v>661</v>
      </c>
      <c r="G104" s="10" t="s">
        <v>17</v>
      </c>
      <c r="H104" s="11" t="s">
        <v>11</v>
      </c>
      <c r="I104" s="11" t="s">
        <v>9</v>
      </c>
      <c r="J104" s="12" t="s">
        <v>10</v>
      </c>
      <c r="K104" s="10" t="s">
        <v>897</v>
      </c>
      <c r="L104" s="13">
        <v>19</v>
      </c>
      <c r="M104" s="14">
        <v>7</v>
      </c>
      <c r="N104" s="14">
        <v>1995</v>
      </c>
      <c r="O104" s="46">
        <f>DATE(FatmaUsf[[#This Row],[Hire Year]],FatmaUsf[[#This Row],[Hire Month]],FatmaUsf[[#This Row],[Hire Day]])</f>
        <v>34899</v>
      </c>
      <c r="P104" s="46">
        <f t="shared" ca="1" si="1"/>
        <v>46071</v>
      </c>
      <c r="Q104" s="14">
        <f ca="1">DATEDIF(FatmaUsf[[#This Row],[Hiring Date]],FatmaUsf[[#This Row],[current date]],"Y")</f>
        <v>30</v>
      </c>
      <c r="R104" s="15">
        <v>3754</v>
      </c>
      <c r="S104" s="53">
        <f>FatmaUsf[[#This Row],[Salary]]*0.1</f>
        <v>375.40000000000003</v>
      </c>
      <c r="T104" s="16">
        <f>FatmaUsf[[#This Row],[Salary]]*0.03</f>
        <v>112.61999999999999</v>
      </c>
      <c r="U104" s="48">
        <f>FatmaUsf[[#This Row],[Salary]]-FatmaUsf[[#This Row],[Tax 10%]]+FatmaUsf[[#This Row],[Bonus 3%]]</f>
        <v>3491.22</v>
      </c>
      <c r="V104" s="17" t="str">
        <f>IF(FatmaUsf[[#This Row],[Net Salary]]&gt;=6000,"Over","Normal")</f>
        <v>Normal</v>
      </c>
      <c r="W104" s="57">
        <f>VLOOKUP(FatmaUsf[[#This Row],[Net Salary]],$Z$10:$AA$14,2)</f>
        <v>0.05</v>
      </c>
    </row>
    <row r="105" spans="1:23" ht="15.75" customHeight="1">
      <c r="A105" s="24">
        <v>1104</v>
      </c>
      <c r="B105" s="10" t="s">
        <v>102</v>
      </c>
      <c r="C105" s="10" t="s">
        <v>345</v>
      </c>
      <c r="D105" s="41" t="str">
        <f>PROPER(TRIM(FatmaUsf[[#This Row],[Last Name]]&amp;" "&amp;FatmaUsf[[#This Row],[Last Name]]))</f>
        <v>Iidlibi Iidlibi</v>
      </c>
      <c r="E105" s="10" t="s">
        <v>100</v>
      </c>
      <c r="F105" s="10" t="s">
        <v>662</v>
      </c>
      <c r="G105" s="10" t="s">
        <v>13</v>
      </c>
      <c r="H105" s="11" t="s">
        <v>8</v>
      </c>
      <c r="I105" s="11" t="s">
        <v>25</v>
      </c>
      <c r="J105" s="12" t="s">
        <v>10</v>
      </c>
      <c r="K105" s="10" t="s">
        <v>898</v>
      </c>
      <c r="L105" s="13">
        <v>2</v>
      </c>
      <c r="M105" s="14">
        <v>1</v>
      </c>
      <c r="N105" s="14">
        <v>2009</v>
      </c>
      <c r="O105" s="46">
        <f>DATE(FatmaUsf[[#This Row],[Hire Year]],FatmaUsf[[#This Row],[Hire Month]],FatmaUsf[[#This Row],[Hire Day]])</f>
        <v>39815</v>
      </c>
      <c r="P105" s="46">
        <f t="shared" ca="1" si="1"/>
        <v>46071</v>
      </c>
      <c r="Q105" s="14">
        <f ca="1">DATEDIF(FatmaUsf[[#This Row],[Hiring Date]],FatmaUsf[[#This Row],[current date]],"Y")</f>
        <v>17</v>
      </c>
      <c r="R105" s="15">
        <v>6579</v>
      </c>
      <c r="S105" s="53">
        <f>FatmaUsf[[#This Row],[Salary]]*0.1</f>
        <v>657.90000000000009</v>
      </c>
      <c r="T105" s="16">
        <f>FatmaUsf[[#This Row],[Salary]]*0.03</f>
        <v>197.37</v>
      </c>
      <c r="U105" s="48">
        <f>FatmaUsf[[#This Row],[Salary]]-FatmaUsf[[#This Row],[Tax 10%]]+FatmaUsf[[#This Row],[Bonus 3%]]</f>
        <v>6118.47</v>
      </c>
      <c r="V105" s="17" t="str">
        <f>IF(FatmaUsf[[#This Row],[Net Salary]]&gt;=6000,"Over","Normal")</f>
        <v>Over</v>
      </c>
      <c r="W105" s="57">
        <f>VLOOKUP(FatmaUsf[[#This Row],[Net Salary]],$Z$10:$AA$14,2)</f>
        <v>0.02</v>
      </c>
    </row>
    <row r="106" spans="1:23" ht="15.75" customHeight="1">
      <c r="A106" s="24">
        <v>1105</v>
      </c>
      <c r="B106" s="10" t="s">
        <v>102</v>
      </c>
      <c r="C106" s="10" t="s">
        <v>346</v>
      </c>
      <c r="D106" s="41" t="str">
        <f>PROPER(TRIM(FatmaUsf[[#This Row],[Last Name]]&amp;" "&amp;FatmaUsf[[#This Row],[Last Name]]))</f>
        <v>Zynu Zynu</v>
      </c>
      <c r="E106" s="10" t="s">
        <v>100</v>
      </c>
      <c r="F106" s="10" t="s">
        <v>663</v>
      </c>
      <c r="G106" s="10" t="s">
        <v>17</v>
      </c>
      <c r="H106" s="11" t="s">
        <v>8</v>
      </c>
      <c r="I106" s="11" t="s">
        <v>18</v>
      </c>
      <c r="J106" s="12" t="s">
        <v>10</v>
      </c>
      <c r="K106" s="10" t="s">
        <v>899</v>
      </c>
      <c r="L106" s="13">
        <v>20</v>
      </c>
      <c r="M106" s="14">
        <v>7</v>
      </c>
      <c r="N106" s="14">
        <v>2005</v>
      </c>
      <c r="O106" s="46">
        <f>DATE(FatmaUsf[[#This Row],[Hire Year]],FatmaUsf[[#This Row],[Hire Month]],FatmaUsf[[#This Row],[Hire Day]])</f>
        <v>38553</v>
      </c>
      <c r="P106" s="46">
        <f t="shared" ca="1" si="1"/>
        <v>46071</v>
      </c>
      <c r="Q106" s="14">
        <f ca="1">DATEDIF(FatmaUsf[[#This Row],[Hiring Date]],FatmaUsf[[#This Row],[current date]],"Y")</f>
        <v>20</v>
      </c>
      <c r="R106" s="15">
        <v>5373</v>
      </c>
      <c r="S106" s="53">
        <f>FatmaUsf[[#This Row],[Salary]]*0.1</f>
        <v>537.30000000000007</v>
      </c>
      <c r="T106" s="16">
        <f>FatmaUsf[[#This Row],[Salary]]*0.03</f>
        <v>161.19</v>
      </c>
      <c r="U106" s="48">
        <f>FatmaUsf[[#This Row],[Salary]]-FatmaUsf[[#This Row],[Tax 10%]]+FatmaUsf[[#This Row],[Bonus 3%]]</f>
        <v>4996.8899999999994</v>
      </c>
      <c r="V106" s="17" t="str">
        <f>IF(FatmaUsf[[#This Row],[Net Salary]]&gt;=6000,"Over","Normal")</f>
        <v>Normal</v>
      </c>
      <c r="W106" s="57">
        <f>VLOOKUP(FatmaUsf[[#This Row],[Net Salary]],$Z$10:$AA$14,2)</f>
        <v>0.05</v>
      </c>
    </row>
    <row r="107" spans="1:23" ht="15.75" customHeight="1">
      <c r="A107" s="24">
        <v>1106</v>
      </c>
      <c r="B107" s="10" t="s">
        <v>303</v>
      </c>
      <c r="C107" s="10" t="s">
        <v>347</v>
      </c>
      <c r="D107" s="41" t="str">
        <f>PROPER(TRIM(FatmaUsf[[#This Row],[Last Name]]&amp;" "&amp;FatmaUsf[[#This Row],[Last Name]]))</f>
        <v>Eijluni Eijluni</v>
      </c>
      <c r="E107" s="10" t="s">
        <v>99</v>
      </c>
      <c r="F107" s="10" t="s">
        <v>664</v>
      </c>
      <c r="G107" s="10" t="s">
        <v>13</v>
      </c>
      <c r="H107" s="11" t="s">
        <v>8</v>
      </c>
      <c r="I107" s="11" t="s">
        <v>15</v>
      </c>
      <c r="J107" s="12" t="s">
        <v>10</v>
      </c>
      <c r="K107" s="10" t="s">
        <v>900</v>
      </c>
      <c r="L107" s="13">
        <v>5</v>
      </c>
      <c r="M107" s="14">
        <v>6</v>
      </c>
      <c r="N107" s="14">
        <v>1991</v>
      </c>
      <c r="O107" s="46">
        <f>DATE(FatmaUsf[[#This Row],[Hire Year]],FatmaUsf[[#This Row],[Hire Month]],FatmaUsf[[#This Row],[Hire Day]])</f>
        <v>33394</v>
      </c>
      <c r="P107" s="46">
        <f t="shared" ca="1" si="1"/>
        <v>46071</v>
      </c>
      <c r="Q107" s="14">
        <f ca="1">DATEDIF(FatmaUsf[[#This Row],[Hiring Date]],FatmaUsf[[#This Row],[current date]],"Y")</f>
        <v>34</v>
      </c>
      <c r="R107" s="15">
        <v>1391</v>
      </c>
      <c r="S107" s="53">
        <f>FatmaUsf[[#This Row],[Salary]]*0.1</f>
        <v>139.1</v>
      </c>
      <c r="T107" s="16">
        <f>FatmaUsf[[#This Row],[Salary]]*0.03</f>
        <v>41.73</v>
      </c>
      <c r="U107" s="48">
        <f>FatmaUsf[[#This Row],[Salary]]-FatmaUsf[[#This Row],[Tax 10%]]+FatmaUsf[[#This Row],[Bonus 3%]]</f>
        <v>1293.6300000000001</v>
      </c>
      <c r="V107" s="17" t="str">
        <f>IF(FatmaUsf[[#This Row],[Net Salary]]&gt;=6000,"Over","Normal")</f>
        <v>Normal</v>
      </c>
      <c r="W107" s="57">
        <f>VLOOKUP(FatmaUsf[[#This Row],[Net Salary]],$Z$10:$AA$14,2)</f>
        <v>0.08</v>
      </c>
    </row>
    <row r="108" spans="1:23" ht="15.75" customHeight="1">
      <c r="A108" s="24">
        <v>1107</v>
      </c>
      <c r="B108" s="10" t="s">
        <v>30</v>
      </c>
      <c r="C108" s="10" t="s">
        <v>348</v>
      </c>
      <c r="D108" s="41" t="str">
        <f>PROPER(TRIM(FatmaUsf[[#This Row],[Last Name]]&amp;" "&amp;FatmaUsf[[#This Row],[Last Name]]))</f>
        <v>Marwan Marwan</v>
      </c>
      <c r="E108" s="10" t="s">
        <v>100</v>
      </c>
      <c r="F108" s="10" t="s">
        <v>665</v>
      </c>
      <c r="G108" s="10" t="s">
        <v>17</v>
      </c>
      <c r="H108" s="11" t="s">
        <v>11</v>
      </c>
      <c r="I108" s="11" t="s">
        <v>264</v>
      </c>
      <c r="J108" s="12" t="s">
        <v>23</v>
      </c>
      <c r="K108" s="10" t="s">
        <v>901</v>
      </c>
      <c r="L108" s="13">
        <v>4</v>
      </c>
      <c r="M108" s="14">
        <v>1</v>
      </c>
      <c r="N108" s="14">
        <v>1990</v>
      </c>
      <c r="O108" s="46">
        <f>DATE(FatmaUsf[[#This Row],[Hire Year]],FatmaUsf[[#This Row],[Hire Month]],FatmaUsf[[#This Row],[Hire Day]])</f>
        <v>32877</v>
      </c>
      <c r="P108" s="46">
        <f t="shared" ca="1" si="1"/>
        <v>46071</v>
      </c>
      <c r="Q108" s="14">
        <f ca="1">DATEDIF(FatmaUsf[[#This Row],[Hiring Date]],FatmaUsf[[#This Row],[current date]],"Y")</f>
        <v>36</v>
      </c>
      <c r="R108" s="15">
        <v>2528</v>
      </c>
      <c r="S108" s="53">
        <f>FatmaUsf[[#This Row],[Salary]]*0.1</f>
        <v>252.8</v>
      </c>
      <c r="T108" s="16">
        <f>FatmaUsf[[#This Row],[Salary]]*0.03</f>
        <v>75.84</v>
      </c>
      <c r="U108" s="48">
        <f>FatmaUsf[[#This Row],[Salary]]-FatmaUsf[[#This Row],[Tax 10%]]+FatmaUsf[[#This Row],[Bonus 3%]]</f>
        <v>2351.04</v>
      </c>
      <c r="V108" s="17" t="str">
        <f>IF(FatmaUsf[[#This Row],[Net Salary]]&gt;=6000,"Over","Normal")</f>
        <v>Normal</v>
      </c>
      <c r="W108" s="57">
        <f>VLOOKUP(FatmaUsf[[#This Row],[Net Salary]],$Z$10:$AA$14,2)</f>
        <v>0.08</v>
      </c>
    </row>
    <row r="109" spans="1:23" ht="15.75" customHeight="1">
      <c r="A109" s="24">
        <v>1108</v>
      </c>
      <c r="B109" s="10" t="s">
        <v>349</v>
      </c>
      <c r="C109" s="10" t="s">
        <v>350</v>
      </c>
      <c r="D109" s="41" t="str">
        <f>PROPER(TRIM(FatmaUsf[[#This Row],[Last Name]]&amp;" "&amp;FatmaUsf[[#This Row],[Last Name]]))</f>
        <v>Musur Musur</v>
      </c>
      <c r="E109" s="10" t="s">
        <v>99</v>
      </c>
      <c r="F109" s="10" t="s">
        <v>666</v>
      </c>
      <c r="G109" s="10" t="s">
        <v>17</v>
      </c>
      <c r="H109" s="11" t="s">
        <v>11</v>
      </c>
      <c r="I109" s="11" t="s">
        <v>29</v>
      </c>
      <c r="J109" s="12" t="s">
        <v>10</v>
      </c>
      <c r="K109" s="10" t="s">
        <v>902</v>
      </c>
      <c r="L109" s="13">
        <v>12</v>
      </c>
      <c r="M109" s="14">
        <v>8</v>
      </c>
      <c r="N109" s="14">
        <v>2021</v>
      </c>
      <c r="O109" s="46">
        <f>DATE(FatmaUsf[[#This Row],[Hire Year]],FatmaUsf[[#This Row],[Hire Month]],FatmaUsf[[#This Row],[Hire Day]])</f>
        <v>44420</v>
      </c>
      <c r="P109" s="46">
        <f t="shared" ca="1" si="1"/>
        <v>46071</v>
      </c>
      <c r="Q109" s="14">
        <f ca="1">DATEDIF(FatmaUsf[[#This Row],[Hiring Date]],FatmaUsf[[#This Row],[current date]],"Y")</f>
        <v>4</v>
      </c>
      <c r="R109" s="15">
        <v>6040</v>
      </c>
      <c r="S109" s="53">
        <f>FatmaUsf[[#This Row],[Salary]]*0.1</f>
        <v>604</v>
      </c>
      <c r="T109" s="16">
        <f>FatmaUsf[[#This Row],[Salary]]*0.03</f>
        <v>181.2</v>
      </c>
      <c r="U109" s="48">
        <f>FatmaUsf[[#This Row],[Salary]]-FatmaUsf[[#This Row],[Tax 10%]]+FatmaUsf[[#This Row],[Bonus 3%]]</f>
        <v>5617.2</v>
      </c>
      <c r="V109" s="17" t="str">
        <f>IF(FatmaUsf[[#This Row],[Net Salary]]&gt;=6000,"Over","Normal")</f>
        <v>Normal</v>
      </c>
      <c r="W109" s="57">
        <f>VLOOKUP(FatmaUsf[[#This Row],[Net Salary]],$Z$10:$AA$14,2)</f>
        <v>0.05</v>
      </c>
    </row>
    <row r="110" spans="1:23" ht="15.75" customHeight="1">
      <c r="A110" s="24">
        <v>1109</v>
      </c>
      <c r="B110" s="10" t="s">
        <v>30</v>
      </c>
      <c r="C110" s="10" t="s">
        <v>351</v>
      </c>
      <c r="D110" s="41" t="str">
        <f>PROPER(TRIM(FatmaUsf[[#This Row],[Last Name]]&amp;" "&amp;FatmaUsf[[#This Row],[Last Name]]))</f>
        <v>Alnuwri Alnuwri</v>
      </c>
      <c r="E110" s="10" t="s">
        <v>100</v>
      </c>
      <c r="F110" s="10" t="s">
        <v>667</v>
      </c>
      <c r="G110" s="10" t="s">
        <v>1100</v>
      </c>
      <c r="H110" s="11" t="s">
        <v>14</v>
      </c>
      <c r="I110" s="11" t="s">
        <v>18</v>
      </c>
      <c r="J110" s="12" t="s">
        <v>10</v>
      </c>
      <c r="K110" s="10" t="s">
        <v>903</v>
      </c>
      <c r="L110" s="13">
        <v>18</v>
      </c>
      <c r="M110" s="14">
        <v>11</v>
      </c>
      <c r="N110" s="14">
        <v>1994</v>
      </c>
      <c r="O110" s="46">
        <f>DATE(FatmaUsf[[#This Row],[Hire Year]],FatmaUsf[[#This Row],[Hire Month]],FatmaUsf[[#This Row],[Hire Day]])</f>
        <v>34656</v>
      </c>
      <c r="P110" s="46">
        <f t="shared" ca="1" si="1"/>
        <v>46071</v>
      </c>
      <c r="Q110" s="14">
        <f ca="1">DATEDIF(FatmaUsf[[#This Row],[Hiring Date]],FatmaUsf[[#This Row],[current date]],"Y")</f>
        <v>31</v>
      </c>
      <c r="R110" s="15">
        <v>3842</v>
      </c>
      <c r="S110" s="53">
        <f>FatmaUsf[[#This Row],[Salary]]*0.1</f>
        <v>384.20000000000005</v>
      </c>
      <c r="T110" s="16">
        <f>FatmaUsf[[#This Row],[Salary]]*0.03</f>
        <v>115.25999999999999</v>
      </c>
      <c r="U110" s="48">
        <f>FatmaUsf[[#This Row],[Salary]]-FatmaUsf[[#This Row],[Tax 10%]]+FatmaUsf[[#This Row],[Bonus 3%]]</f>
        <v>3573.0600000000004</v>
      </c>
      <c r="V110" s="17" t="str">
        <f>IF(FatmaUsf[[#This Row],[Net Salary]]&gt;=6000,"Over","Normal")</f>
        <v>Normal</v>
      </c>
      <c r="W110" s="57">
        <f>VLOOKUP(FatmaUsf[[#This Row],[Net Salary]],$Z$10:$AA$14,2)</f>
        <v>0.05</v>
      </c>
    </row>
    <row r="111" spans="1:23" ht="15.75" customHeight="1">
      <c r="A111" s="24">
        <v>1110</v>
      </c>
      <c r="B111" s="10" t="s">
        <v>102</v>
      </c>
      <c r="C111" s="10" t="s">
        <v>352</v>
      </c>
      <c r="D111" s="41" t="str">
        <f>PROPER(TRIM(FatmaUsf[[#This Row],[Last Name]]&amp;" "&amp;FatmaUsf[[#This Row],[Last Name]]))</f>
        <v>Shakir Shakir</v>
      </c>
      <c r="E111" s="10" t="s">
        <v>100</v>
      </c>
      <c r="F111" s="10" t="s">
        <v>668</v>
      </c>
      <c r="G111" s="10" t="s">
        <v>17</v>
      </c>
      <c r="H111" s="11" t="s">
        <v>8</v>
      </c>
      <c r="I111" s="11" t="s">
        <v>264</v>
      </c>
      <c r="J111" s="12" t="s">
        <v>23</v>
      </c>
      <c r="K111" s="10" t="s">
        <v>904</v>
      </c>
      <c r="L111" s="13">
        <v>24</v>
      </c>
      <c r="M111" s="14">
        <v>3</v>
      </c>
      <c r="N111" s="14">
        <v>1995</v>
      </c>
      <c r="O111" s="46">
        <f>DATE(FatmaUsf[[#This Row],[Hire Year]],FatmaUsf[[#This Row],[Hire Month]],FatmaUsf[[#This Row],[Hire Day]])</f>
        <v>34782</v>
      </c>
      <c r="P111" s="46">
        <f t="shared" ca="1" si="1"/>
        <v>46071</v>
      </c>
      <c r="Q111" s="14">
        <f ca="1">DATEDIF(FatmaUsf[[#This Row],[Hiring Date]],FatmaUsf[[#This Row],[current date]],"Y")</f>
        <v>30</v>
      </c>
      <c r="R111" s="15">
        <v>1542</v>
      </c>
      <c r="S111" s="53">
        <f>FatmaUsf[[#This Row],[Salary]]*0.1</f>
        <v>154.20000000000002</v>
      </c>
      <c r="T111" s="16">
        <f>FatmaUsf[[#This Row],[Salary]]*0.03</f>
        <v>46.26</v>
      </c>
      <c r="U111" s="48">
        <f>FatmaUsf[[#This Row],[Salary]]-FatmaUsf[[#This Row],[Tax 10%]]+FatmaUsf[[#This Row],[Bonus 3%]]</f>
        <v>1434.06</v>
      </c>
      <c r="V111" s="17" t="str">
        <f>IF(FatmaUsf[[#This Row],[Net Salary]]&gt;=6000,"Over","Normal")</f>
        <v>Normal</v>
      </c>
      <c r="W111" s="57">
        <f>VLOOKUP(FatmaUsf[[#This Row],[Net Salary]],$Z$10:$AA$14,2)</f>
        <v>0.08</v>
      </c>
    </row>
    <row r="112" spans="1:23" ht="15.75" customHeight="1">
      <c r="A112" s="24">
        <v>1111</v>
      </c>
      <c r="B112" s="10" t="s">
        <v>124</v>
      </c>
      <c r="C112" s="10" t="s">
        <v>353</v>
      </c>
      <c r="D112" s="41" t="str">
        <f>PROPER(TRIM(FatmaUsf[[#This Row],[Last Name]]&amp;" "&amp;FatmaUsf[[#This Row],[Last Name]]))</f>
        <v>Kharbutli Kharbutli</v>
      </c>
      <c r="E112" s="10" t="s">
        <v>100</v>
      </c>
      <c r="F112" s="10" t="s">
        <v>669</v>
      </c>
      <c r="G112" s="10" t="s">
        <v>17</v>
      </c>
      <c r="H112" s="11" t="s">
        <v>8</v>
      </c>
      <c r="I112" s="11" t="s">
        <v>9</v>
      </c>
      <c r="J112" s="12" t="s">
        <v>23</v>
      </c>
      <c r="K112" s="10" t="s">
        <v>905</v>
      </c>
      <c r="L112" s="13">
        <v>27</v>
      </c>
      <c r="M112" s="14">
        <v>10</v>
      </c>
      <c r="N112" s="14">
        <v>1995</v>
      </c>
      <c r="O112" s="46">
        <f>DATE(FatmaUsf[[#This Row],[Hire Year]],FatmaUsf[[#This Row],[Hire Month]],FatmaUsf[[#This Row],[Hire Day]])</f>
        <v>34999</v>
      </c>
      <c r="P112" s="46">
        <f t="shared" ca="1" si="1"/>
        <v>46071</v>
      </c>
      <c r="Q112" s="14">
        <f ca="1">DATEDIF(FatmaUsf[[#This Row],[Hiring Date]],FatmaUsf[[#This Row],[current date]],"Y")</f>
        <v>30</v>
      </c>
      <c r="R112" s="15">
        <v>3134</v>
      </c>
      <c r="S112" s="53">
        <f>FatmaUsf[[#This Row],[Salary]]*0.1</f>
        <v>313.40000000000003</v>
      </c>
      <c r="T112" s="16">
        <f>FatmaUsf[[#This Row],[Salary]]*0.03</f>
        <v>94.02</v>
      </c>
      <c r="U112" s="48">
        <f>FatmaUsf[[#This Row],[Salary]]-FatmaUsf[[#This Row],[Tax 10%]]+FatmaUsf[[#This Row],[Bonus 3%]]</f>
        <v>2914.62</v>
      </c>
      <c r="V112" s="17" t="str">
        <f>IF(FatmaUsf[[#This Row],[Net Salary]]&gt;=6000,"Over","Normal")</f>
        <v>Normal</v>
      </c>
      <c r="W112" s="57">
        <f>VLOOKUP(FatmaUsf[[#This Row],[Net Salary]],$Z$10:$AA$14,2)</f>
        <v>0.08</v>
      </c>
    </row>
    <row r="113" spans="1:23" ht="15.75" customHeight="1">
      <c r="A113" s="24">
        <v>1112</v>
      </c>
      <c r="B113" s="10" t="s">
        <v>354</v>
      </c>
      <c r="C113" s="10" t="s">
        <v>355</v>
      </c>
      <c r="D113" s="41" t="str">
        <f>PROPER(TRIM(FatmaUsf[[#This Row],[Last Name]]&amp;" "&amp;FatmaUsf[[#This Row],[Last Name]]))</f>
        <v>Jaridiun Jaridiun</v>
      </c>
      <c r="E113" s="10" t="s">
        <v>99</v>
      </c>
      <c r="F113" s="10" t="s">
        <v>670</v>
      </c>
      <c r="G113" s="10" t="s">
        <v>17</v>
      </c>
      <c r="H113" s="11" t="s">
        <v>11</v>
      </c>
      <c r="I113" s="11" t="s">
        <v>25</v>
      </c>
      <c r="J113" s="12" t="s">
        <v>10</v>
      </c>
      <c r="K113" s="10" t="s">
        <v>906</v>
      </c>
      <c r="L113" s="13">
        <v>9</v>
      </c>
      <c r="M113" s="14">
        <v>9</v>
      </c>
      <c r="N113" s="14">
        <v>2004</v>
      </c>
      <c r="O113" s="46">
        <f>DATE(FatmaUsf[[#This Row],[Hire Year]],FatmaUsf[[#This Row],[Hire Month]],FatmaUsf[[#This Row],[Hire Day]])</f>
        <v>38239</v>
      </c>
      <c r="P113" s="46">
        <f t="shared" ca="1" si="1"/>
        <v>46071</v>
      </c>
      <c r="Q113" s="14">
        <f ca="1">DATEDIF(FatmaUsf[[#This Row],[Hiring Date]],FatmaUsf[[#This Row],[current date]],"Y")</f>
        <v>21</v>
      </c>
      <c r="R113" s="15">
        <v>4921</v>
      </c>
      <c r="S113" s="53">
        <f>FatmaUsf[[#This Row],[Salary]]*0.1</f>
        <v>492.1</v>
      </c>
      <c r="T113" s="16">
        <f>FatmaUsf[[#This Row],[Salary]]*0.03</f>
        <v>147.63</v>
      </c>
      <c r="U113" s="48">
        <f>FatmaUsf[[#This Row],[Salary]]-FatmaUsf[[#This Row],[Tax 10%]]+FatmaUsf[[#This Row],[Bonus 3%]]</f>
        <v>4576.53</v>
      </c>
      <c r="V113" s="17" t="str">
        <f>IF(FatmaUsf[[#This Row],[Net Salary]]&gt;=6000,"Over","Normal")</f>
        <v>Normal</v>
      </c>
      <c r="W113" s="57">
        <f>VLOOKUP(FatmaUsf[[#This Row],[Net Salary]],$Z$10:$AA$14,2)</f>
        <v>0.05</v>
      </c>
    </row>
    <row r="114" spans="1:23" ht="15.75" customHeight="1">
      <c r="A114" s="24">
        <v>1113</v>
      </c>
      <c r="B114" s="10" t="s">
        <v>356</v>
      </c>
      <c r="C114" s="10" t="s">
        <v>357</v>
      </c>
      <c r="D114" s="41" t="str">
        <f>PROPER(TRIM(FatmaUsf[[#This Row],[Last Name]]&amp;" "&amp;FatmaUsf[[#This Row],[Last Name]]))</f>
        <v>Eimaruh Eimaruh</v>
      </c>
      <c r="E114" s="10" t="s">
        <v>100</v>
      </c>
      <c r="F114" s="10" t="s">
        <v>671</v>
      </c>
      <c r="G114" s="10" t="s">
        <v>17</v>
      </c>
      <c r="H114" s="11" t="s">
        <v>8</v>
      </c>
      <c r="I114" s="11" t="s">
        <v>264</v>
      </c>
      <c r="J114" s="12" t="s">
        <v>10</v>
      </c>
      <c r="K114" s="10" t="s">
        <v>907</v>
      </c>
      <c r="L114" s="13">
        <v>24</v>
      </c>
      <c r="M114" s="14">
        <v>2</v>
      </c>
      <c r="N114" s="14">
        <v>2001</v>
      </c>
      <c r="O114" s="46">
        <f>DATE(FatmaUsf[[#This Row],[Hire Year]],FatmaUsf[[#This Row],[Hire Month]],FatmaUsf[[#This Row],[Hire Day]])</f>
        <v>36946</v>
      </c>
      <c r="P114" s="46">
        <f t="shared" ca="1" si="1"/>
        <v>46071</v>
      </c>
      <c r="Q114" s="14">
        <f ca="1">DATEDIF(FatmaUsf[[#This Row],[Hiring Date]],FatmaUsf[[#This Row],[current date]],"Y")</f>
        <v>24</v>
      </c>
      <c r="R114" s="15">
        <v>1948</v>
      </c>
      <c r="S114" s="53">
        <f>FatmaUsf[[#This Row],[Salary]]*0.1</f>
        <v>194.8</v>
      </c>
      <c r="T114" s="16">
        <f>FatmaUsf[[#This Row],[Salary]]*0.03</f>
        <v>58.44</v>
      </c>
      <c r="U114" s="48">
        <f>FatmaUsf[[#This Row],[Salary]]-FatmaUsf[[#This Row],[Tax 10%]]+FatmaUsf[[#This Row],[Bonus 3%]]</f>
        <v>1811.64</v>
      </c>
      <c r="V114" s="17" t="str">
        <f>IF(FatmaUsf[[#This Row],[Net Salary]]&gt;=6000,"Over","Normal")</f>
        <v>Normal</v>
      </c>
      <c r="W114" s="57">
        <f>VLOOKUP(FatmaUsf[[#This Row],[Net Salary]],$Z$10:$AA$14,2)</f>
        <v>0.08</v>
      </c>
    </row>
    <row r="115" spans="1:23" ht="15.75" customHeight="1">
      <c r="A115" s="24">
        <v>1114</v>
      </c>
      <c r="B115" s="10" t="s">
        <v>358</v>
      </c>
      <c r="C115" s="10" t="s">
        <v>359</v>
      </c>
      <c r="D115" s="41" t="str">
        <f>PROPER(TRIM(FatmaUsf[[#This Row],[Last Name]]&amp;" "&amp;FatmaUsf[[#This Row],[Last Name]]))</f>
        <v>Marzuq Marzuq</v>
      </c>
      <c r="E115" s="10" t="s">
        <v>100</v>
      </c>
      <c r="F115" s="10" t="s">
        <v>672</v>
      </c>
      <c r="G115" s="10" t="s">
        <v>19</v>
      </c>
      <c r="H115" s="11" t="s">
        <v>11</v>
      </c>
      <c r="I115" s="11" t="s">
        <v>25</v>
      </c>
      <c r="J115" s="12" t="s">
        <v>10</v>
      </c>
      <c r="K115" s="10" t="s">
        <v>908</v>
      </c>
      <c r="L115" s="13">
        <v>20</v>
      </c>
      <c r="M115" s="14">
        <v>12</v>
      </c>
      <c r="N115" s="14">
        <v>2021</v>
      </c>
      <c r="O115" s="46">
        <f>DATE(FatmaUsf[[#This Row],[Hire Year]],FatmaUsf[[#This Row],[Hire Month]],FatmaUsf[[#This Row],[Hire Day]])</f>
        <v>44550</v>
      </c>
      <c r="P115" s="46">
        <f t="shared" ca="1" si="1"/>
        <v>46071</v>
      </c>
      <c r="Q115" s="14">
        <f ca="1">DATEDIF(FatmaUsf[[#This Row],[Hiring Date]],FatmaUsf[[#This Row],[current date]],"Y")</f>
        <v>4</v>
      </c>
      <c r="R115" s="15">
        <v>3294</v>
      </c>
      <c r="S115" s="53">
        <f>FatmaUsf[[#This Row],[Salary]]*0.1</f>
        <v>329.40000000000003</v>
      </c>
      <c r="T115" s="16">
        <f>FatmaUsf[[#This Row],[Salary]]*0.03</f>
        <v>98.82</v>
      </c>
      <c r="U115" s="48">
        <f>FatmaUsf[[#This Row],[Salary]]-FatmaUsf[[#This Row],[Tax 10%]]+FatmaUsf[[#This Row],[Bonus 3%]]</f>
        <v>3063.42</v>
      </c>
      <c r="V115" s="17" t="str">
        <f>IF(FatmaUsf[[#This Row],[Net Salary]]&gt;=6000,"Over","Normal")</f>
        <v>Normal</v>
      </c>
      <c r="W115" s="57">
        <f>VLOOKUP(FatmaUsf[[#This Row],[Net Salary]],$Z$10:$AA$14,2)</f>
        <v>0.05</v>
      </c>
    </row>
    <row r="116" spans="1:23" ht="15.75" customHeight="1">
      <c r="A116" s="24">
        <v>1115</v>
      </c>
      <c r="B116" s="10" t="s">
        <v>330</v>
      </c>
      <c r="C116" s="10" t="s">
        <v>360</v>
      </c>
      <c r="D116" s="41" t="str">
        <f>PROPER(TRIM(FatmaUsf[[#This Row],[Last Name]]&amp;" "&amp;FatmaUsf[[#This Row],[Last Name]]))</f>
        <v>Hamj Hamj</v>
      </c>
      <c r="E116" s="10" t="s">
        <v>100</v>
      </c>
      <c r="F116" s="10" t="s">
        <v>673</v>
      </c>
      <c r="G116" s="10" t="s">
        <v>1100</v>
      </c>
      <c r="H116" s="11" t="s">
        <v>14</v>
      </c>
      <c r="I116" s="11" t="s">
        <v>264</v>
      </c>
      <c r="J116" s="12" t="s">
        <v>20</v>
      </c>
      <c r="K116" s="10" t="s">
        <v>909</v>
      </c>
      <c r="L116" s="13">
        <v>14</v>
      </c>
      <c r="M116" s="14">
        <v>8</v>
      </c>
      <c r="N116" s="14">
        <v>1994</v>
      </c>
      <c r="O116" s="46">
        <f>DATE(FatmaUsf[[#This Row],[Hire Year]],FatmaUsf[[#This Row],[Hire Month]],FatmaUsf[[#This Row],[Hire Day]])</f>
        <v>34560</v>
      </c>
      <c r="P116" s="46">
        <f t="shared" ca="1" si="1"/>
        <v>46071</v>
      </c>
      <c r="Q116" s="14">
        <f ca="1">DATEDIF(FatmaUsf[[#This Row],[Hiring Date]],FatmaUsf[[#This Row],[current date]],"Y")</f>
        <v>31</v>
      </c>
      <c r="R116" s="15">
        <v>7123</v>
      </c>
      <c r="S116" s="53">
        <f>FatmaUsf[[#This Row],[Salary]]*0.1</f>
        <v>712.30000000000007</v>
      </c>
      <c r="T116" s="16">
        <f>FatmaUsf[[#This Row],[Salary]]*0.03</f>
        <v>213.69</v>
      </c>
      <c r="U116" s="48">
        <f>FatmaUsf[[#This Row],[Salary]]-FatmaUsf[[#This Row],[Tax 10%]]+FatmaUsf[[#This Row],[Bonus 3%]]</f>
        <v>6624.3899999999994</v>
      </c>
      <c r="V116" s="17" t="str">
        <f>IF(FatmaUsf[[#This Row],[Net Salary]]&gt;=6000,"Over","Normal")</f>
        <v>Over</v>
      </c>
      <c r="W116" s="57">
        <f>VLOOKUP(FatmaUsf[[#This Row],[Net Salary]],$Z$10:$AA$14,2)</f>
        <v>0.02</v>
      </c>
    </row>
    <row r="117" spans="1:23" ht="15.75" customHeight="1">
      <c r="A117" s="24">
        <v>1116</v>
      </c>
      <c r="B117" s="10" t="s">
        <v>102</v>
      </c>
      <c r="C117" s="10" t="s">
        <v>361</v>
      </c>
      <c r="D117" s="41" t="str">
        <f>PROPER(TRIM(FatmaUsf[[#This Row],[Last Name]]&amp;" "&amp;FatmaUsf[[#This Row],[Last Name]]))</f>
        <v>Bradey Bradey</v>
      </c>
      <c r="E117" s="10" t="s">
        <v>100</v>
      </c>
      <c r="F117" s="10" t="s">
        <v>674</v>
      </c>
      <c r="G117" s="10" t="s">
        <v>13</v>
      </c>
      <c r="H117" s="11" t="s">
        <v>8</v>
      </c>
      <c r="I117" s="11" t="s">
        <v>25</v>
      </c>
      <c r="J117" s="12" t="s">
        <v>10</v>
      </c>
      <c r="K117" s="10" t="s">
        <v>910</v>
      </c>
      <c r="L117" s="13">
        <v>10</v>
      </c>
      <c r="M117" s="14">
        <v>12</v>
      </c>
      <c r="N117" s="14">
        <v>1990</v>
      </c>
      <c r="O117" s="46">
        <f>DATE(FatmaUsf[[#This Row],[Hire Year]],FatmaUsf[[#This Row],[Hire Month]],FatmaUsf[[#This Row],[Hire Day]])</f>
        <v>33217</v>
      </c>
      <c r="P117" s="46">
        <f t="shared" ca="1" si="1"/>
        <v>46071</v>
      </c>
      <c r="Q117" s="14">
        <f ca="1">DATEDIF(FatmaUsf[[#This Row],[Hiring Date]],FatmaUsf[[#This Row],[current date]],"Y")</f>
        <v>35</v>
      </c>
      <c r="R117" s="15">
        <v>7236</v>
      </c>
      <c r="S117" s="53">
        <f>FatmaUsf[[#This Row],[Salary]]*0.1</f>
        <v>723.6</v>
      </c>
      <c r="T117" s="16">
        <f>FatmaUsf[[#This Row],[Salary]]*0.03</f>
        <v>217.07999999999998</v>
      </c>
      <c r="U117" s="48">
        <f>FatmaUsf[[#This Row],[Salary]]-FatmaUsf[[#This Row],[Tax 10%]]+FatmaUsf[[#This Row],[Bonus 3%]]</f>
        <v>6729.48</v>
      </c>
      <c r="V117" s="17" t="str">
        <f>IF(FatmaUsf[[#This Row],[Net Salary]]&gt;=6000,"Over","Normal")</f>
        <v>Over</v>
      </c>
      <c r="W117" s="57">
        <f>VLOOKUP(FatmaUsf[[#This Row],[Net Salary]],$Z$10:$AA$14,2)</f>
        <v>0.02</v>
      </c>
    </row>
    <row r="118" spans="1:23" ht="15.75" customHeight="1">
      <c r="A118" s="24">
        <v>1117</v>
      </c>
      <c r="B118" s="10" t="s">
        <v>362</v>
      </c>
      <c r="C118" s="10" t="s">
        <v>363</v>
      </c>
      <c r="D118" s="41" t="str">
        <f>PROPER(TRIM(FatmaUsf[[#This Row],[Last Name]]&amp;" "&amp;FatmaUsf[[#This Row],[Last Name]]))</f>
        <v>Eubdallah Eubdallah</v>
      </c>
      <c r="E118" s="10" t="s">
        <v>100</v>
      </c>
      <c r="F118" s="10" t="s">
        <v>675</v>
      </c>
      <c r="G118" s="10" t="s">
        <v>1100</v>
      </c>
      <c r="H118" s="11" t="s">
        <v>8</v>
      </c>
      <c r="I118" s="11" t="s">
        <v>25</v>
      </c>
      <c r="J118" s="12" t="s">
        <v>10</v>
      </c>
      <c r="K118" s="10" t="s">
        <v>911</v>
      </c>
      <c r="L118" s="13">
        <v>9</v>
      </c>
      <c r="M118" s="14">
        <v>11</v>
      </c>
      <c r="N118" s="14">
        <v>2010</v>
      </c>
      <c r="O118" s="46">
        <f>DATE(FatmaUsf[[#This Row],[Hire Year]],FatmaUsf[[#This Row],[Hire Month]],FatmaUsf[[#This Row],[Hire Day]])</f>
        <v>40491</v>
      </c>
      <c r="P118" s="46">
        <f t="shared" ca="1" si="1"/>
        <v>46071</v>
      </c>
      <c r="Q118" s="14">
        <f ca="1">DATEDIF(FatmaUsf[[#This Row],[Hiring Date]],FatmaUsf[[#This Row],[current date]],"Y")</f>
        <v>15</v>
      </c>
      <c r="R118" s="15">
        <v>6843</v>
      </c>
      <c r="S118" s="53">
        <f>FatmaUsf[[#This Row],[Salary]]*0.1</f>
        <v>684.30000000000007</v>
      </c>
      <c r="T118" s="16">
        <f>FatmaUsf[[#This Row],[Salary]]*0.03</f>
        <v>205.29</v>
      </c>
      <c r="U118" s="48">
        <f>FatmaUsf[[#This Row],[Salary]]-FatmaUsf[[#This Row],[Tax 10%]]+FatmaUsf[[#This Row],[Bonus 3%]]</f>
        <v>6363.99</v>
      </c>
      <c r="V118" s="17" t="str">
        <f>IF(FatmaUsf[[#This Row],[Net Salary]]&gt;=6000,"Over","Normal")</f>
        <v>Over</v>
      </c>
      <c r="W118" s="57">
        <f>VLOOKUP(FatmaUsf[[#This Row],[Net Salary]],$Z$10:$AA$14,2)</f>
        <v>0.02</v>
      </c>
    </row>
    <row r="119" spans="1:23" ht="15.75" customHeight="1">
      <c r="A119" s="24">
        <v>1118</v>
      </c>
      <c r="B119" s="10" t="s">
        <v>102</v>
      </c>
      <c r="C119" s="10" t="s">
        <v>364</v>
      </c>
      <c r="D119" s="41" t="str">
        <f>PROPER(TRIM(FatmaUsf[[#This Row],[Last Name]]&amp;" "&amp;FatmaUsf[[#This Row],[Last Name]]))</f>
        <v>Alnajar Alnajar</v>
      </c>
      <c r="E119" s="10" t="s">
        <v>100</v>
      </c>
      <c r="F119" s="10" t="s">
        <v>676</v>
      </c>
      <c r="G119" s="10" t="s">
        <v>1100</v>
      </c>
      <c r="H119" s="11" t="s">
        <v>8</v>
      </c>
      <c r="I119" s="11" t="s">
        <v>25</v>
      </c>
      <c r="J119" s="12" t="s">
        <v>10</v>
      </c>
      <c r="K119" s="10" t="s">
        <v>912</v>
      </c>
      <c r="L119" s="13">
        <v>18</v>
      </c>
      <c r="M119" s="14">
        <v>10</v>
      </c>
      <c r="N119" s="14">
        <v>2014</v>
      </c>
      <c r="O119" s="46">
        <f>DATE(FatmaUsf[[#This Row],[Hire Year]],FatmaUsf[[#This Row],[Hire Month]],FatmaUsf[[#This Row],[Hire Day]])</f>
        <v>41930</v>
      </c>
      <c r="P119" s="46">
        <f t="shared" ca="1" si="1"/>
        <v>46071</v>
      </c>
      <c r="Q119" s="14">
        <f ca="1">DATEDIF(FatmaUsf[[#This Row],[Hiring Date]],FatmaUsf[[#This Row],[current date]],"Y")</f>
        <v>11</v>
      </c>
      <c r="R119" s="15">
        <v>1070</v>
      </c>
      <c r="S119" s="53">
        <f>FatmaUsf[[#This Row],[Salary]]*0.1</f>
        <v>107</v>
      </c>
      <c r="T119" s="16">
        <f>FatmaUsf[[#This Row],[Salary]]*0.03</f>
        <v>32.1</v>
      </c>
      <c r="U119" s="48">
        <f>FatmaUsf[[#This Row],[Salary]]-FatmaUsf[[#This Row],[Tax 10%]]+FatmaUsf[[#This Row],[Bonus 3%]]</f>
        <v>995.1</v>
      </c>
      <c r="V119" s="17" t="str">
        <f>IF(FatmaUsf[[#This Row],[Net Salary]]&gt;=6000,"Over","Normal")</f>
        <v>Normal</v>
      </c>
      <c r="W119" s="57">
        <f>VLOOKUP(FatmaUsf[[#This Row],[Net Salary]],$Z$10:$AA$14,2)</f>
        <v>0.1</v>
      </c>
    </row>
    <row r="120" spans="1:23" ht="15.75" customHeight="1">
      <c r="A120" s="24">
        <v>1119</v>
      </c>
      <c r="B120" s="10" t="s">
        <v>365</v>
      </c>
      <c r="C120" s="10" t="s">
        <v>366</v>
      </c>
      <c r="D120" s="41" t="str">
        <f>PROPER(TRIM(FatmaUsf[[#This Row],[Last Name]]&amp;" "&amp;FatmaUsf[[#This Row],[Last Name]]))</f>
        <v>Hutayniun Hutayniun</v>
      </c>
      <c r="E120" s="10" t="s">
        <v>100</v>
      </c>
      <c r="F120" s="10" t="s">
        <v>677</v>
      </c>
      <c r="G120" s="10" t="s">
        <v>13</v>
      </c>
      <c r="H120" s="11" t="s">
        <v>8</v>
      </c>
      <c r="I120" s="11" t="s">
        <v>25</v>
      </c>
      <c r="J120" s="12" t="s">
        <v>10</v>
      </c>
      <c r="K120" s="10" t="s">
        <v>913</v>
      </c>
      <c r="L120" s="13">
        <v>22</v>
      </c>
      <c r="M120" s="14">
        <v>11</v>
      </c>
      <c r="N120" s="14">
        <v>1995</v>
      </c>
      <c r="O120" s="46">
        <f>DATE(FatmaUsf[[#This Row],[Hire Year]],FatmaUsf[[#This Row],[Hire Month]],FatmaUsf[[#This Row],[Hire Day]])</f>
        <v>35025</v>
      </c>
      <c r="P120" s="46">
        <f t="shared" ca="1" si="1"/>
        <v>46071</v>
      </c>
      <c r="Q120" s="14">
        <f ca="1">DATEDIF(FatmaUsf[[#This Row],[Hiring Date]],FatmaUsf[[#This Row],[current date]],"Y")</f>
        <v>30</v>
      </c>
      <c r="R120" s="15">
        <v>1493</v>
      </c>
      <c r="S120" s="53">
        <f>FatmaUsf[[#This Row],[Salary]]*0.1</f>
        <v>149.30000000000001</v>
      </c>
      <c r="T120" s="16">
        <f>FatmaUsf[[#This Row],[Salary]]*0.03</f>
        <v>44.79</v>
      </c>
      <c r="U120" s="48">
        <f>FatmaUsf[[#This Row],[Salary]]-FatmaUsf[[#This Row],[Tax 10%]]+FatmaUsf[[#This Row],[Bonus 3%]]</f>
        <v>1388.49</v>
      </c>
      <c r="V120" s="17" t="str">
        <f>IF(FatmaUsf[[#This Row],[Net Salary]]&gt;=6000,"Over","Normal")</f>
        <v>Normal</v>
      </c>
      <c r="W120" s="57">
        <f>VLOOKUP(FatmaUsf[[#This Row],[Net Salary]],$Z$10:$AA$14,2)</f>
        <v>0.08</v>
      </c>
    </row>
    <row r="121" spans="1:23" ht="15.75" customHeight="1">
      <c r="A121" s="24">
        <v>1120</v>
      </c>
      <c r="B121" s="10" t="s">
        <v>367</v>
      </c>
      <c r="C121" s="10" t="s">
        <v>368</v>
      </c>
      <c r="D121" s="41" t="str">
        <f>PROPER(TRIM(FatmaUsf[[#This Row],[Last Name]]&amp;" "&amp;FatmaUsf[[#This Row],[Last Name]]))</f>
        <v>Siriul Siriul</v>
      </c>
      <c r="E121" s="10" t="s">
        <v>100</v>
      </c>
      <c r="F121" s="10" t="s">
        <v>678</v>
      </c>
      <c r="G121" s="10" t="s">
        <v>19</v>
      </c>
      <c r="H121" s="11" t="s">
        <v>11</v>
      </c>
      <c r="I121" s="11" t="s">
        <v>25</v>
      </c>
      <c r="J121" s="12" t="s">
        <v>10</v>
      </c>
      <c r="K121" s="10" t="s">
        <v>914</v>
      </c>
      <c r="L121" s="13">
        <v>17</v>
      </c>
      <c r="M121" s="14">
        <v>12</v>
      </c>
      <c r="N121" s="14">
        <v>1995</v>
      </c>
      <c r="O121" s="46">
        <f>DATE(FatmaUsf[[#This Row],[Hire Year]],FatmaUsf[[#This Row],[Hire Month]],FatmaUsf[[#This Row],[Hire Day]])</f>
        <v>35050</v>
      </c>
      <c r="P121" s="46">
        <f t="shared" ca="1" si="1"/>
        <v>46071</v>
      </c>
      <c r="Q121" s="14">
        <f ca="1">DATEDIF(FatmaUsf[[#This Row],[Hiring Date]],FatmaUsf[[#This Row],[current date]],"Y")</f>
        <v>30</v>
      </c>
      <c r="R121" s="15">
        <v>5857</v>
      </c>
      <c r="S121" s="53">
        <f>FatmaUsf[[#This Row],[Salary]]*0.1</f>
        <v>585.70000000000005</v>
      </c>
      <c r="T121" s="16">
        <f>FatmaUsf[[#This Row],[Salary]]*0.03</f>
        <v>175.70999999999998</v>
      </c>
      <c r="U121" s="48">
        <f>FatmaUsf[[#This Row],[Salary]]-FatmaUsf[[#This Row],[Tax 10%]]+FatmaUsf[[#This Row],[Bonus 3%]]</f>
        <v>5447.01</v>
      </c>
      <c r="V121" s="17" t="str">
        <f>IF(FatmaUsf[[#This Row],[Net Salary]]&gt;=6000,"Over","Normal")</f>
        <v>Normal</v>
      </c>
      <c r="W121" s="57">
        <f>VLOOKUP(FatmaUsf[[#This Row],[Net Salary]],$Z$10:$AA$14,2)</f>
        <v>0.05</v>
      </c>
    </row>
    <row r="122" spans="1:23" ht="15.75" customHeight="1">
      <c r="A122" s="24">
        <v>1121</v>
      </c>
      <c r="B122" s="10" t="s">
        <v>369</v>
      </c>
      <c r="C122" s="10" t="s">
        <v>370</v>
      </c>
      <c r="D122" s="41" t="str">
        <f>PROPER(TRIM(FatmaUsf[[#This Row],[Last Name]]&amp;" "&amp;FatmaUsf[[#This Row],[Last Name]]))</f>
        <v>Mareiun Mareiun</v>
      </c>
      <c r="E122" s="10" t="s">
        <v>100</v>
      </c>
      <c r="F122" s="10" t="s">
        <v>679</v>
      </c>
      <c r="G122" s="10" t="s">
        <v>19</v>
      </c>
      <c r="H122" s="11" t="s">
        <v>14</v>
      </c>
      <c r="I122" s="11" t="s">
        <v>264</v>
      </c>
      <c r="J122" s="12" t="s">
        <v>10</v>
      </c>
      <c r="K122" s="10" t="s">
        <v>915</v>
      </c>
      <c r="L122" s="13">
        <v>26</v>
      </c>
      <c r="M122" s="14">
        <v>1</v>
      </c>
      <c r="N122" s="14">
        <v>1991</v>
      </c>
      <c r="O122" s="46">
        <f>DATE(FatmaUsf[[#This Row],[Hire Year]],FatmaUsf[[#This Row],[Hire Month]],FatmaUsf[[#This Row],[Hire Day]])</f>
        <v>33264</v>
      </c>
      <c r="P122" s="46">
        <f t="shared" ca="1" si="1"/>
        <v>46071</v>
      </c>
      <c r="Q122" s="14">
        <f ca="1">DATEDIF(FatmaUsf[[#This Row],[Hiring Date]],FatmaUsf[[#This Row],[current date]],"Y")</f>
        <v>35</v>
      </c>
      <c r="R122" s="15">
        <v>5278</v>
      </c>
      <c r="S122" s="53">
        <f>FatmaUsf[[#This Row],[Salary]]*0.1</f>
        <v>527.80000000000007</v>
      </c>
      <c r="T122" s="16">
        <f>FatmaUsf[[#This Row],[Salary]]*0.03</f>
        <v>158.34</v>
      </c>
      <c r="U122" s="48">
        <f>FatmaUsf[[#This Row],[Salary]]-FatmaUsf[[#This Row],[Tax 10%]]+FatmaUsf[[#This Row],[Bonus 3%]]</f>
        <v>4908.54</v>
      </c>
      <c r="V122" s="17" t="str">
        <f>IF(FatmaUsf[[#This Row],[Net Salary]]&gt;=6000,"Over","Normal")</f>
        <v>Normal</v>
      </c>
      <c r="W122" s="57">
        <f>VLOOKUP(FatmaUsf[[#This Row],[Net Salary]],$Z$10:$AA$14,2)</f>
        <v>0.05</v>
      </c>
    </row>
    <row r="123" spans="1:23" ht="15.75" customHeight="1">
      <c r="A123" s="24">
        <v>1122</v>
      </c>
      <c r="B123" s="10" t="s">
        <v>371</v>
      </c>
      <c r="C123" s="10" t="s">
        <v>372</v>
      </c>
      <c r="D123" s="41" t="str">
        <f>PROPER(TRIM(FatmaUsf[[#This Row],[Last Name]]&amp;" "&amp;FatmaUsf[[#This Row],[Last Name]]))</f>
        <v>Alhulwanii Alhulwanii</v>
      </c>
      <c r="E123" s="10" t="s">
        <v>100</v>
      </c>
      <c r="F123" s="10" t="s">
        <v>680</v>
      </c>
      <c r="G123" s="10" t="s">
        <v>1100</v>
      </c>
      <c r="H123" s="11" t="s">
        <v>8</v>
      </c>
      <c r="I123" s="11" t="s">
        <v>26</v>
      </c>
      <c r="J123" s="12" t="s">
        <v>23</v>
      </c>
      <c r="K123" s="10" t="s">
        <v>916</v>
      </c>
      <c r="L123" s="13">
        <v>24</v>
      </c>
      <c r="M123" s="14">
        <v>9</v>
      </c>
      <c r="N123" s="14">
        <v>2020</v>
      </c>
      <c r="O123" s="46">
        <f>DATE(FatmaUsf[[#This Row],[Hire Year]],FatmaUsf[[#This Row],[Hire Month]],FatmaUsf[[#This Row],[Hire Day]])</f>
        <v>44098</v>
      </c>
      <c r="P123" s="46">
        <f t="shared" ca="1" si="1"/>
        <v>46071</v>
      </c>
      <c r="Q123" s="14">
        <f ca="1">DATEDIF(FatmaUsf[[#This Row],[Hiring Date]],FatmaUsf[[#This Row],[current date]],"Y")</f>
        <v>5</v>
      </c>
      <c r="R123" s="15">
        <v>5710</v>
      </c>
      <c r="S123" s="53">
        <f>FatmaUsf[[#This Row],[Salary]]*0.1</f>
        <v>571</v>
      </c>
      <c r="T123" s="16">
        <f>FatmaUsf[[#This Row],[Salary]]*0.03</f>
        <v>171.29999999999998</v>
      </c>
      <c r="U123" s="48">
        <f>FatmaUsf[[#This Row],[Salary]]-FatmaUsf[[#This Row],[Tax 10%]]+FatmaUsf[[#This Row],[Bonus 3%]]</f>
        <v>5310.3</v>
      </c>
      <c r="V123" s="17" t="str">
        <f>IF(FatmaUsf[[#This Row],[Net Salary]]&gt;=6000,"Over","Normal")</f>
        <v>Normal</v>
      </c>
      <c r="W123" s="57">
        <f>VLOOKUP(FatmaUsf[[#This Row],[Net Salary]],$Z$10:$AA$14,2)</f>
        <v>0.05</v>
      </c>
    </row>
    <row r="124" spans="1:23" ht="15.75" customHeight="1">
      <c r="A124" s="24">
        <v>1123</v>
      </c>
      <c r="B124" s="10" t="s">
        <v>313</v>
      </c>
      <c r="C124" s="10" t="s">
        <v>373</v>
      </c>
      <c r="D124" s="41" t="str">
        <f>PROPER(TRIM(FatmaUsf[[#This Row],[Last Name]]&amp;" "&amp;FatmaUsf[[#This Row],[Last Name]]))</f>
        <v>Alhasan Alhasan</v>
      </c>
      <c r="E124" s="10" t="s">
        <v>99</v>
      </c>
      <c r="F124" s="10" t="s">
        <v>681</v>
      </c>
      <c r="G124" s="10" t="s">
        <v>13</v>
      </c>
      <c r="H124" s="11" t="s">
        <v>8</v>
      </c>
      <c r="I124" s="11" t="s">
        <v>15</v>
      </c>
      <c r="J124" s="12" t="s">
        <v>23</v>
      </c>
      <c r="K124" s="10" t="s">
        <v>917</v>
      </c>
      <c r="L124" s="13">
        <v>26</v>
      </c>
      <c r="M124" s="14">
        <v>4</v>
      </c>
      <c r="N124" s="14">
        <v>2018</v>
      </c>
      <c r="O124" s="46">
        <f>DATE(FatmaUsf[[#This Row],[Hire Year]],FatmaUsf[[#This Row],[Hire Month]],FatmaUsf[[#This Row],[Hire Day]])</f>
        <v>43216</v>
      </c>
      <c r="P124" s="46">
        <f t="shared" ca="1" si="1"/>
        <v>46071</v>
      </c>
      <c r="Q124" s="14">
        <f ca="1">DATEDIF(FatmaUsf[[#This Row],[Hiring Date]],FatmaUsf[[#This Row],[current date]],"Y")</f>
        <v>7</v>
      </c>
      <c r="R124" s="15">
        <v>6145</v>
      </c>
      <c r="S124" s="53">
        <f>FatmaUsf[[#This Row],[Salary]]*0.1</f>
        <v>614.5</v>
      </c>
      <c r="T124" s="16">
        <f>FatmaUsf[[#This Row],[Salary]]*0.03</f>
        <v>184.35</v>
      </c>
      <c r="U124" s="48">
        <f>FatmaUsf[[#This Row],[Salary]]-FatmaUsf[[#This Row],[Tax 10%]]+FatmaUsf[[#This Row],[Bonus 3%]]</f>
        <v>5714.85</v>
      </c>
      <c r="V124" s="17" t="str">
        <f>IF(FatmaUsf[[#This Row],[Net Salary]]&gt;=6000,"Over","Normal")</f>
        <v>Normal</v>
      </c>
      <c r="W124" s="57">
        <f>VLOOKUP(FatmaUsf[[#This Row],[Net Salary]],$Z$10:$AA$14,2)</f>
        <v>0.05</v>
      </c>
    </row>
    <row r="125" spans="1:23" ht="15.75" customHeight="1">
      <c r="A125" s="24">
        <v>1124</v>
      </c>
      <c r="B125" s="10" t="s">
        <v>374</v>
      </c>
      <c r="C125" s="10" t="s">
        <v>375</v>
      </c>
      <c r="D125" s="41" t="str">
        <f>PROPER(TRIM(FatmaUsf[[#This Row],[Last Name]]&amp;" "&amp;FatmaUsf[[#This Row],[Last Name]]))</f>
        <v>Zakariaa Zakariaa</v>
      </c>
      <c r="E125" s="10" t="s">
        <v>100</v>
      </c>
      <c r="F125" s="10" t="s">
        <v>682</v>
      </c>
      <c r="G125" s="10" t="s">
        <v>17</v>
      </c>
      <c r="H125" s="11" t="s">
        <v>11</v>
      </c>
      <c r="I125" s="11" t="s">
        <v>26</v>
      </c>
      <c r="J125" s="12" t="s">
        <v>10</v>
      </c>
      <c r="K125" s="10" t="s">
        <v>918</v>
      </c>
      <c r="L125" s="13">
        <v>10</v>
      </c>
      <c r="M125" s="14">
        <v>11</v>
      </c>
      <c r="N125" s="14">
        <v>2019</v>
      </c>
      <c r="O125" s="46">
        <f>DATE(FatmaUsf[[#This Row],[Hire Year]],FatmaUsf[[#This Row],[Hire Month]],FatmaUsf[[#This Row],[Hire Day]])</f>
        <v>43779</v>
      </c>
      <c r="P125" s="46">
        <f t="shared" ca="1" si="1"/>
        <v>46071</v>
      </c>
      <c r="Q125" s="14">
        <f ca="1">DATEDIF(FatmaUsf[[#This Row],[Hiring Date]],FatmaUsf[[#This Row],[current date]],"Y")</f>
        <v>6</v>
      </c>
      <c r="R125" s="15">
        <v>5278</v>
      </c>
      <c r="S125" s="53">
        <f>FatmaUsf[[#This Row],[Salary]]*0.1</f>
        <v>527.80000000000007</v>
      </c>
      <c r="T125" s="16">
        <f>FatmaUsf[[#This Row],[Salary]]*0.03</f>
        <v>158.34</v>
      </c>
      <c r="U125" s="48">
        <f>FatmaUsf[[#This Row],[Salary]]-FatmaUsf[[#This Row],[Tax 10%]]+FatmaUsf[[#This Row],[Bonus 3%]]</f>
        <v>4908.54</v>
      </c>
      <c r="V125" s="17" t="str">
        <f>IF(FatmaUsf[[#This Row],[Net Salary]]&gt;=6000,"Over","Normal")</f>
        <v>Normal</v>
      </c>
      <c r="W125" s="57">
        <f>VLOOKUP(FatmaUsf[[#This Row],[Net Salary]],$Z$10:$AA$14,2)</f>
        <v>0.05</v>
      </c>
    </row>
    <row r="126" spans="1:23" ht="15.75" customHeight="1">
      <c r="A126" s="24">
        <v>1125</v>
      </c>
      <c r="B126" s="10" t="s">
        <v>128</v>
      </c>
      <c r="C126" s="10" t="s">
        <v>376</v>
      </c>
      <c r="D126" s="41" t="str">
        <f>PROPER(TRIM(FatmaUsf[[#This Row],[Last Name]]&amp;" "&amp;FatmaUsf[[#This Row],[Last Name]]))</f>
        <v>Aywbi Aywbi</v>
      </c>
      <c r="E126" s="10" t="s">
        <v>100</v>
      </c>
      <c r="F126" s="10" t="s">
        <v>683</v>
      </c>
      <c r="G126" s="10" t="s">
        <v>1100</v>
      </c>
      <c r="H126" s="11" t="s">
        <v>8</v>
      </c>
      <c r="I126" s="11" t="s">
        <v>9</v>
      </c>
      <c r="J126" s="12" t="s">
        <v>10</v>
      </c>
      <c r="K126" s="10" t="s">
        <v>919</v>
      </c>
      <c r="L126" s="13">
        <v>2</v>
      </c>
      <c r="M126" s="14">
        <v>5</v>
      </c>
      <c r="N126" s="14">
        <v>2002</v>
      </c>
      <c r="O126" s="46">
        <f>DATE(FatmaUsf[[#This Row],[Hire Year]],FatmaUsf[[#This Row],[Hire Month]],FatmaUsf[[#This Row],[Hire Day]])</f>
        <v>37378</v>
      </c>
      <c r="P126" s="46">
        <f t="shared" ca="1" si="1"/>
        <v>46071</v>
      </c>
      <c r="Q126" s="14">
        <f ca="1">DATEDIF(FatmaUsf[[#This Row],[Hiring Date]],FatmaUsf[[#This Row],[current date]],"Y")</f>
        <v>23</v>
      </c>
      <c r="R126" s="15">
        <v>6548</v>
      </c>
      <c r="S126" s="53">
        <f>FatmaUsf[[#This Row],[Salary]]*0.1</f>
        <v>654.80000000000007</v>
      </c>
      <c r="T126" s="16">
        <f>FatmaUsf[[#This Row],[Salary]]*0.03</f>
        <v>196.44</v>
      </c>
      <c r="U126" s="48">
        <f>FatmaUsf[[#This Row],[Salary]]-FatmaUsf[[#This Row],[Tax 10%]]+FatmaUsf[[#This Row],[Bonus 3%]]</f>
        <v>6089.6399999999994</v>
      </c>
      <c r="V126" s="17" t="str">
        <f>IF(FatmaUsf[[#This Row],[Net Salary]]&gt;=6000,"Over","Normal")</f>
        <v>Over</v>
      </c>
      <c r="W126" s="57">
        <f>VLOOKUP(FatmaUsf[[#This Row],[Net Salary]],$Z$10:$AA$14,2)</f>
        <v>0.02</v>
      </c>
    </row>
    <row r="127" spans="1:23" ht="15.75" customHeight="1">
      <c r="A127" s="24">
        <v>1126</v>
      </c>
      <c r="B127" s="10" t="s">
        <v>377</v>
      </c>
      <c r="C127" s="10" t="s">
        <v>378</v>
      </c>
      <c r="D127" s="41" t="str">
        <f>PROPER(TRIM(FatmaUsf[[#This Row],[Last Name]]&amp;" "&amp;FatmaUsf[[#This Row],[Last Name]]))</f>
        <v>Alsaed Alsaed</v>
      </c>
      <c r="E127" s="10" t="s">
        <v>99</v>
      </c>
      <c r="F127" s="10" t="s">
        <v>684</v>
      </c>
      <c r="G127" s="10" t="s">
        <v>7</v>
      </c>
      <c r="H127" s="11" t="s">
        <v>14</v>
      </c>
      <c r="I127" s="11" t="s">
        <v>25</v>
      </c>
      <c r="J127" s="12" t="s">
        <v>10</v>
      </c>
      <c r="K127" s="10" t="s">
        <v>920</v>
      </c>
      <c r="L127" s="13">
        <v>28</v>
      </c>
      <c r="M127" s="14">
        <v>11</v>
      </c>
      <c r="N127" s="14">
        <v>2023</v>
      </c>
      <c r="O127" s="46">
        <f>DATE(FatmaUsf[[#This Row],[Hire Year]],FatmaUsf[[#This Row],[Hire Month]],FatmaUsf[[#This Row],[Hire Day]])</f>
        <v>45258</v>
      </c>
      <c r="P127" s="46">
        <f t="shared" ca="1" si="1"/>
        <v>46071</v>
      </c>
      <c r="Q127" s="14">
        <f ca="1">DATEDIF(FatmaUsf[[#This Row],[Hiring Date]],FatmaUsf[[#This Row],[current date]],"Y")</f>
        <v>2</v>
      </c>
      <c r="R127" s="15">
        <v>7175</v>
      </c>
      <c r="S127" s="53">
        <f>FatmaUsf[[#This Row],[Salary]]*0.1</f>
        <v>717.5</v>
      </c>
      <c r="T127" s="16">
        <f>FatmaUsf[[#This Row],[Salary]]*0.03</f>
        <v>215.25</v>
      </c>
      <c r="U127" s="48">
        <f>FatmaUsf[[#This Row],[Salary]]-FatmaUsf[[#This Row],[Tax 10%]]+FatmaUsf[[#This Row],[Bonus 3%]]</f>
        <v>6672.75</v>
      </c>
      <c r="V127" s="17" t="str">
        <f>IF(FatmaUsf[[#This Row],[Net Salary]]&gt;=6000,"Over","Normal")</f>
        <v>Over</v>
      </c>
      <c r="W127" s="57">
        <f>VLOOKUP(FatmaUsf[[#This Row],[Net Salary]],$Z$10:$AA$14,2)</f>
        <v>0.02</v>
      </c>
    </row>
    <row r="128" spans="1:23" ht="15.75" customHeight="1">
      <c r="A128" s="24">
        <v>1127</v>
      </c>
      <c r="B128" s="10" t="s">
        <v>379</v>
      </c>
      <c r="C128" s="10" t="s">
        <v>380</v>
      </c>
      <c r="D128" s="41" t="str">
        <f>PROPER(TRIM(FatmaUsf[[#This Row],[Last Name]]&amp;" "&amp;FatmaUsf[[#This Row],[Last Name]]))</f>
        <v>Aleaqla Aleaqla</v>
      </c>
      <c r="E128" s="10" t="s">
        <v>100</v>
      </c>
      <c r="F128" s="10" t="s">
        <v>685</v>
      </c>
      <c r="G128" s="10" t="s">
        <v>13</v>
      </c>
      <c r="H128" s="11" t="s">
        <v>11</v>
      </c>
      <c r="I128" s="11" t="s">
        <v>9</v>
      </c>
      <c r="J128" s="12" t="s">
        <v>23</v>
      </c>
      <c r="K128" s="10" t="s">
        <v>921</v>
      </c>
      <c r="L128" s="13">
        <v>8</v>
      </c>
      <c r="M128" s="14">
        <v>6</v>
      </c>
      <c r="N128" s="14">
        <v>1997</v>
      </c>
      <c r="O128" s="46">
        <f>DATE(FatmaUsf[[#This Row],[Hire Year]],FatmaUsf[[#This Row],[Hire Month]],FatmaUsf[[#This Row],[Hire Day]])</f>
        <v>35589</v>
      </c>
      <c r="P128" s="46">
        <f t="shared" ca="1" si="1"/>
        <v>46071</v>
      </c>
      <c r="Q128" s="14">
        <f ca="1">DATEDIF(FatmaUsf[[#This Row],[Hiring Date]],FatmaUsf[[#This Row],[current date]],"Y")</f>
        <v>28</v>
      </c>
      <c r="R128" s="15">
        <v>4070</v>
      </c>
      <c r="S128" s="53">
        <f>FatmaUsf[[#This Row],[Salary]]*0.1</f>
        <v>407</v>
      </c>
      <c r="T128" s="16">
        <f>FatmaUsf[[#This Row],[Salary]]*0.03</f>
        <v>122.1</v>
      </c>
      <c r="U128" s="48">
        <f>FatmaUsf[[#This Row],[Salary]]-FatmaUsf[[#This Row],[Tax 10%]]+FatmaUsf[[#This Row],[Bonus 3%]]</f>
        <v>3785.1</v>
      </c>
      <c r="V128" s="17" t="str">
        <f>IF(FatmaUsf[[#This Row],[Net Salary]]&gt;=6000,"Over","Normal")</f>
        <v>Normal</v>
      </c>
      <c r="W128" s="57">
        <f>VLOOKUP(FatmaUsf[[#This Row],[Net Salary]],$Z$10:$AA$14,2)</f>
        <v>0.05</v>
      </c>
    </row>
    <row r="129" spans="1:23" ht="15.75" customHeight="1">
      <c r="A129" s="24">
        <v>1128</v>
      </c>
      <c r="B129" s="10" t="s">
        <v>98</v>
      </c>
      <c r="C129" s="10" t="s">
        <v>381</v>
      </c>
      <c r="D129" s="41" t="str">
        <f>PROPER(TRIM(FatmaUsf[[#This Row],[Last Name]]&amp;" "&amp;FatmaUsf[[#This Row],[Last Name]]))</f>
        <v>Haydar Haydar</v>
      </c>
      <c r="E129" s="10" t="s">
        <v>99</v>
      </c>
      <c r="F129" s="10" t="s">
        <v>686</v>
      </c>
      <c r="G129" s="10" t="s">
        <v>1100</v>
      </c>
      <c r="H129" s="11" t="s">
        <v>8</v>
      </c>
      <c r="I129" s="11" t="s">
        <v>15</v>
      </c>
      <c r="J129" s="12" t="s">
        <v>10</v>
      </c>
      <c r="K129" s="10" t="s">
        <v>922</v>
      </c>
      <c r="L129" s="13">
        <v>1</v>
      </c>
      <c r="M129" s="14">
        <v>4</v>
      </c>
      <c r="N129" s="14">
        <v>2001</v>
      </c>
      <c r="O129" s="46">
        <f>DATE(FatmaUsf[[#This Row],[Hire Year]],FatmaUsf[[#This Row],[Hire Month]],FatmaUsf[[#This Row],[Hire Day]])</f>
        <v>36982</v>
      </c>
      <c r="P129" s="46">
        <f t="shared" ca="1" si="1"/>
        <v>46071</v>
      </c>
      <c r="Q129" s="14">
        <f ca="1">DATEDIF(FatmaUsf[[#This Row],[Hiring Date]],FatmaUsf[[#This Row],[current date]],"Y")</f>
        <v>24</v>
      </c>
      <c r="R129" s="15">
        <v>1906</v>
      </c>
      <c r="S129" s="53">
        <f>FatmaUsf[[#This Row],[Salary]]*0.1</f>
        <v>190.60000000000002</v>
      </c>
      <c r="T129" s="16">
        <f>FatmaUsf[[#This Row],[Salary]]*0.03</f>
        <v>57.18</v>
      </c>
      <c r="U129" s="48">
        <f>FatmaUsf[[#This Row],[Salary]]-FatmaUsf[[#This Row],[Tax 10%]]+FatmaUsf[[#This Row],[Bonus 3%]]</f>
        <v>1772.5800000000002</v>
      </c>
      <c r="V129" s="17" t="str">
        <f>IF(FatmaUsf[[#This Row],[Net Salary]]&gt;=6000,"Over","Normal")</f>
        <v>Normal</v>
      </c>
      <c r="W129" s="57">
        <f>VLOOKUP(FatmaUsf[[#This Row],[Net Salary]],$Z$10:$AA$14,2)</f>
        <v>0.08</v>
      </c>
    </row>
    <row r="130" spans="1:23" ht="15.75" customHeight="1">
      <c r="A130" s="24">
        <v>1129</v>
      </c>
      <c r="B130" s="10" t="s">
        <v>382</v>
      </c>
      <c r="C130" s="10" t="s">
        <v>383</v>
      </c>
      <c r="D130" s="41" t="str">
        <f>PROPER(TRIM(FatmaUsf[[#This Row],[Last Name]]&amp;" "&amp;FatmaUsf[[#This Row],[Last Name]]))</f>
        <v>Shueayb Shueayb</v>
      </c>
      <c r="E130" s="10" t="s">
        <v>100</v>
      </c>
      <c r="F130" s="10" t="s">
        <v>687</v>
      </c>
      <c r="G130" s="10" t="s">
        <v>17</v>
      </c>
      <c r="H130" s="11" t="s">
        <v>11</v>
      </c>
      <c r="I130" s="11" t="s">
        <v>15</v>
      </c>
      <c r="J130" s="12" t="s">
        <v>10</v>
      </c>
      <c r="K130" s="10" t="s">
        <v>923</v>
      </c>
      <c r="L130" s="13">
        <v>25</v>
      </c>
      <c r="M130" s="14">
        <v>6</v>
      </c>
      <c r="N130" s="14">
        <v>2018</v>
      </c>
      <c r="O130" s="46">
        <f>DATE(FatmaUsf[[#This Row],[Hire Year]],FatmaUsf[[#This Row],[Hire Month]],FatmaUsf[[#This Row],[Hire Day]])</f>
        <v>43276</v>
      </c>
      <c r="P130" s="46">
        <f t="shared" ref="P130:P193" ca="1" si="2">TODAY()</f>
        <v>46071</v>
      </c>
      <c r="Q130" s="14">
        <f ca="1">DATEDIF(FatmaUsf[[#This Row],[Hiring Date]],FatmaUsf[[#This Row],[current date]],"Y")</f>
        <v>7</v>
      </c>
      <c r="R130" s="15">
        <v>2600</v>
      </c>
      <c r="S130" s="53">
        <f>FatmaUsf[[#This Row],[Salary]]*0.1</f>
        <v>260</v>
      </c>
      <c r="T130" s="16">
        <f>FatmaUsf[[#This Row],[Salary]]*0.03</f>
        <v>78</v>
      </c>
      <c r="U130" s="48">
        <f>FatmaUsf[[#This Row],[Salary]]-FatmaUsf[[#This Row],[Tax 10%]]+FatmaUsf[[#This Row],[Bonus 3%]]</f>
        <v>2418</v>
      </c>
      <c r="V130" s="17" t="str">
        <f>IF(FatmaUsf[[#This Row],[Net Salary]]&gt;=6000,"Over","Normal")</f>
        <v>Normal</v>
      </c>
      <c r="W130" s="57">
        <f>VLOOKUP(FatmaUsf[[#This Row],[Net Salary]],$Z$10:$AA$14,2)</f>
        <v>0.08</v>
      </c>
    </row>
    <row r="131" spans="1:23" ht="15.75" customHeight="1">
      <c r="A131" s="24">
        <v>1130</v>
      </c>
      <c r="B131" s="10" t="s">
        <v>102</v>
      </c>
      <c r="C131" s="10" t="s">
        <v>384</v>
      </c>
      <c r="D131" s="41" t="str">
        <f>PROPER(TRIM(FatmaUsf[[#This Row],[Last Name]]&amp;" "&amp;FatmaUsf[[#This Row],[Last Name]]))</f>
        <v>Dahman Dahman</v>
      </c>
      <c r="E131" s="10" t="s">
        <v>100</v>
      </c>
      <c r="F131" s="10" t="s">
        <v>688</v>
      </c>
      <c r="G131" s="10" t="s">
        <v>13</v>
      </c>
      <c r="H131" s="11" t="s">
        <v>11</v>
      </c>
      <c r="I131" s="11" t="s">
        <v>18</v>
      </c>
      <c r="J131" s="12" t="s">
        <v>20</v>
      </c>
      <c r="K131" s="10" t="s">
        <v>924</v>
      </c>
      <c r="L131" s="13">
        <v>22</v>
      </c>
      <c r="M131" s="14">
        <v>5</v>
      </c>
      <c r="N131" s="14">
        <v>1993</v>
      </c>
      <c r="O131" s="46">
        <f>DATE(FatmaUsf[[#This Row],[Hire Year]],FatmaUsf[[#This Row],[Hire Month]],FatmaUsf[[#This Row],[Hire Day]])</f>
        <v>34111</v>
      </c>
      <c r="P131" s="46">
        <f t="shared" ca="1" si="2"/>
        <v>46071</v>
      </c>
      <c r="Q131" s="14">
        <f ca="1">DATEDIF(FatmaUsf[[#This Row],[Hiring Date]],FatmaUsf[[#This Row],[current date]],"Y")</f>
        <v>32</v>
      </c>
      <c r="R131" s="15">
        <v>3753</v>
      </c>
      <c r="S131" s="53">
        <f>FatmaUsf[[#This Row],[Salary]]*0.1</f>
        <v>375.3</v>
      </c>
      <c r="T131" s="16">
        <f>FatmaUsf[[#This Row],[Salary]]*0.03</f>
        <v>112.58999999999999</v>
      </c>
      <c r="U131" s="48">
        <f>FatmaUsf[[#This Row],[Salary]]-FatmaUsf[[#This Row],[Tax 10%]]+FatmaUsf[[#This Row],[Bonus 3%]]</f>
        <v>3490.29</v>
      </c>
      <c r="V131" s="17" t="str">
        <f>IF(FatmaUsf[[#This Row],[Net Salary]]&gt;=6000,"Over","Normal")</f>
        <v>Normal</v>
      </c>
      <c r="W131" s="57">
        <f>VLOOKUP(FatmaUsf[[#This Row],[Net Salary]],$Z$10:$AA$14,2)</f>
        <v>0.05</v>
      </c>
    </row>
    <row r="132" spans="1:23" ht="15.75" customHeight="1">
      <c r="A132" s="24">
        <v>1131</v>
      </c>
      <c r="B132" s="10" t="s">
        <v>385</v>
      </c>
      <c r="C132" s="10" t="s">
        <v>386</v>
      </c>
      <c r="D132" s="41" t="str">
        <f>PROPER(TRIM(FatmaUsf[[#This Row],[Last Name]]&amp;" "&amp;FatmaUsf[[#This Row],[Last Name]]))</f>
        <v>Eirat Eirat</v>
      </c>
      <c r="E132" s="10" t="s">
        <v>99</v>
      </c>
      <c r="F132" s="10" t="s">
        <v>689</v>
      </c>
      <c r="G132" s="10" t="s">
        <v>19</v>
      </c>
      <c r="H132" s="11" t="s">
        <v>8</v>
      </c>
      <c r="I132" s="11" t="s">
        <v>264</v>
      </c>
      <c r="J132" s="12" t="s">
        <v>10</v>
      </c>
      <c r="K132" s="10" t="s">
        <v>925</v>
      </c>
      <c r="L132" s="13">
        <v>15</v>
      </c>
      <c r="M132" s="14">
        <v>8</v>
      </c>
      <c r="N132" s="14">
        <v>2022</v>
      </c>
      <c r="O132" s="46">
        <f>DATE(FatmaUsf[[#This Row],[Hire Year]],FatmaUsf[[#This Row],[Hire Month]],FatmaUsf[[#This Row],[Hire Day]])</f>
        <v>44788</v>
      </c>
      <c r="P132" s="46">
        <f t="shared" ca="1" si="2"/>
        <v>46071</v>
      </c>
      <c r="Q132" s="14">
        <f ca="1">DATEDIF(FatmaUsf[[#This Row],[Hiring Date]],FatmaUsf[[#This Row],[current date]],"Y")</f>
        <v>3</v>
      </c>
      <c r="R132" s="15">
        <v>5086</v>
      </c>
      <c r="S132" s="53">
        <f>FatmaUsf[[#This Row],[Salary]]*0.1</f>
        <v>508.6</v>
      </c>
      <c r="T132" s="16">
        <f>FatmaUsf[[#This Row],[Salary]]*0.03</f>
        <v>152.57999999999998</v>
      </c>
      <c r="U132" s="48">
        <f>FatmaUsf[[#This Row],[Salary]]-FatmaUsf[[#This Row],[Tax 10%]]+FatmaUsf[[#This Row],[Bonus 3%]]</f>
        <v>4729.9799999999996</v>
      </c>
      <c r="V132" s="17" t="str">
        <f>IF(FatmaUsf[[#This Row],[Net Salary]]&gt;=6000,"Over","Normal")</f>
        <v>Normal</v>
      </c>
      <c r="W132" s="57">
        <f>VLOOKUP(FatmaUsf[[#This Row],[Net Salary]],$Z$10:$AA$14,2)</f>
        <v>0.05</v>
      </c>
    </row>
    <row r="133" spans="1:23" ht="15.75" customHeight="1">
      <c r="A133" s="24">
        <v>1132</v>
      </c>
      <c r="B133" s="10" t="s">
        <v>112</v>
      </c>
      <c r="C133" s="10" t="s">
        <v>387</v>
      </c>
      <c r="D133" s="41" t="str">
        <f>PROPER(TRIM(FatmaUsf[[#This Row],[Last Name]]&amp;" "&amp;FatmaUsf[[#This Row],[Last Name]]))</f>
        <v>Badran Badran</v>
      </c>
      <c r="E133" s="10" t="s">
        <v>100</v>
      </c>
      <c r="F133" s="10" t="s">
        <v>690</v>
      </c>
      <c r="G133" s="10" t="s">
        <v>13</v>
      </c>
      <c r="H133" s="11" t="s">
        <v>22</v>
      </c>
      <c r="I133" s="11" t="s">
        <v>9</v>
      </c>
      <c r="J133" s="12" t="s">
        <v>20</v>
      </c>
      <c r="K133" s="10" t="s">
        <v>926</v>
      </c>
      <c r="L133" s="13">
        <v>25</v>
      </c>
      <c r="M133" s="14">
        <v>10</v>
      </c>
      <c r="N133" s="14">
        <v>2021</v>
      </c>
      <c r="O133" s="46">
        <f>DATE(FatmaUsf[[#This Row],[Hire Year]],FatmaUsf[[#This Row],[Hire Month]],FatmaUsf[[#This Row],[Hire Day]])</f>
        <v>44494</v>
      </c>
      <c r="P133" s="46">
        <f t="shared" ca="1" si="2"/>
        <v>46071</v>
      </c>
      <c r="Q133" s="14">
        <f ca="1">DATEDIF(FatmaUsf[[#This Row],[Hiring Date]],FatmaUsf[[#This Row],[current date]],"Y")</f>
        <v>4</v>
      </c>
      <c r="R133" s="15">
        <v>2431</v>
      </c>
      <c r="S133" s="53">
        <f>FatmaUsf[[#This Row],[Salary]]*0.1</f>
        <v>243.10000000000002</v>
      </c>
      <c r="T133" s="16">
        <f>FatmaUsf[[#This Row],[Salary]]*0.03</f>
        <v>72.929999999999993</v>
      </c>
      <c r="U133" s="48">
        <f>FatmaUsf[[#This Row],[Salary]]-FatmaUsf[[#This Row],[Tax 10%]]+FatmaUsf[[#This Row],[Bonus 3%]]</f>
        <v>2260.83</v>
      </c>
      <c r="V133" s="17" t="str">
        <f>IF(FatmaUsf[[#This Row],[Net Salary]]&gt;=6000,"Over","Normal")</f>
        <v>Normal</v>
      </c>
      <c r="W133" s="57">
        <f>VLOOKUP(FatmaUsf[[#This Row],[Net Salary]],$Z$10:$AA$14,2)</f>
        <v>0.08</v>
      </c>
    </row>
    <row r="134" spans="1:23" ht="15.75" customHeight="1">
      <c r="A134" s="24">
        <v>1133</v>
      </c>
      <c r="B134" s="10" t="s">
        <v>388</v>
      </c>
      <c r="C134" s="10" t="s">
        <v>389</v>
      </c>
      <c r="D134" s="41" t="str">
        <f>PROPER(TRIM(FatmaUsf[[#This Row],[Last Name]]&amp;" "&amp;FatmaUsf[[#This Row],[Last Name]]))</f>
        <v>Aleitar Aleitar</v>
      </c>
      <c r="E134" s="10" t="s">
        <v>100</v>
      </c>
      <c r="F134" s="10" t="s">
        <v>691</v>
      </c>
      <c r="G134" s="10" t="s">
        <v>17</v>
      </c>
      <c r="H134" s="11" t="s">
        <v>8</v>
      </c>
      <c r="I134" s="11" t="s">
        <v>9</v>
      </c>
      <c r="J134" s="12" t="s">
        <v>10</v>
      </c>
      <c r="K134" s="10" t="s">
        <v>927</v>
      </c>
      <c r="L134" s="13">
        <v>8</v>
      </c>
      <c r="M134" s="14">
        <v>3</v>
      </c>
      <c r="N134" s="14">
        <v>2014</v>
      </c>
      <c r="O134" s="46">
        <f>DATE(FatmaUsf[[#This Row],[Hire Year]],FatmaUsf[[#This Row],[Hire Month]],FatmaUsf[[#This Row],[Hire Day]])</f>
        <v>41706</v>
      </c>
      <c r="P134" s="46">
        <f t="shared" ca="1" si="2"/>
        <v>46071</v>
      </c>
      <c r="Q134" s="14">
        <f ca="1">DATEDIF(FatmaUsf[[#This Row],[Hiring Date]],FatmaUsf[[#This Row],[current date]],"Y")</f>
        <v>11</v>
      </c>
      <c r="R134" s="15">
        <v>2955</v>
      </c>
      <c r="S134" s="53">
        <f>FatmaUsf[[#This Row],[Salary]]*0.1</f>
        <v>295.5</v>
      </c>
      <c r="T134" s="16">
        <f>FatmaUsf[[#This Row],[Salary]]*0.03</f>
        <v>88.649999999999991</v>
      </c>
      <c r="U134" s="48">
        <f>FatmaUsf[[#This Row],[Salary]]-FatmaUsf[[#This Row],[Tax 10%]]+FatmaUsf[[#This Row],[Bonus 3%]]</f>
        <v>2748.15</v>
      </c>
      <c r="V134" s="17" t="str">
        <f>IF(FatmaUsf[[#This Row],[Net Salary]]&gt;=6000,"Over","Normal")</f>
        <v>Normal</v>
      </c>
      <c r="W134" s="57">
        <f>VLOOKUP(FatmaUsf[[#This Row],[Net Salary]],$Z$10:$AA$14,2)</f>
        <v>0.08</v>
      </c>
    </row>
    <row r="135" spans="1:23" ht="15.75" customHeight="1">
      <c r="A135" s="24">
        <v>1134</v>
      </c>
      <c r="B135" s="10" t="s">
        <v>390</v>
      </c>
      <c r="C135" s="10" t="s">
        <v>391</v>
      </c>
      <c r="D135" s="41" t="str">
        <f>PROPER(TRIM(FatmaUsf[[#This Row],[Last Name]]&amp;" "&amp;FatmaUsf[[#This Row],[Last Name]]))</f>
        <v>Astitih Astitih</v>
      </c>
      <c r="E135" s="10" t="s">
        <v>100</v>
      </c>
      <c r="F135" s="10" t="s">
        <v>692</v>
      </c>
      <c r="G135" s="10" t="s">
        <v>17</v>
      </c>
      <c r="H135" s="11" t="s">
        <v>14</v>
      </c>
      <c r="I135" s="11" t="s">
        <v>264</v>
      </c>
      <c r="J135" s="12" t="s">
        <v>23</v>
      </c>
      <c r="K135" s="10" t="s">
        <v>928</v>
      </c>
      <c r="L135" s="13">
        <v>3</v>
      </c>
      <c r="M135" s="14">
        <v>7</v>
      </c>
      <c r="N135" s="14">
        <v>1996</v>
      </c>
      <c r="O135" s="46">
        <f>DATE(FatmaUsf[[#This Row],[Hire Year]],FatmaUsf[[#This Row],[Hire Month]],FatmaUsf[[#This Row],[Hire Day]])</f>
        <v>35249</v>
      </c>
      <c r="P135" s="46">
        <f t="shared" ca="1" si="2"/>
        <v>46071</v>
      </c>
      <c r="Q135" s="14">
        <f ca="1">DATEDIF(FatmaUsf[[#This Row],[Hiring Date]],FatmaUsf[[#This Row],[current date]],"Y")</f>
        <v>29</v>
      </c>
      <c r="R135" s="15">
        <v>1948</v>
      </c>
      <c r="S135" s="53">
        <f>FatmaUsf[[#This Row],[Salary]]*0.1</f>
        <v>194.8</v>
      </c>
      <c r="T135" s="16">
        <f>FatmaUsf[[#This Row],[Salary]]*0.03</f>
        <v>58.44</v>
      </c>
      <c r="U135" s="48">
        <f>FatmaUsf[[#This Row],[Salary]]-FatmaUsf[[#This Row],[Tax 10%]]+FatmaUsf[[#This Row],[Bonus 3%]]</f>
        <v>1811.64</v>
      </c>
      <c r="V135" s="17" t="str">
        <f>IF(FatmaUsf[[#This Row],[Net Salary]]&gt;=6000,"Over","Normal")</f>
        <v>Normal</v>
      </c>
      <c r="W135" s="57">
        <f>VLOOKUP(FatmaUsf[[#This Row],[Net Salary]],$Z$10:$AA$14,2)</f>
        <v>0.08</v>
      </c>
    </row>
    <row r="136" spans="1:23" ht="15.75" customHeight="1">
      <c r="A136" s="24">
        <v>1135</v>
      </c>
      <c r="B136" s="10" t="s">
        <v>392</v>
      </c>
      <c r="C136" s="10" t="s">
        <v>393</v>
      </c>
      <c r="D136" s="41" t="str">
        <f>PROPER(TRIM(FatmaUsf[[#This Row],[Last Name]]&amp;" "&amp;FatmaUsf[[#This Row],[Last Name]]))</f>
        <v>Shawqi Shawqi</v>
      </c>
      <c r="E136" s="10" t="s">
        <v>100</v>
      </c>
      <c r="F136" s="10" t="s">
        <v>693</v>
      </c>
      <c r="G136" s="10" t="s">
        <v>19</v>
      </c>
      <c r="H136" s="11" t="s">
        <v>8</v>
      </c>
      <c r="I136" s="11" t="s">
        <v>25</v>
      </c>
      <c r="J136" s="12" t="s">
        <v>10</v>
      </c>
      <c r="K136" s="10" t="s">
        <v>929</v>
      </c>
      <c r="L136" s="13">
        <v>24</v>
      </c>
      <c r="M136" s="14">
        <v>9</v>
      </c>
      <c r="N136" s="14">
        <v>1992</v>
      </c>
      <c r="O136" s="46">
        <f>DATE(FatmaUsf[[#This Row],[Hire Year]],FatmaUsf[[#This Row],[Hire Month]],FatmaUsf[[#This Row],[Hire Day]])</f>
        <v>33871</v>
      </c>
      <c r="P136" s="46">
        <f t="shared" ca="1" si="2"/>
        <v>46071</v>
      </c>
      <c r="Q136" s="14">
        <f ca="1">DATEDIF(FatmaUsf[[#This Row],[Hiring Date]],FatmaUsf[[#This Row],[current date]],"Y")</f>
        <v>33</v>
      </c>
      <c r="R136" s="15">
        <v>3294</v>
      </c>
      <c r="S136" s="53">
        <f>FatmaUsf[[#This Row],[Salary]]*0.1</f>
        <v>329.40000000000003</v>
      </c>
      <c r="T136" s="16">
        <f>FatmaUsf[[#This Row],[Salary]]*0.03</f>
        <v>98.82</v>
      </c>
      <c r="U136" s="48">
        <f>FatmaUsf[[#This Row],[Salary]]-FatmaUsf[[#This Row],[Tax 10%]]+FatmaUsf[[#This Row],[Bonus 3%]]</f>
        <v>3063.42</v>
      </c>
      <c r="V136" s="17" t="str">
        <f>IF(FatmaUsf[[#This Row],[Net Salary]]&gt;=6000,"Over","Normal")</f>
        <v>Normal</v>
      </c>
      <c r="W136" s="57">
        <f>VLOOKUP(FatmaUsf[[#This Row],[Net Salary]],$Z$10:$AA$14,2)</f>
        <v>0.05</v>
      </c>
    </row>
    <row r="137" spans="1:23" ht="15.75" customHeight="1">
      <c r="A137" s="24">
        <v>1136</v>
      </c>
      <c r="B137" s="10" t="s">
        <v>392</v>
      </c>
      <c r="C137" s="10" t="s">
        <v>394</v>
      </c>
      <c r="D137" s="41" t="str">
        <f>PROPER(TRIM(FatmaUsf[[#This Row],[Last Name]]&amp;" "&amp;FatmaUsf[[#This Row],[Last Name]]))</f>
        <v>Zaqzuq Zaqzuq</v>
      </c>
      <c r="E137" s="10" t="s">
        <v>100</v>
      </c>
      <c r="F137" s="10" t="s">
        <v>694</v>
      </c>
      <c r="G137" s="10" t="s">
        <v>1100</v>
      </c>
      <c r="H137" s="11" t="s">
        <v>14</v>
      </c>
      <c r="I137" s="11" t="s">
        <v>264</v>
      </c>
      <c r="J137" s="12" t="s">
        <v>12</v>
      </c>
      <c r="K137" s="10" t="s">
        <v>930</v>
      </c>
      <c r="L137" s="13">
        <v>17</v>
      </c>
      <c r="M137" s="14">
        <v>6</v>
      </c>
      <c r="N137" s="14">
        <v>2014</v>
      </c>
      <c r="O137" s="46">
        <f>DATE(FatmaUsf[[#This Row],[Hire Year]],FatmaUsf[[#This Row],[Hire Month]],FatmaUsf[[#This Row],[Hire Day]])</f>
        <v>41807</v>
      </c>
      <c r="P137" s="46">
        <f t="shared" ca="1" si="2"/>
        <v>46071</v>
      </c>
      <c r="Q137" s="14">
        <f ca="1">DATEDIF(FatmaUsf[[#This Row],[Hiring Date]],FatmaUsf[[#This Row],[current date]],"Y")</f>
        <v>11</v>
      </c>
      <c r="R137" s="15">
        <v>7123</v>
      </c>
      <c r="S137" s="53">
        <f>FatmaUsf[[#This Row],[Salary]]*0.1</f>
        <v>712.30000000000007</v>
      </c>
      <c r="T137" s="16">
        <f>FatmaUsf[[#This Row],[Salary]]*0.03</f>
        <v>213.69</v>
      </c>
      <c r="U137" s="48">
        <f>FatmaUsf[[#This Row],[Salary]]-FatmaUsf[[#This Row],[Tax 10%]]+FatmaUsf[[#This Row],[Bonus 3%]]</f>
        <v>6624.3899999999994</v>
      </c>
      <c r="V137" s="17" t="str">
        <f>IF(FatmaUsf[[#This Row],[Net Salary]]&gt;=6000,"Over","Normal")</f>
        <v>Over</v>
      </c>
      <c r="W137" s="57">
        <f>VLOOKUP(FatmaUsf[[#This Row],[Net Salary]],$Z$10:$AA$14,2)</f>
        <v>0.02</v>
      </c>
    </row>
    <row r="138" spans="1:23" ht="15.75" customHeight="1">
      <c r="A138" s="24">
        <v>1137</v>
      </c>
      <c r="B138" s="10" t="s">
        <v>395</v>
      </c>
      <c r="C138" s="10" t="s">
        <v>396</v>
      </c>
      <c r="D138" s="41" t="str">
        <f>PROPER(TRIM(FatmaUsf[[#This Row],[Last Name]]&amp;" "&amp;FatmaUsf[[#This Row],[Last Name]]))</f>
        <v>Eamir Eamir</v>
      </c>
      <c r="E138" s="10" t="s">
        <v>99</v>
      </c>
      <c r="F138" s="10" t="s">
        <v>695</v>
      </c>
      <c r="G138" s="10" t="s">
        <v>13</v>
      </c>
      <c r="H138" s="11" t="s">
        <v>8</v>
      </c>
      <c r="I138" s="11" t="s">
        <v>25</v>
      </c>
      <c r="J138" s="12" t="s">
        <v>20</v>
      </c>
      <c r="K138" s="10" t="s">
        <v>931</v>
      </c>
      <c r="L138" s="13">
        <v>12</v>
      </c>
      <c r="M138" s="14">
        <v>5</v>
      </c>
      <c r="N138" s="14">
        <v>1992</v>
      </c>
      <c r="O138" s="46">
        <f>DATE(FatmaUsf[[#This Row],[Hire Year]],FatmaUsf[[#This Row],[Hire Month]],FatmaUsf[[#This Row],[Hire Day]])</f>
        <v>33736</v>
      </c>
      <c r="P138" s="46">
        <f t="shared" ca="1" si="2"/>
        <v>46071</v>
      </c>
      <c r="Q138" s="14">
        <f ca="1">DATEDIF(FatmaUsf[[#This Row],[Hiring Date]],FatmaUsf[[#This Row],[current date]],"Y")</f>
        <v>33</v>
      </c>
      <c r="R138" s="15">
        <v>7236</v>
      </c>
      <c r="S138" s="53">
        <f>FatmaUsf[[#This Row],[Salary]]*0.1</f>
        <v>723.6</v>
      </c>
      <c r="T138" s="16">
        <f>FatmaUsf[[#This Row],[Salary]]*0.03</f>
        <v>217.07999999999998</v>
      </c>
      <c r="U138" s="48">
        <f>FatmaUsf[[#This Row],[Salary]]-FatmaUsf[[#This Row],[Tax 10%]]+FatmaUsf[[#This Row],[Bonus 3%]]</f>
        <v>6729.48</v>
      </c>
      <c r="V138" s="17" t="str">
        <f>IF(FatmaUsf[[#This Row],[Net Salary]]&gt;=6000,"Over","Normal")</f>
        <v>Over</v>
      </c>
      <c r="W138" s="57">
        <f>VLOOKUP(FatmaUsf[[#This Row],[Net Salary]],$Z$10:$AA$14,2)</f>
        <v>0.02</v>
      </c>
    </row>
    <row r="139" spans="1:23" ht="15.75" customHeight="1">
      <c r="A139" s="24">
        <v>1138</v>
      </c>
      <c r="B139" s="10" t="s">
        <v>397</v>
      </c>
      <c r="C139" s="10" t="s">
        <v>398</v>
      </c>
      <c r="D139" s="41" t="str">
        <f>PROPER(TRIM(FatmaUsf[[#This Row],[Last Name]]&amp;" "&amp;FatmaUsf[[#This Row],[Last Name]]))</f>
        <v>Siedih Siedih</v>
      </c>
      <c r="E139" s="10" t="s">
        <v>100</v>
      </c>
      <c r="F139" s="10" t="s">
        <v>696</v>
      </c>
      <c r="G139" s="10" t="s">
        <v>1100</v>
      </c>
      <c r="H139" s="11" t="s">
        <v>22</v>
      </c>
      <c r="I139" s="11" t="s">
        <v>25</v>
      </c>
      <c r="J139" s="12" t="s">
        <v>12</v>
      </c>
      <c r="K139" s="10" t="s">
        <v>932</v>
      </c>
      <c r="L139" s="13">
        <v>18</v>
      </c>
      <c r="M139" s="14">
        <v>7</v>
      </c>
      <c r="N139" s="14">
        <v>2009</v>
      </c>
      <c r="O139" s="46">
        <f>DATE(FatmaUsf[[#This Row],[Hire Year]],FatmaUsf[[#This Row],[Hire Month]],FatmaUsf[[#This Row],[Hire Day]])</f>
        <v>40012</v>
      </c>
      <c r="P139" s="46">
        <f t="shared" ca="1" si="2"/>
        <v>46071</v>
      </c>
      <c r="Q139" s="14">
        <f ca="1">DATEDIF(FatmaUsf[[#This Row],[Hiring Date]],FatmaUsf[[#This Row],[current date]],"Y")</f>
        <v>16</v>
      </c>
      <c r="R139" s="15">
        <v>6843</v>
      </c>
      <c r="S139" s="53">
        <f>FatmaUsf[[#This Row],[Salary]]*0.1</f>
        <v>684.30000000000007</v>
      </c>
      <c r="T139" s="16">
        <f>FatmaUsf[[#This Row],[Salary]]*0.03</f>
        <v>205.29</v>
      </c>
      <c r="U139" s="48">
        <f>FatmaUsf[[#This Row],[Salary]]-FatmaUsf[[#This Row],[Tax 10%]]+FatmaUsf[[#This Row],[Bonus 3%]]</f>
        <v>6363.99</v>
      </c>
      <c r="V139" s="17" t="str">
        <f>IF(FatmaUsf[[#This Row],[Net Salary]]&gt;=6000,"Over","Normal")</f>
        <v>Over</v>
      </c>
      <c r="W139" s="57">
        <f>VLOOKUP(FatmaUsf[[#This Row],[Net Salary]],$Z$10:$AA$14,2)</f>
        <v>0.02</v>
      </c>
    </row>
    <row r="140" spans="1:23" ht="15.75" customHeight="1">
      <c r="A140" s="24">
        <v>1139</v>
      </c>
      <c r="B140" s="10" t="s">
        <v>354</v>
      </c>
      <c r="C140" s="10" t="s">
        <v>399</v>
      </c>
      <c r="D140" s="41" t="str">
        <f>PROPER(TRIM(FatmaUsf[[#This Row],[Last Name]]&amp;" "&amp;FatmaUsf[[#This Row],[Last Name]]))</f>
        <v>Qisam Qisam</v>
      </c>
      <c r="E140" s="10" t="s">
        <v>99</v>
      </c>
      <c r="F140" s="10" t="s">
        <v>697</v>
      </c>
      <c r="G140" s="10" t="s">
        <v>1100</v>
      </c>
      <c r="H140" s="11" t="s">
        <v>11</v>
      </c>
      <c r="I140" s="11" t="s">
        <v>25</v>
      </c>
      <c r="J140" s="12" t="s">
        <v>12</v>
      </c>
      <c r="K140" s="10" t="s">
        <v>933</v>
      </c>
      <c r="L140" s="13">
        <v>9</v>
      </c>
      <c r="M140" s="14">
        <v>4</v>
      </c>
      <c r="N140" s="14">
        <v>2001</v>
      </c>
      <c r="O140" s="46">
        <f>DATE(FatmaUsf[[#This Row],[Hire Year]],FatmaUsf[[#This Row],[Hire Month]],FatmaUsf[[#This Row],[Hire Day]])</f>
        <v>36990</v>
      </c>
      <c r="P140" s="46">
        <f t="shared" ca="1" si="2"/>
        <v>46071</v>
      </c>
      <c r="Q140" s="14">
        <f ca="1">DATEDIF(FatmaUsf[[#This Row],[Hiring Date]],FatmaUsf[[#This Row],[current date]],"Y")</f>
        <v>24</v>
      </c>
      <c r="R140" s="15">
        <v>1070</v>
      </c>
      <c r="S140" s="53">
        <f>FatmaUsf[[#This Row],[Salary]]*0.1</f>
        <v>107</v>
      </c>
      <c r="T140" s="16">
        <f>FatmaUsf[[#This Row],[Salary]]*0.03</f>
        <v>32.1</v>
      </c>
      <c r="U140" s="48">
        <f>FatmaUsf[[#This Row],[Salary]]-FatmaUsf[[#This Row],[Tax 10%]]+FatmaUsf[[#This Row],[Bonus 3%]]</f>
        <v>995.1</v>
      </c>
      <c r="V140" s="17" t="str">
        <f>IF(FatmaUsf[[#This Row],[Net Salary]]&gt;=6000,"Over","Normal")</f>
        <v>Normal</v>
      </c>
      <c r="W140" s="57">
        <f>VLOOKUP(FatmaUsf[[#This Row],[Net Salary]],$Z$10:$AA$14,2)</f>
        <v>0.1</v>
      </c>
    </row>
    <row r="141" spans="1:23" ht="15.75" customHeight="1">
      <c r="A141" s="24">
        <v>1140</v>
      </c>
      <c r="B141" s="10" t="s">
        <v>400</v>
      </c>
      <c r="C141" s="10" t="s">
        <v>401</v>
      </c>
      <c r="D141" s="41" t="str">
        <f>PROPER(TRIM(FatmaUsf[[#This Row],[Last Name]]&amp;" "&amp;FatmaUsf[[#This Row],[Last Name]]))</f>
        <v>Almueasaeas Almueasaeas</v>
      </c>
      <c r="E141" s="10" t="s">
        <v>99</v>
      </c>
      <c r="F141" s="10" t="s">
        <v>698</v>
      </c>
      <c r="G141" s="10" t="s">
        <v>13</v>
      </c>
      <c r="H141" s="11" t="s">
        <v>22</v>
      </c>
      <c r="I141" s="11" t="s">
        <v>25</v>
      </c>
      <c r="J141" s="12" t="s">
        <v>23</v>
      </c>
      <c r="K141" s="10" t="s">
        <v>934</v>
      </c>
      <c r="L141" s="13">
        <v>23</v>
      </c>
      <c r="M141" s="14">
        <v>3</v>
      </c>
      <c r="N141" s="14">
        <v>2011</v>
      </c>
      <c r="O141" s="46">
        <f>DATE(FatmaUsf[[#This Row],[Hire Year]],FatmaUsf[[#This Row],[Hire Month]],FatmaUsf[[#This Row],[Hire Day]])</f>
        <v>40625</v>
      </c>
      <c r="P141" s="46">
        <f t="shared" ca="1" si="2"/>
        <v>46071</v>
      </c>
      <c r="Q141" s="14">
        <f ca="1">DATEDIF(FatmaUsf[[#This Row],[Hiring Date]],FatmaUsf[[#This Row],[current date]],"Y")</f>
        <v>14</v>
      </c>
      <c r="R141" s="15">
        <v>1493</v>
      </c>
      <c r="S141" s="53">
        <f>FatmaUsf[[#This Row],[Salary]]*0.1</f>
        <v>149.30000000000001</v>
      </c>
      <c r="T141" s="16">
        <f>FatmaUsf[[#This Row],[Salary]]*0.03</f>
        <v>44.79</v>
      </c>
      <c r="U141" s="48">
        <f>FatmaUsf[[#This Row],[Salary]]-FatmaUsf[[#This Row],[Tax 10%]]+FatmaUsf[[#This Row],[Bonus 3%]]</f>
        <v>1388.49</v>
      </c>
      <c r="V141" s="17" t="str">
        <f>IF(FatmaUsf[[#This Row],[Net Salary]]&gt;=6000,"Over","Normal")</f>
        <v>Normal</v>
      </c>
      <c r="W141" s="57">
        <f>VLOOKUP(FatmaUsf[[#This Row],[Net Salary]],$Z$10:$AA$14,2)</f>
        <v>0.08</v>
      </c>
    </row>
    <row r="142" spans="1:23" ht="15.75" customHeight="1">
      <c r="A142" s="24">
        <v>1141</v>
      </c>
      <c r="B142" s="10" t="s">
        <v>402</v>
      </c>
      <c r="C142" s="10" t="s">
        <v>403</v>
      </c>
      <c r="D142" s="41" t="str">
        <f>PROPER(TRIM(FatmaUsf[[#This Row],[Last Name]]&amp;" "&amp;FatmaUsf[[#This Row],[Last Name]]))</f>
        <v>Aljamal Aljamal</v>
      </c>
      <c r="E142" s="10" t="s">
        <v>100</v>
      </c>
      <c r="F142" s="10" t="s">
        <v>699</v>
      </c>
      <c r="G142" s="10" t="s">
        <v>19</v>
      </c>
      <c r="H142" s="11" t="s">
        <v>11</v>
      </c>
      <c r="I142" s="11" t="s">
        <v>25</v>
      </c>
      <c r="J142" s="12" t="s">
        <v>12</v>
      </c>
      <c r="K142" s="10" t="s">
        <v>935</v>
      </c>
      <c r="L142" s="13">
        <v>3</v>
      </c>
      <c r="M142" s="14">
        <v>7</v>
      </c>
      <c r="N142" s="14">
        <v>2020</v>
      </c>
      <c r="O142" s="46">
        <f>DATE(FatmaUsf[[#This Row],[Hire Year]],FatmaUsf[[#This Row],[Hire Month]],FatmaUsf[[#This Row],[Hire Day]])</f>
        <v>44015</v>
      </c>
      <c r="P142" s="46">
        <f t="shared" ca="1" si="2"/>
        <v>46071</v>
      </c>
      <c r="Q142" s="14">
        <f ca="1">DATEDIF(FatmaUsf[[#This Row],[Hiring Date]],FatmaUsf[[#This Row],[current date]],"Y")</f>
        <v>5</v>
      </c>
      <c r="R142" s="15">
        <v>5857</v>
      </c>
      <c r="S142" s="53">
        <f>FatmaUsf[[#This Row],[Salary]]*0.1</f>
        <v>585.70000000000005</v>
      </c>
      <c r="T142" s="16">
        <f>FatmaUsf[[#This Row],[Salary]]*0.03</f>
        <v>175.70999999999998</v>
      </c>
      <c r="U142" s="48">
        <f>FatmaUsf[[#This Row],[Salary]]-FatmaUsf[[#This Row],[Tax 10%]]+FatmaUsf[[#This Row],[Bonus 3%]]</f>
        <v>5447.01</v>
      </c>
      <c r="V142" s="17" t="str">
        <f>IF(FatmaUsf[[#This Row],[Net Salary]]&gt;=6000,"Over","Normal")</f>
        <v>Normal</v>
      </c>
      <c r="W142" s="57">
        <f>VLOOKUP(FatmaUsf[[#This Row],[Net Salary]],$Z$10:$AA$14,2)</f>
        <v>0.05</v>
      </c>
    </row>
    <row r="143" spans="1:23" ht="15.75" customHeight="1">
      <c r="A143" s="24">
        <v>1142</v>
      </c>
      <c r="B143" s="10" t="s">
        <v>392</v>
      </c>
      <c r="C143" s="10" t="s">
        <v>404</v>
      </c>
      <c r="D143" s="41" t="str">
        <f>PROPER(TRIM(FatmaUsf[[#This Row],[Last Name]]&amp;" "&amp;FatmaUsf[[#This Row],[Last Name]]))</f>
        <v>Kahulus Kahulus</v>
      </c>
      <c r="E143" s="10" t="s">
        <v>100</v>
      </c>
      <c r="F143" s="10" t="s">
        <v>700</v>
      </c>
      <c r="G143" s="10" t="s">
        <v>19</v>
      </c>
      <c r="H143" s="11" t="s">
        <v>8</v>
      </c>
      <c r="I143" s="11" t="s">
        <v>264</v>
      </c>
      <c r="J143" s="12" t="s">
        <v>12</v>
      </c>
      <c r="K143" s="10" t="s">
        <v>936</v>
      </c>
      <c r="L143" s="13">
        <v>4</v>
      </c>
      <c r="M143" s="14">
        <v>3</v>
      </c>
      <c r="N143" s="14">
        <v>1991</v>
      </c>
      <c r="O143" s="46">
        <f>DATE(FatmaUsf[[#This Row],[Hire Year]],FatmaUsf[[#This Row],[Hire Month]],FatmaUsf[[#This Row],[Hire Day]])</f>
        <v>33301</v>
      </c>
      <c r="P143" s="46">
        <f t="shared" ca="1" si="2"/>
        <v>46071</v>
      </c>
      <c r="Q143" s="14">
        <f ca="1">DATEDIF(FatmaUsf[[#This Row],[Hiring Date]],FatmaUsf[[#This Row],[current date]],"Y")</f>
        <v>34</v>
      </c>
      <c r="R143" s="15">
        <v>5278</v>
      </c>
      <c r="S143" s="53">
        <f>FatmaUsf[[#This Row],[Salary]]*0.1</f>
        <v>527.80000000000007</v>
      </c>
      <c r="T143" s="16">
        <f>FatmaUsf[[#This Row],[Salary]]*0.03</f>
        <v>158.34</v>
      </c>
      <c r="U143" s="48">
        <f>FatmaUsf[[#This Row],[Salary]]-FatmaUsf[[#This Row],[Tax 10%]]+FatmaUsf[[#This Row],[Bonus 3%]]</f>
        <v>4908.54</v>
      </c>
      <c r="V143" s="17" t="str">
        <f>IF(FatmaUsf[[#This Row],[Net Salary]]&gt;=6000,"Over","Normal")</f>
        <v>Normal</v>
      </c>
      <c r="W143" s="57">
        <f>VLOOKUP(FatmaUsf[[#This Row],[Net Salary]],$Z$10:$AA$14,2)</f>
        <v>0.05</v>
      </c>
    </row>
    <row r="144" spans="1:23" ht="15.75" customHeight="1">
      <c r="A144" s="24">
        <v>1143</v>
      </c>
      <c r="B144" s="10" t="s">
        <v>405</v>
      </c>
      <c r="C144" s="10" t="s">
        <v>406</v>
      </c>
      <c r="D144" s="41" t="str">
        <f>PROPER(TRIM(FatmaUsf[[#This Row],[Last Name]]&amp;" "&amp;FatmaUsf[[#This Row],[Last Name]]))</f>
        <v>Alyaghshiu Alyaghshiu</v>
      </c>
      <c r="E144" s="10" t="s">
        <v>99</v>
      </c>
      <c r="F144" s="10" t="s">
        <v>701</v>
      </c>
      <c r="G144" s="10" t="s">
        <v>1100</v>
      </c>
      <c r="H144" s="11" t="s">
        <v>8</v>
      </c>
      <c r="I144" s="11" t="s">
        <v>26</v>
      </c>
      <c r="J144" s="12" t="s">
        <v>10</v>
      </c>
      <c r="K144" s="10" t="s">
        <v>937</v>
      </c>
      <c r="L144" s="13">
        <v>18</v>
      </c>
      <c r="M144" s="14">
        <v>9</v>
      </c>
      <c r="N144" s="14">
        <v>2015</v>
      </c>
      <c r="O144" s="46">
        <f>DATE(FatmaUsf[[#This Row],[Hire Year]],FatmaUsf[[#This Row],[Hire Month]],FatmaUsf[[#This Row],[Hire Day]])</f>
        <v>42265</v>
      </c>
      <c r="P144" s="46">
        <f t="shared" ca="1" si="2"/>
        <v>46071</v>
      </c>
      <c r="Q144" s="14">
        <f ca="1">DATEDIF(FatmaUsf[[#This Row],[Hiring Date]],FatmaUsf[[#This Row],[current date]],"Y")</f>
        <v>10</v>
      </c>
      <c r="R144" s="15">
        <v>5710</v>
      </c>
      <c r="S144" s="53">
        <f>FatmaUsf[[#This Row],[Salary]]*0.1</f>
        <v>571</v>
      </c>
      <c r="T144" s="16">
        <f>FatmaUsf[[#This Row],[Salary]]*0.03</f>
        <v>171.29999999999998</v>
      </c>
      <c r="U144" s="48">
        <f>FatmaUsf[[#This Row],[Salary]]-FatmaUsf[[#This Row],[Tax 10%]]+FatmaUsf[[#This Row],[Bonus 3%]]</f>
        <v>5310.3</v>
      </c>
      <c r="V144" s="17" t="str">
        <f>IF(FatmaUsf[[#This Row],[Net Salary]]&gt;=6000,"Over","Normal")</f>
        <v>Normal</v>
      </c>
      <c r="W144" s="57">
        <f>VLOOKUP(FatmaUsf[[#This Row],[Net Salary]],$Z$10:$AA$14,2)</f>
        <v>0.05</v>
      </c>
    </row>
    <row r="145" spans="1:23" ht="15.75" customHeight="1">
      <c r="A145" s="24">
        <v>1144</v>
      </c>
      <c r="B145" s="10" t="s">
        <v>102</v>
      </c>
      <c r="C145" s="10" t="s">
        <v>407</v>
      </c>
      <c r="D145" s="41" t="str">
        <f>PROPER(TRIM(FatmaUsf[[#This Row],[Last Name]]&amp;" "&amp;FatmaUsf[[#This Row],[Last Name]]))</f>
        <v>Zayd Zayd</v>
      </c>
      <c r="E145" s="10" t="s">
        <v>100</v>
      </c>
      <c r="F145" s="10" t="s">
        <v>702</v>
      </c>
      <c r="G145" s="10" t="s">
        <v>13</v>
      </c>
      <c r="H145" s="11" t="s">
        <v>8</v>
      </c>
      <c r="I145" s="11" t="s">
        <v>15</v>
      </c>
      <c r="J145" s="12" t="s">
        <v>23</v>
      </c>
      <c r="K145" s="10" t="s">
        <v>938</v>
      </c>
      <c r="L145" s="13">
        <v>8</v>
      </c>
      <c r="M145" s="14">
        <v>12</v>
      </c>
      <c r="N145" s="14">
        <v>1998</v>
      </c>
      <c r="O145" s="46">
        <f>DATE(FatmaUsf[[#This Row],[Hire Year]],FatmaUsf[[#This Row],[Hire Month]],FatmaUsf[[#This Row],[Hire Day]])</f>
        <v>36137</v>
      </c>
      <c r="P145" s="46">
        <f t="shared" ca="1" si="2"/>
        <v>46071</v>
      </c>
      <c r="Q145" s="14">
        <f ca="1">DATEDIF(FatmaUsf[[#This Row],[Hiring Date]],FatmaUsf[[#This Row],[current date]],"Y")</f>
        <v>27</v>
      </c>
      <c r="R145" s="15">
        <v>6145</v>
      </c>
      <c r="S145" s="53">
        <f>FatmaUsf[[#This Row],[Salary]]*0.1</f>
        <v>614.5</v>
      </c>
      <c r="T145" s="16">
        <f>FatmaUsf[[#This Row],[Salary]]*0.03</f>
        <v>184.35</v>
      </c>
      <c r="U145" s="48">
        <f>FatmaUsf[[#This Row],[Salary]]-FatmaUsf[[#This Row],[Tax 10%]]+FatmaUsf[[#This Row],[Bonus 3%]]</f>
        <v>5714.85</v>
      </c>
      <c r="V145" s="17" t="str">
        <f>IF(FatmaUsf[[#This Row],[Net Salary]]&gt;=6000,"Over","Normal")</f>
        <v>Normal</v>
      </c>
      <c r="W145" s="57">
        <f>VLOOKUP(FatmaUsf[[#This Row],[Net Salary]],$Z$10:$AA$14,2)</f>
        <v>0.05</v>
      </c>
    </row>
    <row r="146" spans="1:23" ht="15.75" customHeight="1">
      <c r="A146" s="24">
        <v>1145</v>
      </c>
      <c r="B146" s="10" t="s">
        <v>408</v>
      </c>
      <c r="C146" s="10" t="s">
        <v>409</v>
      </c>
      <c r="D146" s="41" t="str">
        <f>PROPER(TRIM(FatmaUsf[[#This Row],[Last Name]]&amp;" "&amp;FatmaUsf[[#This Row],[Last Name]]))</f>
        <v>Ghunum Ghunum</v>
      </c>
      <c r="E146" s="10" t="s">
        <v>99</v>
      </c>
      <c r="F146" s="10" t="s">
        <v>703</v>
      </c>
      <c r="G146" s="10" t="s">
        <v>17</v>
      </c>
      <c r="H146" s="11" t="s">
        <v>11</v>
      </c>
      <c r="I146" s="11" t="s">
        <v>26</v>
      </c>
      <c r="J146" s="12" t="s">
        <v>10</v>
      </c>
      <c r="K146" s="10" t="s">
        <v>939</v>
      </c>
      <c r="L146" s="13">
        <v>23</v>
      </c>
      <c r="M146" s="14">
        <v>11</v>
      </c>
      <c r="N146" s="14">
        <v>2018</v>
      </c>
      <c r="O146" s="46">
        <f>DATE(FatmaUsf[[#This Row],[Hire Year]],FatmaUsf[[#This Row],[Hire Month]],FatmaUsf[[#This Row],[Hire Day]])</f>
        <v>43427</v>
      </c>
      <c r="P146" s="46">
        <f t="shared" ca="1" si="2"/>
        <v>46071</v>
      </c>
      <c r="Q146" s="14">
        <f ca="1">DATEDIF(FatmaUsf[[#This Row],[Hiring Date]],FatmaUsf[[#This Row],[current date]],"Y")</f>
        <v>7</v>
      </c>
      <c r="R146" s="15">
        <v>5278</v>
      </c>
      <c r="S146" s="53">
        <f>FatmaUsf[[#This Row],[Salary]]*0.1</f>
        <v>527.80000000000007</v>
      </c>
      <c r="T146" s="16">
        <f>FatmaUsf[[#This Row],[Salary]]*0.03</f>
        <v>158.34</v>
      </c>
      <c r="U146" s="48">
        <f>FatmaUsf[[#This Row],[Salary]]-FatmaUsf[[#This Row],[Tax 10%]]+FatmaUsf[[#This Row],[Bonus 3%]]</f>
        <v>4908.54</v>
      </c>
      <c r="V146" s="17" t="str">
        <f>IF(FatmaUsf[[#This Row],[Net Salary]]&gt;=6000,"Over","Normal")</f>
        <v>Normal</v>
      </c>
      <c r="W146" s="57">
        <f>VLOOKUP(FatmaUsf[[#This Row],[Net Salary]],$Z$10:$AA$14,2)</f>
        <v>0.05</v>
      </c>
    </row>
    <row r="147" spans="1:23" ht="15.75" customHeight="1">
      <c r="A147" s="24">
        <v>1146</v>
      </c>
      <c r="B147" s="10" t="s">
        <v>410</v>
      </c>
      <c r="C147" s="10" t="s">
        <v>411</v>
      </c>
      <c r="D147" s="41" t="str">
        <f>PROPER(TRIM(FatmaUsf[[#This Row],[Last Name]]&amp;" "&amp;FatmaUsf[[#This Row],[Last Name]]))</f>
        <v>Bryghl Bryghl</v>
      </c>
      <c r="E147" s="10" t="s">
        <v>100</v>
      </c>
      <c r="F147" s="10" t="s">
        <v>704</v>
      </c>
      <c r="G147" s="10" t="s">
        <v>17</v>
      </c>
      <c r="H147" s="11" t="s">
        <v>22</v>
      </c>
      <c r="I147" s="11" t="s">
        <v>9</v>
      </c>
      <c r="J147" s="12" t="s">
        <v>12</v>
      </c>
      <c r="K147" s="10" t="s">
        <v>940</v>
      </c>
      <c r="L147" s="13">
        <v>21</v>
      </c>
      <c r="M147" s="14">
        <v>9</v>
      </c>
      <c r="N147" s="14">
        <v>2018</v>
      </c>
      <c r="O147" s="46">
        <f>DATE(FatmaUsf[[#This Row],[Hire Year]],FatmaUsf[[#This Row],[Hire Month]],FatmaUsf[[#This Row],[Hire Day]])</f>
        <v>43364</v>
      </c>
      <c r="P147" s="46">
        <f t="shared" ca="1" si="2"/>
        <v>46071</v>
      </c>
      <c r="Q147" s="14">
        <f ca="1">DATEDIF(FatmaUsf[[#This Row],[Hiring Date]],FatmaUsf[[#This Row],[current date]],"Y")</f>
        <v>7</v>
      </c>
      <c r="R147" s="15">
        <v>6409</v>
      </c>
      <c r="S147" s="53">
        <f>FatmaUsf[[#This Row],[Salary]]*0.1</f>
        <v>640.90000000000009</v>
      </c>
      <c r="T147" s="16">
        <f>FatmaUsf[[#This Row],[Salary]]*0.03</f>
        <v>192.26999999999998</v>
      </c>
      <c r="U147" s="48">
        <f>FatmaUsf[[#This Row],[Salary]]-FatmaUsf[[#This Row],[Tax 10%]]+FatmaUsf[[#This Row],[Bonus 3%]]</f>
        <v>5960.3700000000008</v>
      </c>
      <c r="V147" s="17" t="str">
        <f>IF(FatmaUsf[[#This Row],[Net Salary]]&gt;=6000,"Over","Normal")</f>
        <v>Normal</v>
      </c>
      <c r="W147" s="57">
        <f>VLOOKUP(FatmaUsf[[#This Row],[Net Salary]],$Z$10:$AA$14,2)</f>
        <v>0.05</v>
      </c>
    </row>
    <row r="148" spans="1:23" ht="15.75" customHeight="1">
      <c r="A148" s="24">
        <v>1147</v>
      </c>
      <c r="B148" s="10" t="s">
        <v>140</v>
      </c>
      <c r="C148" s="10" t="s">
        <v>412</v>
      </c>
      <c r="D148" s="41" t="str">
        <f>PROPER(TRIM(FatmaUsf[[#This Row],[Last Name]]&amp;" "&amp;FatmaUsf[[#This Row],[Last Name]]))</f>
        <v>Abu Adhan Abu Adhan</v>
      </c>
      <c r="E148" s="10" t="s">
        <v>100</v>
      </c>
      <c r="F148" s="10" t="s">
        <v>705</v>
      </c>
      <c r="G148" s="10" t="s">
        <v>13</v>
      </c>
      <c r="H148" s="11" t="s">
        <v>8</v>
      </c>
      <c r="I148" s="11" t="s">
        <v>9</v>
      </c>
      <c r="J148" s="12" t="s">
        <v>12</v>
      </c>
      <c r="K148" s="10" t="s">
        <v>941</v>
      </c>
      <c r="L148" s="13">
        <v>4</v>
      </c>
      <c r="M148" s="14">
        <v>12</v>
      </c>
      <c r="N148" s="14">
        <v>1994</v>
      </c>
      <c r="O148" s="46">
        <f>DATE(FatmaUsf[[#This Row],[Hire Year]],FatmaUsf[[#This Row],[Hire Month]],FatmaUsf[[#This Row],[Hire Day]])</f>
        <v>34672</v>
      </c>
      <c r="P148" s="46">
        <f t="shared" ca="1" si="2"/>
        <v>46071</v>
      </c>
      <c r="Q148" s="14">
        <f ca="1">DATEDIF(FatmaUsf[[#This Row],[Hiring Date]],FatmaUsf[[#This Row],[current date]],"Y")</f>
        <v>31</v>
      </c>
      <c r="R148" s="15">
        <v>7478</v>
      </c>
      <c r="S148" s="53">
        <f>FatmaUsf[[#This Row],[Salary]]*0.1</f>
        <v>747.80000000000007</v>
      </c>
      <c r="T148" s="16">
        <f>FatmaUsf[[#This Row],[Salary]]*0.03</f>
        <v>224.34</v>
      </c>
      <c r="U148" s="48">
        <f>FatmaUsf[[#This Row],[Salary]]-FatmaUsf[[#This Row],[Tax 10%]]+FatmaUsf[[#This Row],[Bonus 3%]]</f>
        <v>6954.54</v>
      </c>
      <c r="V148" s="17" t="str">
        <f>IF(FatmaUsf[[#This Row],[Net Salary]]&gt;=6000,"Over","Normal")</f>
        <v>Over</v>
      </c>
      <c r="W148" s="57">
        <f>VLOOKUP(FatmaUsf[[#This Row],[Net Salary]],$Z$10:$AA$14,2)</f>
        <v>0.02</v>
      </c>
    </row>
    <row r="149" spans="1:23" ht="15.75" customHeight="1">
      <c r="A149" s="24">
        <v>1148</v>
      </c>
      <c r="B149" s="10" t="s">
        <v>413</v>
      </c>
      <c r="C149" s="10" t="s">
        <v>414</v>
      </c>
      <c r="D149" s="41" t="str">
        <f>PROPER(TRIM(FatmaUsf[[#This Row],[Last Name]]&amp;" "&amp;FatmaUsf[[#This Row],[Last Name]]))</f>
        <v>Alkhibaz Alkhibaz</v>
      </c>
      <c r="E149" s="10" t="s">
        <v>100</v>
      </c>
      <c r="F149" s="10" t="s">
        <v>706</v>
      </c>
      <c r="G149" s="10" t="s">
        <v>1100</v>
      </c>
      <c r="H149" s="11" t="s">
        <v>8</v>
      </c>
      <c r="I149" s="11" t="s">
        <v>9</v>
      </c>
      <c r="J149" s="12" t="s">
        <v>23</v>
      </c>
      <c r="K149" s="10" t="s">
        <v>942</v>
      </c>
      <c r="L149" s="13">
        <v>2</v>
      </c>
      <c r="M149" s="14">
        <v>6</v>
      </c>
      <c r="N149" s="14">
        <v>2019</v>
      </c>
      <c r="O149" s="46">
        <f>DATE(FatmaUsf[[#This Row],[Hire Year]],FatmaUsf[[#This Row],[Hire Month]],FatmaUsf[[#This Row],[Hire Day]])</f>
        <v>43618</v>
      </c>
      <c r="P149" s="46">
        <f t="shared" ca="1" si="2"/>
        <v>46071</v>
      </c>
      <c r="Q149" s="14">
        <f ca="1">DATEDIF(FatmaUsf[[#This Row],[Hiring Date]],FatmaUsf[[#This Row],[current date]],"Y")</f>
        <v>6</v>
      </c>
      <c r="R149" s="15">
        <v>4621</v>
      </c>
      <c r="S149" s="53">
        <f>FatmaUsf[[#This Row],[Salary]]*0.1</f>
        <v>462.1</v>
      </c>
      <c r="T149" s="16">
        <f>FatmaUsf[[#This Row],[Salary]]*0.03</f>
        <v>138.63</v>
      </c>
      <c r="U149" s="48">
        <f>FatmaUsf[[#This Row],[Salary]]-FatmaUsf[[#This Row],[Tax 10%]]+FatmaUsf[[#This Row],[Bonus 3%]]</f>
        <v>4297.53</v>
      </c>
      <c r="V149" s="17" t="str">
        <f>IF(FatmaUsf[[#This Row],[Net Salary]]&gt;=6000,"Over","Normal")</f>
        <v>Normal</v>
      </c>
      <c r="W149" s="57">
        <f>VLOOKUP(FatmaUsf[[#This Row],[Net Salary]],$Z$10:$AA$14,2)</f>
        <v>0.05</v>
      </c>
    </row>
    <row r="150" spans="1:23" ht="15.75" customHeight="1">
      <c r="A150" s="24">
        <v>1149</v>
      </c>
      <c r="B150" s="10" t="s">
        <v>415</v>
      </c>
      <c r="C150" s="10" t="s">
        <v>416</v>
      </c>
      <c r="D150" s="41" t="str">
        <f>PROPER(TRIM(FatmaUsf[[#This Row],[Last Name]]&amp;" "&amp;FatmaUsf[[#This Row],[Last Name]]))</f>
        <v>Alsydawi Alsydawi</v>
      </c>
      <c r="E150" s="10" t="s">
        <v>99</v>
      </c>
      <c r="F150" s="10" t="s">
        <v>707</v>
      </c>
      <c r="G150" s="10" t="s">
        <v>17</v>
      </c>
      <c r="H150" s="11" t="s">
        <v>11</v>
      </c>
      <c r="I150" s="11" t="s">
        <v>27</v>
      </c>
      <c r="J150" s="12" t="s">
        <v>12</v>
      </c>
      <c r="K150" s="10" t="s">
        <v>943</v>
      </c>
      <c r="L150" s="13">
        <v>6</v>
      </c>
      <c r="M150" s="14">
        <v>8</v>
      </c>
      <c r="N150" s="14">
        <v>2019</v>
      </c>
      <c r="O150" s="46">
        <f>DATE(FatmaUsf[[#This Row],[Hire Year]],FatmaUsf[[#This Row],[Hire Month]],FatmaUsf[[#This Row],[Hire Day]])</f>
        <v>43683</v>
      </c>
      <c r="P150" s="46">
        <f t="shared" ca="1" si="2"/>
        <v>46071</v>
      </c>
      <c r="Q150" s="14">
        <f ca="1">DATEDIF(FatmaUsf[[#This Row],[Hiring Date]],FatmaUsf[[#This Row],[current date]],"Y")</f>
        <v>6</v>
      </c>
      <c r="R150" s="15">
        <v>2093</v>
      </c>
      <c r="S150" s="53">
        <f>FatmaUsf[[#This Row],[Salary]]*0.1</f>
        <v>209.3</v>
      </c>
      <c r="T150" s="16">
        <f>FatmaUsf[[#This Row],[Salary]]*0.03</f>
        <v>62.79</v>
      </c>
      <c r="U150" s="48">
        <f>FatmaUsf[[#This Row],[Salary]]-FatmaUsf[[#This Row],[Tax 10%]]+FatmaUsf[[#This Row],[Bonus 3%]]</f>
        <v>1946.49</v>
      </c>
      <c r="V150" s="17" t="str">
        <f>IF(FatmaUsf[[#This Row],[Net Salary]]&gt;=6000,"Over","Normal")</f>
        <v>Normal</v>
      </c>
      <c r="W150" s="57">
        <f>VLOOKUP(FatmaUsf[[#This Row],[Net Salary]],$Z$10:$AA$14,2)</f>
        <v>0.08</v>
      </c>
    </row>
    <row r="151" spans="1:23" ht="15.75" customHeight="1">
      <c r="A151" s="24">
        <v>1150</v>
      </c>
      <c r="B151" s="10" t="s">
        <v>118</v>
      </c>
      <c r="C151" s="10" t="s">
        <v>417</v>
      </c>
      <c r="D151" s="41" t="str">
        <f>PROPER(TRIM(FatmaUsf[[#This Row],[Last Name]]&amp;" "&amp;FatmaUsf[[#This Row],[Last Name]]))</f>
        <v>Almunzilijiu Almunzilijiu</v>
      </c>
      <c r="E151" s="10" t="s">
        <v>100</v>
      </c>
      <c r="F151" s="10" t="s">
        <v>708</v>
      </c>
      <c r="G151" s="10" t="s">
        <v>1100</v>
      </c>
      <c r="H151" s="11" t="s">
        <v>14</v>
      </c>
      <c r="I151" s="11" t="s">
        <v>264</v>
      </c>
      <c r="J151" s="12" t="s">
        <v>12</v>
      </c>
      <c r="K151" s="10" t="s">
        <v>944</v>
      </c>
      <c r="L151" s="13">
        <v>10</v>
      </c>
      <c r="M151" s="14">
        <v>2</v>
      </c>
      <c r="N151" s="14">
        <v>1992</v>
      </c>
      <c r="O151" s="46">
        <f>DATE(FatmaUsf[[#This Row],[Hire Year]],FatmaUsf[[#This Row],[Hire Month]],FatmaUsf[[#This Row],[Hire Day]])</f>
        <v>33644</v>
      </c>
      <c r="P151" s="46">
        <f t="shared" ca="1" si="2"/>
        <v>46071</v>
      </c>
      <c r="Q151" s="14">
        <f ca="1">DATEDIF(FatmaUsf[[#This Row],[Hiring Date]],FatmaUsf[[#This Row],[current date]],"Y")</f>
        <v>34</v>
      </c>
      <c r="R151" s="15">
        <v>7333</v>
      </c>
      <c r="S151" s="53">
        <f>FatmaUsf[[#This Row],[Salary]]*0.1</f>
        <v>733.30000000000007</v>
      </c>
      <c r="T151" s="16">
        <f>FatmaUsf[[#This Row],[Salary]]*0.03</f>
        <v>219.98999999999998</v>
      </c>
      <c r="U151" s="48">
        <f>FatmaUsf[[#This Row],[Salary]]-FatmaUsf[[#This Row],[Tax 10%]]+FatmaUsf[[#This Row],[Bonus 3%]]</f>
        <v>6819.69</v>
      </c>
      <c r="V151" s="17" t="str">
        <f>IF(FatmaUsf[[#This Row],[Net Salary]]&gt;=6000,"Over","Normal")</f>
        <v>Over</v>
      </c>
      <c r="W151" s="57">
        <f>VLOOKUP(FatmaUsf[[#This Row],[Net Salary]],$Z$10:$AA$14,2)</f>
        <v>0.02</v>
      </c>
    </row>
    <row r="152" spans="1:23" ht="15.75" customHeight="1">
      <c r="A152" s="24">
        <v>1151</v>
      </c>
      <c r="B152" s="10" t="s">
        <v>392</v>
      </c>
      <c r="C152" s="10" t="s">
        <v>418</v>
      </c>
      <c r="D152" s="41" t="str">
        <f>PROPER(TRIM(FatmaUsf[[#This Row],[Last Name]]&amp;" "&amp;FatmaUsf[[#This Row],[Last Name]]))</f>
        <v>Milatu Milatu</v>
      </c>
      <c r="E152" s="10" t="s">
        <v>100</v>
      </c>
      <c r="F152" s="10" t="s">
        <v>709</v>
      </c>
      <c r="G152" s="10" t="s">
        <v>17</v>
      </c>
      <c r="H152" s="11" t="s">
        <v>14</v>
      </c>
      <c r="I152" s="11" t="s">
        <v>15</v>
      </c>
      <c r="J152" s="12" t="s">
        <v>10</v>
      </c>
      <c r="K152" s="10" t="s">
        <v>945</v>
      </c>
      <c r="L152" s="13">
        <v>22</v>
      </c>
      <c r="M152" s="14">
        <v>10</v>
      </c>
      <c r="N152" s="14">
        <v>1992</v>
      </c>
      <c r="O152" s="46">
        <f>DATE(FatmaUsf[[#This Row],[Hire Year]],FatmaUsf[[#This Row],[Hire Month]],FatmaUsf[[#This Row],[Hire Day]])</f>
        <v>33899</v>
      </c>
      <c r="P152" s="46">
        <f t="shared" ca="1" si="2"/>
        <v>46071</v>
      </c>
      <c r="Q152" s="14">
        <f ca="1">DATEDIF(FatmaUsf[[#This Row],[Hiring Date]],FatmaUsf[[#This Row],[current date]],"Y")</f>
        <v>33</v>
      </c>
      <c r="R152" s="15">
        <v>1194</v>
      </c>
      <c r="S152" s="53">
        <f>FatmaUsf[[#This Row],[Salary]]*0.1</f>
        <v>119.4</v>
      </c>
      <c r="T152" s="16">
        <f>FatmaUsf[[#This Row],[Salary]]*0.03</f>
        <v>35.82</v>
      </c>
      <c r="U152" s="48">
        <f>FatmaUsf[[#This Row],[Salary]]-FatmaUsf[[#This Row],[Tax 10%]]+FatmaUsf[[#This Row],[Bonus 3%]]</f>
        <v>1110.4199999999998</v>
      </c>
      <c r="V152" s="17" t="str">
        <f>IF(FatmaUsf[[#This Row],[Net Salary]]&gt;=6000,"Over","Normal")</f>
        <v>Normal</v>
      </c>
      <c r="W152" s="57">
        <f>VLOOKUP(FatmaUsf[[#This Row],[Net Salary]],$Z$10:$AA$14,2)</f>
        <v>0.08</v>
      </c>
    </row>
    <row r="153" spans="1:23" ht="15.75" customHeight="1">
      <c r="A153" s="24">
        <v>1152</v>
      </c>
      <c r="B153" s="10" t="s">
        <v>419</v>
      </c>
      <c r="C153" s="10" t="s">
        <v>420</v>
      </c>
      <c r="D153" s="41" t="str">
        <f>PROPER(TRIM(FatmaUsf[[#This Row],[Last Name]]&amp;" "&amp;FatmaUsf[[#This Row],[Last Name]]))</f>
        <v>Eali Eali</v>
      </c>
      <c r="E153" s="10" t="s">
        <v>100</v>
      </c>
      <c r="F153" s="10" t="s">
        <v>710</v>
      </c>
      <c r="G153" s="10" t="s">
        <v>7</v>
      </c>
      <c r="H153" s="11" t="s">
        <v>11</v>
      </c>
      <c r="I153" s="11" t="s">
        <v>15</v>
      </c>
      <c r="J153" s="12" t="s">
        <v>10</v>
      </c>
      <c r="K153" s="10" t="s">
        <v>946</v>
      </c>
      <c r="L153" s="13">
        <v>8</v>
      </c>
      <c r="M153" s="14">
        <v>2</v>
      </c>
      <c r="N153" s="14">
        <v>1991</v>
      </c>
      <c r="O153" s="46">
        <f>DATE(FatmaUsf[[#This Row],[Hire Year]],FatmaUsf[[#This Row],[Hire Month]],FatmaUsf[[#This Row],[Hire Day]])</f>
        <v>33277</v>
      </c>
      <c r="P153" s="46">
        <f t="shared" ca="1" si="2"/>
        <v>46071</v>
      </c>
      <c r="Q153" s="14">
        <f ca="1">DATEDIF(FatmaUsf[[#This Row],[Hiring Date]],FatmaUsf[[#This Row],[current date]],"Y")</f>
        <v>35</v>
      </c>
      <c r="R153" s="15">
        <v>5118</v>
      </c>
      <c r="S153" s="53">
        <f>FatmaUsf[[#This Row],[Salary]]*0.1</f>
        <v>511.8</v>
      </c>
      <c r="T153" s="16">
        <f>FatmaUsf[[#This Row],[Salary]]*0.03</f>
        <v>153.54</v>
      </c>
      <c r="U153" s="48">
        <f>FatmaUsf[[#This Row],[Salary]]-FatmaUsf[[#This Row],[Tax 10%]]+FatmaUsf[[#This Row],[Bonus 3%]]</f>
        <v>4759.74</v>
      </c>
      <c r="V153" s="17" t="str">
        <f>IF(FatmaUsf[[#This Row],[Net Salary]]&gt;=6000,"Over","Normal")</f>
        <v>Normal</v>
      </c>
      <c r="W153" s="57">
        <f>VLOOKUP(FatmaUsf[[#This Row],[Net Salary]],$Z$10:$AA$14,2)</f>
        <v>0.05</v>
      </c>
    </row>
    <row r="154" spans="1:23" ht="15.75" customHeight="1">
      <c r="A154" s="24">
        <v>1153</v>
      </c>
      <c r="B154" s="10" t="s">
        <v>421</v>
      </c>
      <c r="C154" s="10" t="s">
        <v>422</v>
      </c>
      <c r="D154" s="41" t="str">
        <f>PROPER(TRIM(FatmaUsf[[#This Row],[Last Name]]&amp;" "&amp;FatmaUsf[[#This Row],[Last Name]]))</f>
        <v>Hisan Hisan</v>
      </c>
      <c r="E154" s="10" t="s">
        <v>99</v>
      </c>
      <c r="F154" s="10" t="s">
        <v>711</v>
      </c>
      <c r="G154" s="10" t="s">
        <v>17</v>
      </c>
      <c r="H154" s="11" t="s">
        <v>11</v>
      </c>
      <c r="I154" s="11" t="s">
        <v>28</v>
      </c>
      <c r="J154" s="12" t="s">
        <v>23</v>
      </c>
      <c r="K154" s="10" t="s">
        <v>947</v>
      </c>
      <c r="L154" s="13">
        <v>15</v>
      </c>
      <c r="M154" s="14">
        <v>3</v>
      </c>
      <c r="N154" s="14">
        <v>2023</v>
      </c>
      <c r="O154" s="46">
        <f>DATE(FatmaUsf[[#This Row],[Hire Year]],FatmaUsf[[#This Row],[Hire Month]],FatmaUsf[[#This Row],[Hire Day]])</f>
        <v>45000</v>
      </c>
      <c r="P154" s="46">
        <f t="shared" ca="1" si="2"/>
        <v>46071</v>
      </c>
      <c r="Q154" s="14">
        <f ca="1">DATEDIF(FatmaUsf[[#This Row],[Hiring Date]],FatmaUsf[[#This Row],[current date]],"Y")</f>
        <v>2</v>
      </c>
      <c r="R154" s="15">
        <v>5373</v>
      </c>
      <c r="S154" s="53">
        <f>FatmaUsf[[#This Row],[Salary]]*0.1</f>
        <v>537.30000000000007</v>
      </c>
      <c r="T154" s="16">
        <f>FatmaUsf[[#This Row],[Salary]]*0.03</f>
        <v>161.19</v>
      </c>
      <c r="U154" s="48">
        <f>FatmaUsf[[#This Row],[Salary]]-FatmaUsf[[#This Row],[Tax 10%]]+FatmaUsf[[#This Row],[Bonus 3%]]</f>
        <v>4996.8899999999994</v>
      </c>
      <c r="V154" s="17" t="str">
        <f>IF(FatmaUsf[[#This Row],[Net Salary]]&gt;=6000,"Over","Normal")</f>
        <v>Normal</v>
      </c>
      <c r="W154" s="57">
        <f>VLOOKUP(FatmaUsf[[#This Row],[Net Salary]],$Z$10:$AA$14,2)</f>
        <v>0.05</v>
      </c>
    </row>
    <row r="155" spans="1:23" ht="15.75" customHeight="1">
      <c r="A155" s="24">
        <v>1154</v>
      </c>
      <c r="B155" s="10" t="s">
        <v>423</v>
      </c>
      <c r="C155" s="10" t="s">
        <v>424</v>
      </c>
      <c r="D155" s="41" t="str">
        <f>PROPER(TRIM(FatmaUsf[[#This Row],[Last Name]]&amp;" "&amp;FatmaUsf[[#This Row],[Last Name]]))</f>
        <v>Yasin Yasin</v>
      </c>
      <c r="E155" s="10" t="s">
        <v>99</v>
      </c>
      <c r="F155" s="10" t="s">
        <v>712</v>
      </c>
      <c r="G155" s="10" t="s">
        <v>17</v>
      </c>
      <c r="H155" s="11" t="s">
        <v>8</v>
      </c>
      <c r="I155" s="11" t="s">
        <v>29</v>
      </c>
      <c r="J155" s="12" t="s">
        <v>12</v>
      </c>
      <c r="K155" s="10" t="s">
        <v>948</v>
      </c>
      <c r="L155" s="13">
        <v>20</v>
      </c>
      <c r="M155" s="14">
        <v>8</v>
      </c>
      <c r="N155" s="14">
        <v>2004</v>
      </c>
      <c r="O155" s="46">
        <f>DATE(FatmaUsf[[#This Row],[Hire Year]],FatmaUsf[[#This Row],[Hire Month]],FatmaUsf[[#This Row],[Hire Day]])</f>
        <v>38219</v>
      </c>
      <c r="P155" s="46">
        <f t="shared" ca="1" si="2"/>
        <v>46071</v>
      </c>
      <c r="Q155" s="14">
        <f ca="1">DATEDIF(FatmaUsf[[#This Row],[Hiring Date]],FatmaUsf[[#This Row],[current date]],"Y")</f>
        <v>21</v>
      </c>
      <c r="R155" s="15">
        <v>1708</v>
      </c>
      <c r="S155" s="53">
        <f>FatmaUsf[[#This Row],[Salary]]*0.1</f>
        <v>170.8</v>
      </c>
      <c r="T155" s="16">
        <f>FatmaUsf[[#This Row],[Salary]]*0.03</f>
        <v>51.239999999999995</v>
      </c>
      <c r="U155" s="48">
        <f>FatmaUsf[[#This Row],[Salary]]-FatmaUsf[[#This Row],[Tax 10%]]+FatmaUsf[[#This Row],[Bonus 3%]]</f>
        <v>1588.44</v>
      </c>
      <c r="V155" s="17" t="str">
        <f>IF(FatmaUsf[[#This Row],[Net Salary]]&gt;=6000,"Over","Normal")</f>
        <v>Normal</v>
      </c>
      <c r="W155" s="57">
        <f>VLOOKUP(FatmaUsf[[#This Row],[Net Salary]],$Z$10:$AA$14,2)</f>
        <v>0.08</v>
      </c>
    </row>
    <row r="156" spans="1:23" ht="15.75" customHeight="1">
      <c r="A156" s="24">
        <v>1155</v>
      </c>
      <c r="B156" s="10" t="s">
        <v>425</v>
      </c>
      <c r="C156" s="10" t="s">
        <v>426</v>
      </c>
      <c r="D156" s="41" t="str">
        <f>PROPER(TRIM(FatmaUsf[[#This Row],[Last Name]]&amp;" "&amp;FatmaUsf[[#This Row],[Last Name]]))</f>
        <v>Ewad Ewad</v>
      </c>
      <c r="E156" s="10" t="s">
        <v>100</v>
      </c>
      <c r="F156" s="10" t="s">
        <v>713</v>
      </c>
      <c r="G156" s="10" t="s">
        <v>19</v>
      </c>
      <c r="H156" s="11" t="s">
        <v>8</v>
      </c>
      <c r="I156" s="11" t="s">
        <v>264</v>
      </c>
      <c r="J156" s="12" t="s">
        <v>10</v>
      </c>
      <c r="K156" s="10" t="s">
        <v>949</v>
      </c>
      <c r="L156" s="13">
        <v>10</v>
      </c>
      <c r="M156" s="14">
        <v>1</v>
      </c>
      <c r="N156" s="14">
        <v>1996</v>
      </c>
      <c r="O156" s="46">
        <f>DATE(FatmaUsf[[#This Row],[Hire Year]],FatmaUsf[[#This Row],[Hire Month]],FatmaUsf[[#This Row],[Hire Day]])</f>
        <v>35074</v>
      </c>
      <c r="P156" s="46">
        <f t="shared" ca="1" si="2"/>
        <v>46071</v>
      </c>
      <c r="Q156" s="14">
        <f ca="1">DATEDIF(FatmaUsf[[#This Row],[Hiring Date]],FatmaUsf[[#This Row],[current date]],"Y")</f>
        <v>30</v>
      </c>
      <c r="R156" s="15">
        <v>2898</v>
      </c>
      <c r="S156" s="53">
        <f>FatmaUsf[[#This Row],[Salary]]*0.1</f>
        <v>289.8</v>
      </c>
      <c r="T156" s="16">
        <f>FatmaUsf[[#This Row],[Salary]]*0.03</f>
        <v>86.94</v>
      </c>
      <c r="U156" s="48">
        <f>FatmaUsf[[#This Row],[Salary]]-FatmaUsf[[#This Row],[Tax 10%]]+FatmaUsf[[#This Row],[Bonus 3%]]</f>
        <v>2695.14</v>
      </c>
      <c r="V156" s="17" t="str">
        <f>IF(FatmaUsf[[#This Row],[Net Salary]]&gt;=6000,"Over","Normal")</f>
        <v>Normal</v>
      </c>
      <c r="W156" s="57">
        <f>VLOOKUP(FatmaUsf[[#This Row],[Net Salary]],$Z$10:$AA$14,2)</f>
        <v>0.08</v>
      </c>
    </row>
    <row r="157" spans="1:23" ht="15.75" customHeight="1">
      <c r="A157" s="24">
        <v>1156</v>
      </c>
      <c r="B157" s="10" t="s">
        <v>427</v>
      </c>
      <c r="C157" s="10" t="s">
        <v>428</v>
      </c>
      <c r="D157" s="41" t="str">
        <f>PROPER(TRIM(FatmaUsf[[#This Row],[Last Name]]&amp;" "&amp;FatmaUsf[[#This Row],[Last Name]]))</f>
        <v>Alsaedi Alsaedi</v>
      </c>
      <c r="E157" s="10" t="s">
        <v>99</v>
      </c>
      <c r="F157" s="10" t="s">
        <v>714</v>
      </c>
      <c r="G157" s="10" t="s">
        <v>7</v>
      </c>
      <c r="H157" s="11" t="s">
        <v>8</v>
      </c>
      <c r="I157" s="11" t="s">
        <v>26</v>
      </c>
      <c r="J157" s="12" t="s">
        <v>20</v>
      </c>
      <c r="K157" s="10" t="s">
        <v>950</v>
      </c>
      <c r="L157" s="13">
        <v>17</v>
      </c>
      <c r="M157" s="14">
        <v>3</v>
      </c>
      <c r="N157" s="14">
        <v>2008</v>
      </c>
      <c r="O157" s="46">
        <f>DATE(FatmaUsf[[#This Row],[Hire Year]],FatmaUsf[[#This Row],[Hire Month]],FatmaUsf[[#This Row],[Hire Day]])</f>
        <v>39524</v>
      </c>
      <c r="P157" s="46">
        <f t="shared" ca="1" si="2"/>
        <v>46071</v>
      </c>
      <c r="Q157" s="14">
        <f ca="1">DATEDIF(FatmaUsf[[#This Row],[Hiring Date]],FatmaUsf[[#This Row],[current date]],"Y")</f>
        <v>17</v>
      </c>
      <c r="R157" s="15">
        <v>6211</v>
      </c>
      <c r="S157" s="53">
        <f>FatmaUsf[[#This Row],[Salary]]*0.1</f>
        <v>621.1</v>
      </c>
      <c r="T157" s="16">
        <f>FatmaUsf[[#This Row],[Salary]]*0.03</f>
        <v>186.32999999999998</v>
      </c>
      <c r="U157" s="48">
        <f>FatmaUsf[[#This Row],[Salary]]-FatmaUsf[[#This Row],[Tax 10%]]+FatmaUsf[[#This Row],[Bonus 3%]]</f>
        <v>5776.23</v>
      </c>
      <c r="V157" s="17" t="str">
        <f>IF(FatmaUsf[[#This Row],[Net Salary]]&gt;=6000,"Over","Normal")</f>
        <v>Normal</v>
      </c>
      <c r="W157" s="57">
        <f>VLOOKUP(FatmaUsf[[#This Row],[Net Salary]],$Z$10:$AA$14,2)</f>
        <v>0.05</v>
      </c>
    </row>
    <row r="158" spans="1:23" ht="15.75" customHeight="1">
      <c r="A158" s="24">
        <v>1157</v>
      </c>
      <c r="B158" s="10" t="s">
        <v>429</v>
      </c>
      <c r="C158" s="10" t="s">
        <v>192</v>
      </c>
      <c r="D158" s="41" t="str">
        <f>PROPER(TRIM(FatmaUsf[[#This Row],[Last Name]]&amp;" "&amp;FatmaUsf[[#This Row],[Last Name]]))</f>
        <v>Almisri Almisri</v>
      </c>
      <c r="E158" s="10" t="s">
        <v>99</v>
      </c>
      <c r="F158" s="10" t="s">
        <v>715</v>
      </c>
      <c r="G158" s="10" t="s">
        <v>19</v>
      </c>
      <c r="H158" s="11" t="s">
        <v>11</v>
      </c>
      <c r="I158" s="11" t="s">
        <v>9</v>
      </c>
      <c r="J158" s="12" t="s">
        <v>12</v>
      </c>
      <c r="K158" s="10" t="s">
        <v>951</v>
      </c>
      <c r="L158" s="13">
        <v>4</v>
      </c>
      <c r="M158" s="14">
        <v>9</v>
      </c>
      <c r="N158" s="14">
        <v>2020</v>
      </c>
      <c r="O158" s="46">
        <f>DATE(FatmaUsf[[#This Row],[Hire Year]],FatmaUsf[[#This Row],[Hire Month]],FatmaUsf[[#This Row],[Hire Day]])</f>
        <v>44078</v>
      </c>
      <c r="P158" s="46">
        <f t="shared" ca="1" si="2"/>
        <v>46071</v>
      </c>
      <c r="Q158" s="14">
        <f ca="1">DATEDIF(FatmaUsf[[#This Row],[Hiring Date]],FatmaUsf[[#This Row],[current date]],"Y")</f>
        <v>5</v>
      </c>
      <c r="R158" s="15">
        <v>5976</v>
      </c>
      <c r="S158" s="53">
        <f>FatmaUsf[[#This Row],[Salary]]*0.1</f>
        <v>597.6</v>
      </c>
      <c r="T158" s="16">
        <f>FatmaUsf[[#This Row],[Salary]]*0.03</f>
        <v>179.28</v>
      </c>
      <c r="U158" s="48">
        <f>FatmaUsf[[#This Row],[Salary]]-FatmaUsf[[#This Row],[Tax 10%]]+FatmaUsf[[#This Row],[Bonus 3%]]</f>
        <v>5557.6799999999994</v>
      </c>
      <c r="V158" s="17" t="str">
        <f>IF(FatmaUsf[[#This Row],[Net Salary]]&gt;=6000,"Over","Normal")</f>
        <v>Normal</v>
      </c>
      <c r="W158" s="57">
        <f>VLOOKUP(FatmaUsf[[#This Row],[Net Salary]],$Z$10:$AA$14,2)</f>
        <v>0.05</v>
      </c>
    </row>
    <row r="159" spans="1:23" ht="15.75" customHeight="1">
      <c r="A159" s="24">
        <v>1158</v>
      </c>
      <c r="B159" s="10" t="s">
        <v>330</v>
      </c>
      <c r="C159" s="10" t="s">
        <v>430</v>
      </c>
      <c r="D159" s="41" t="str">
        <f>PROPER(TRIM(FatmaUsf[[#This Row],[Last Name]]&amp;" "&amp;FatmaUsf[[#This Row],[Last Name]]))</f>
        <v>Alnasar Alnasar</v>
      </c>
      <c r="E159" s="10" t="s">
        <v>100</v>
      </c>
      <c r="F159" s="10" t="s">
        <v>716</v>
      </c>
      <c r="G159" s="10" t="s">
        <v>19</v>
      </c>
      <c r="H159" s="11" t="s">
        <v>11</v>
      </c>
      <c r="I159" s="11" t="s">
        <v>9</v>
      </c>
      <c r="J159" s="12" t="s">
        <v>10</v>
      </c>
      <c r="K159" s="10" t="s">
        <v>952</v>
      </c>
      <c r="L159" s="13">
        <v>20</v>
      </c>
      <c r="M159" s="14">
        <v>6</v>
      </c>
      <c r="N159" s="14">
        <v>2013</v>
      </c>
      <c r="O159" s="46">
        <f>DATE(FatmaUsf[[#This Row],[Hire Year]],FatmaUsf[[#This Row],[Hire Month]],FatmaUsf[[#This Row],[Hire Day]])</f>
        <v>41445</v>
      </c>
      <c r="P159" s="46">
        <f t="shared" ca="1" si="2"/>
        <v>46071</v>
      </c>
      <c r="Q159" s="14">
        <f ca="1">DATEDIF(FatmaUsf[[#This Row],[Hiring Date]],FatmaUsf[[#This Row],[current date]],"Y")</f>
        <v>12</v>
      </c>
      <c r="R159" s="15">
        <v>742</v>
      </c>
      <c r="S159" s="53">
        <f>FatmaUsf[[#This Row],[Salary]]*0.1</f>
        <v>74.2</v>
      </c>
      <c r="T159" s="16">
        <f>FatmaUsf[[#This Row],[Salary]]*0.03</f>
        <v>22.259999999999998</v>
      </c>
      <c r="U159" s="48">
        <f>FatmaUsf[[#This Row],[Salary]]-FatmaUsf[[#This Row],[Tax 10%]]+FatmaUsf[[#This Row],[Bonus 3%]]</f>
        <v>690.06</v>
      </c>
      <c r="V159" s="17" t="str">
        <f>IF(FatmaUsf[[#This Row],[Net Salary]]&gt;=6000,"Over","Normal")</f>
        <v>Normal</v>
      </c>
      <c r="W159" s="57">
        <f>VLOOKUP(FatmaUsf[[#This Row],[Net Salary]],$Z$10:$AA$14,2)</f>
        <v>0.1</v>
      </c>
    </row>
    <row r="160" spans="1:23" ht="15.75" customHeight="1">
      <c r="A160" s="24">
        <v>1159</v>
      </c>
      <c r="B160" s="10" t="s">
        <v>151</v>
      </c>
      <c r="C160" s="10" t="s">
        <v>431</v>
      </c>
      <c r="D160" s="41" t="str">
        <f>PROPER(TRIM(FatmaUsf[[#This Row],[Last Name]]&amp;" "&amp;FatmaUsf[[#This Row],[Last Name]]))</f>
        <v>Dwalyby Dwalyby</v>
      </c>
      <c r="E160" s="10" t="s">
        <v>99</v>
      </c>
      <c r="F160" s="10" t="s">
        <v>717</v>
      </c>
      <c r="G160" s="10" t="s">
        <v>13</v>
      </c>
      <c r="H160" s="11" t="s">
        <v>8</v>
      </c>
      <c r="I160" s="11" t="s">
        <v>27</v>
      </c>
      <c r="J160" s="12" t="s">
        <v>10</v>
      </c>
      <c r="K160" s="10" t="s">
        <v>953</v>
      </c>
      <c r="L160" s="13">
        <v>13</v>
      </c>
      <c r="M160" s="14">
        <v>1</v>
      </c>
      <c r="N160" s="14">
        <v>2021</v>
      </c>
      <c r="O160" s="46">
        <f>DATE(FatmaUsf[[#This Row],[Hire Year]],FatmaUsf[[#This Row],[Hire Month]],FatmaUsf[[#This Row],[Hire Day]])</f>
        <v>44209</v>
      </c>
      <c r="P160" s="46">
        <f t="shared" ca="1" si="2"/>
        <v>46071</v>
      </c>
      <c r="Q160" s="14">
        <f ca="1">DATEDIF(FatmaUsf[[#This Row],[Hiring Date]],FatmaUsf[[#This Row],[current date]],"Y")</f>
        <v>5</v>
      </c>
      <c r="R160" s="15">
        <v>5918</v>
      </c>
      <c r="S160" s="53">
        <f>FatmaUsf[[#This Row],[Salary]]*0.1</f>
        <v>591.80000000000007</v>
      </c>
      <c r="T160" s="16">
        <f>FatmaUsf[[#This Row],[Salary]]*0.03</f>
        <v>177.54</v>
      </c>
      <c r="U160" s="48">
        <f>FatmaUsf[[#This Row],[Salary]]-FatmaUsf[[#This Row],[Tax 10%]]+FatmaUsf[[#This Row],[Bonus 3%]]</f>
        <v>5503.74</v>
      </c>
      <c r="V160" s="17" t="str">
        <f>IF(FatmaUsf[[#This Row],[Net Salary]]&gt;=6000,"Over","Normal")</f>
        <v>Normal</v>
      </c>
      <c r="W160" s="57">
        <f>VLOOKUP(FatmaUsf[[#This Row],[Net Salary]],$Z$10:$AA$14,2)</f>
        <v>0.05</v>
      </c>
    </row>
    <row r="161" spans="1:23" ht="15.75" customHeight="1">
      <c r="A161" s="24">
        <v>1160</v>
      </c>
      <c r="B161" s="10" t="s">
        <v>432</v>
      </c>
      <c r="C161" s="10" t="s">
        <v>433</v>
      </c>
      <c r="D161" s="41" t="str">
        <f>PROPER(TRIM(FatmaUsf[[#This Row],[Last Name]]&amp;" "&amp;FatmaUsf[[#This Row],[Last Name]]))</f>
        <v>Iidris Iidris</v>
      </c>
      <c r="E161" s="10" t="s">
        <v>100</v>
      </c>
      <c r="F161" s="10" t="s">
        <v>718</v>
      </c>
      <c r="G161" s="10" t="s">
        <v>13</v>
      </c>
      <c r="H161" s="11" t="s">
        <v>22</v>
      </c>
      <c r="I161" s="11" t="s">
        <v>15</v>
      </c>
      <c r="J161" s="12" t="s">
        <v>23</v>
      </c>
      <c r="K161" s="10" t="s">
        <v>954</v>
      </c>
      <c r="L161" s="13">
        <v>25</v>
      </c>
      <c r="M161" s="14">
        <v>9</v>
      </c>
      <c r="N161" s="14">
        <v>2008</v>
      </c>
      <c r="O161" s="46">
        <f>DATE(FatmaUsf[[#This Row],[Hire Year]],FatmaUsf[[#This Row],[Hire Month]],FatmaUsf[[#This Row],[Hire Day]])</f>
        <v>39716</v>
      </c>
      <c r="P161" s="46">
        <f t="shared" ca="1" si="2"/>
        <v>46071</v>
      </c>
      <c r="Q161" s="14">
        <f ca="1">DATEDIF(FatmaUsf[[#This Row],[Hiring Date]],FatmaUsf[[#This Row],[current date]],"Y")</f>
        <v>17</v>
      </c>
      <c r="R161" s="15">
        <v>3074</v>
      </c>
      <c r="S161" s="53">
        <f>FatmaUsf[[#This Row],[Salary]]*0.1</f>
        <v>307.40000000000003</v>
      </c>
      <c r="T161" s="16">
        <f>FatmaUsf[[#This Row],[Salary]]*0.03</f>
        <v>92.22</v>
      </c>
      <c r="U161" s="48">
        <f>FatmaUsf[[#This Row],[Salary]]-FatmaUsf[[#This Row],[Tax 10%]]+FatmaUsf[[#This Row],[Bonus 3%]]</f>
        <v>2858.8199999999997</v>
      </c>
      <c r="V161" s="17" t="str">
        <f>IF(FatmaUsf[[#This Row],[Net Salary]]&gt;=6000,"Over","Normal")</f>
        <v>Normal</v>
      </c>
      <c r="W161" s="57">
        <f>VLOOKUP(FatmaUsf[[#This Row],[Net Salary]],$Z$10:$AA$14,2)</f>
        <v>0.08</v>
      </c>
    </row>
    <row r="162" spans="1:23" ht="15.75" customHeight="1">
      <c r="A162" s="24">
        <v>1161</v>
      </c>
      <c r="B162" s="10" t="s">
        <v>434</v>
      </c>
      <c r="C162" s="10" t="s">
        <v>435</v>
      </c>
      <c r="D162" s="41" t="str">
        <f>PROPER(TRIM(FatmaUsf[[#This Row],[Last Name]]&amp;" "&amp;FatmaUsf[[#This Row],[Last Name]]))</f>
        <v>Alsyqly Alsyqly</v>
      </c>
      <c r="E162" s="10" t="s">
        <v>100</v>
      </c>
      <c r="F162" s="10" t="s">
        <v>719</v>
      </c>
      <c r="G162" s="10" t="s">
        <v>19</v>
      </c>
      <c r="H162" s="11" t="s">
        <v>8</v>
      </c>
      <c r="I162" s="11" t="s">
        <v>9</v>
      </c>
      <c r="J162" s="12" t="s">
        <v>23</v>
      </c>
      <c r="K162" s="10" t="s">
        <v>955</v>
      </c>
      <c r="L162" s="13">
        <v>11</v>
      </c>
      <c r="M162" s="14">
        <v>2</v>
      </c>
      <c r="N162" s="14">
        <v>1994</v>
      </c>
      <c r="O162" s="46">
        <f>DATE(FatmaUsf[[#This Row],[Hire Year]],FatmaUsf[[#This Row],[Hire Month]],FatmaUsf[[#This Row],[Hire Day]])</f>
        <v>34376</v>
      </c>
      <c r="P162" s="46">
        <f t="shared" ca="1" si="2"/>
        <v>46071</v>
      </c>
      <c r="Q162" s="14">
        <f ca="1">DATEDIF(FatmaUsf[[#This Row],[Hiring Date]],FatmaUsf[[#This Row],[current date]],"Y")</f>
        <v>32</v>
      </c>
      <c r="R162" s="15">
        <v>5688</v>
      </c>
      <c r="S162" s="53">
        <f>FatmaUsf[[#This Row],[Salary]]*0.1</f>
        <v>568.80000000000007</v>
      </c>
      <c r="T162" s="16">
        <f>FatmaUsf[[#This Row],[Salary]]*0.03</f>
        <v>170.64</v>
      </c>
      <c r="U162" s="48">
        <f>FatmaUsf[[#This Row],[Salary]]-FatmaUsf[[#This Row],[Tax 10%]]+FatmaUsf[[#This Row],[Bonus 3%]]</f>
        <v>5289.84</v>
      </c>
      <c r="V162" s="17" t="str">
        <f>IF(FatmaUsf[[#This Row],[Net Salary]]&gt;=6000,"Over","Normal")</f>
        <v>Normal</v>
      </c>
      <c r="W162" s="57">
        <f>VLOOKUP(FatmaUsf[[#This Row],[Net Salary]],$Z$10:$AA$14,2)</f>
        <v>0.05</v>
      </c>
    </row>
    <row r="163" spans="1:23" ht="15.75" customHeight="1">
      <c r="A163" s="24">
        <v>1162</v>
      </c>
      <c r="B163" s="10" t="s">
        <v>97</v>
      </c>
      <c r="C163" s="10" t="s">
        <v>436</v>
      </c>
      <c r="D163" s="41" t="str">
        <f>PROPER(TRIM(FatmaUsf[[#This Row],[Last Name]]&amp;" "&amp;FatmaUsf[[#This Row],[Last Name]]))</f>
        <v>Alyasin Alyasin</v>
      </c>
      <c r="E163" s="10" t="s">
        <v>100</v>
      </c>
      <c r="F163" s="10" t="s">
        <v>720</v>
      </c>
      <c r="G163" s="10" t="s">
        <v>13</v>
      </c>
      <c r="H163" s="11" t="s">
        <v>11</v>
      </c>
      <c r="I163" s="11" t="s">
        <v>9</v>
      </c>
      <c r="J163" s="12" t="s">
        <v>20</v>
      </c>
      <c r="K163" s="10" t="s">
        <v>956</v>
      </c>
      <c r="L163" s="13">
        <v>22</v>
      </c>
      <c r="M163" s="14">
        <v>3</v>
      </c>
      <c r="N163" s="14">
        <v>2022</v>
      </c>
      <c r="O163" s="46">
        <f>DATE(FatmaUsf[[#This Row],[Hire Year]],FatmaUsf[[#This Row],[Hire Month]],FatmaUsf[[#This Row],[Hire Day]])</f>
        <v>44642</v>
      </c>
      <c r="P163" s="46">
        <f t="shared" ca="1" si="2"/>
        <v>46071</v>
      </c>
      <c r="Q163" s="14">
        <f ca="1">DATEDIF(FatmaUsf[[#This Row],[Hiring Date]],FatmaUsf[[#This Row],[current date]],"Y")</f>
        <v>3</v>
      </c>
      <c r="R163" s="15">
        <v>3362</v>
      </c>
      <c r="S163" s="53">
        <f>FatmaUsf[[#This Row],[Salary]]*0.1</f>
        <v>336.20000000000005</v>
      </c>
      <c r="T163" s="16">
        <f>FatmaUsf[[#This Row],[Salary]]*0.03</f>
        <v>100.86</v>
      </c>
      <c r="U163" s="48">
        <f>FatmaUsf[[#This Row],[Salary]]-FatmaUsf[[#This Row],[Tax 10%]]+FatmaUsf[[#This Row],[Bonus 3%]]</f>
        <v>3126.6600000000003</v>
      </c>
      <c r="V163" s="17" t="str">
        <f>IF(FatmaUsf[[#This Row],[Net Salary]]&gt;=6000,"Over","Normal")</f>
        <v>Normal</v>
      </c>
      <c r="W163" s="57">
        <f>VLOOKUP(FatmaUsf[[#This Row],[Net Salary]],$Z$10:$AA$14,2)</f>
        <v>0.05</v>
      </c>
    </row>
    <row r="164" spans="1:23" ht="15.75" customHeight="1">
      <c r="A164" s="24">
        <v>1163</v>
      </c>
      <c r="B164" s="10" t="s">
        <v>105</v>
      </c>
      <c r="C164" s="10" t="s">
        <v>437</v>
      </c>
      <c r="D164" s="41" t="str">
        <f>PROPER(TRIM(FatmaUsf[[#This Row],[Last Name]]&amp;" "&amp;FatmaUsf[[#This Row],[Last Name]]))</f>
        <v>Mulaliyun Mulaliyun</v>
      </c>
      <c r="E164" s="10" t="s">
        <v>99</v>
      </c>
      <c r="F164" s="10" t="s">
        <v>721</v>
      </c>
      <c r="G164" s="10" t="s">
        <v>17</v>
      </c>
      <c r="H164" s="11" t="s">
        <v>14</v>
      </c>
      <c r="I164" s="11" t="s">
        <v>9</v>
      </c>
      <c r="J164" s="12" t="s">
        <v>10</v>
      </c>
      <c r="K164" s="10" t="s">
        <v>957</v>
      </c>
      <c r="L164" s="13">
        <v>4</v>
      </c>
      <c r="M164" s="14">
        <v>9</v>
      </c>
      <c r="N164" s="14">
        <v>2016</v>
      </c>
      <c r="O164" s="46">
        <f>DATE(FatmaUsf[[#This Row],[Hire Year]],FatmaUsf[[#This Row],[Hire Month]],FatmaUsf[[#This Row],[Hire Day]])</f>
        <v>42617</v>
      </c>
      <c r="P164" s="46">
        <f t="shared" ca="1" si="2"/>
        <v>46071</v>
      </c>
      <c r="Q164" s="14">
        <f ca="1">DATEDIF(FatmaUsf[[#This Row],[Hiring Date]],FatmaUsf[[#This Row],[current date]],"Y")</f>
        <v>9</v>
      </c>
      <c r="R164" s="15">
        <v>6043</v>
      </c>
      <c r="S164" s="53">
        <f>FatmaUsf[[#This Row],[Salary]]*0.1</f>
        <v>604.30000000000007</v>
      </c>
      <c r="T164" s="16">
        <f>FatmaUsf[[#This Row],[Salary]]*0.03</f>
        <v>181.29</v>
      </c>
      <c r="U164" s="48">
        <f>FatmaUsf[[#This Row],[Salary]]-FatmaUsf[[#This Row],[Tax 10%]]+FatmaUsf[[#This Row],[Bonus 3%]]</f>
        <v>5619.99</v>
      </c>
      <c r="V164" s="17" t="str">
        <f>IF(FatmaUsf[[#This Row],[Net Salary]]&gt;=6000,"Over","Normal")</f>
        <v>Normal</v>
      </c>
      <c r="W164" s="57">
        <f>VLOOKUP(FatmaUsf[[#This Row],[Net Salary]],$Z$10:$AA$14,2)</f>
        <v>0.05</v>
      </c>
    </row>
    <row r="165" spans="1:23" ht="15.75" customHeight="1">
      <c r="A165" s="24">
        <v>1164</v>
      </c>
      <c r="B165" s="10" t="s">
        <v>438</v>
      </c>
      <c r="C165" s="10" t="s">
        <v>439</v>
      </c>
      <c r="D165" s="41" t="str">
        <f>PROPER(TRIM(FatmaUsf[[#This Row],[Last Name]]&amp;" "&amp;FatmaUsf[[#This Row],[Last Name]]))</f>
        <v>Abu Taqih Abu Taqih</v>
      </c>
      <c r="E165" s="10" t="s">
        <v>99</v>
      </c>
      <c r="F165" s="10" t="s">
        <v>722</v>
      </c>
      <c r="G165" s="10" t="s">
        <v>17</v>
      </c>
      <c r="H165" s="11" t="s">
        <v>11</v>
      </c>
      <c r="I165" s="11" t="s">
        <v>9</v>
      </c>
      <c r="J165" s="12" t="s">
        <v>12</v>
      </c>
      <c r="K165" s="10" t="s">
        <v>958</v>
      </c>
      <c r="L165" s="13">
        <v>28</v>
      </c>
      <c r="M165" s="14">
        <v>1</v>
      </c>
      <c r="N165" s="14">
        <v>1998</v>
      </c>
      <c r="O165" s="46">
        <f>DATE(FatmaUsf[[#This Row],[Hire Year]],FatmaUsf[[#This Row],[Hire Month]],FatmaUsf[[#This Row],[Hire Day]])</f>
        <v>35823</v>
      </c>
      <c r="P165" s="46">
        <f t="shared" ca="1" si="2"/>
        <v>46071</v>
      </c>
      <c r="Q165" s="14">
        <f ca="1">DATEDIF(FatmaUsf[[#This Row],[Hiring Date]],FatmaUsf[[#This Row],[current date]],"Y")</f>
        <v>28</v>
      </c>
      <c r="R165" s="15">
        <v>6260</v>
      </c>
      <c r="S165" s="53">
        <f>FatmaUsf[[#This Row],[Salary]]*0.1</f>
        <v>626</v>
      </c>
      <c r="T165" s="16">
        <f>FatmaUsf[[#This Row],[Salary]]*0.03</f>
        <v>187.79999999999998</v>
      </c>
      <c r="U165" s="48">
        <f>FatmaUsf[[#This Row],[Salary]]-FatmaUsf[[#This Row],[Tax 10%]]+FatmaUsf[[#This Row],[Bonus 3%]]</f>
        <v>5821.8</v>
      </c>
      <c r="V165" s="17" t="str">
        <f>IF(FatmaUsf[[#This Row],[Net Salary]]&gt;=6000,"Over","Normal")</f>
        <v>Normal</v>
      </c>
      <c r="W165" s="57">
        <f>VLOOKUP(FatmaUsf[[#This Row],[Net Salary]],$Z$10:$AA$14,2)</f>
        <v>0.05</v>
      </c>
    </row>
    <row r="166" spans="1:23" ht="15.75" customHeight="1">
      <c r="A166" s="24">
        <v>1165</v>
      </c>
      <c r="B166" s="10" t="s">
        <v>440</v>
      </c>
      <c r="C166" s="10" t="s">
        <v>441</v>
      </c>
      <c r="D166" s="41" t="str">
        <f>PROPER(TRIM(FatmaUsf[[#This Row],[Last Name]]&amp;" "&amp;FatmaUsf[[#This Row],[Last Name]]))</f>
        <v>Antun Antun</v>
      </c>
      <c r="E166" s="10" t="s">
        <v>99</v>
      </c>
      <c r="F166" s="10" t="s">
        <v>723</v>
      </c>
      <c r="G166" s="10" t="s">
        <v>17</v>
      </c>
      <c r="H166" s="11" t="s">
        <v>22</v>
      </c>
      <c r="I166" s="11" t="s">
        <v>9</v>
      </c>
      <c r="J166" s="12" t="s">
        <v>23</v>
      </c>
      <c r="K166" s="10" t="s">
        <v>959</v>
      </c>
      <c r="L166" s="13">
        <v>15</v>
      </c>
      <c r="M166" s="14">
        <v>1</v>
      </c>
      <c r="N166" s="14">
        <v>2023</v>
      </c>
      <c r="O166" s="46">
        <f>DATE(FatmaUsf[[#This Row],[Hire Year]],FatmaUsf[[#This Row],[Hire Month]],FatmaUsf[[#This Row],[Hire Day]])</f>
        <v>44941</v>
      </c>
      <c r="P166" s="46">
        <f t="shared" ca="1" si="2"/>
        <v>46071</v>
      </c>
      <c r="Q166" s="14">
        <f ca="1">DATEDIF(FatmaUsf[[#This Row],[Hiring Date]],FatmaUsf[[#This Row],[current date]],"Y")</f>
        <v>3</v>
      </c>
      <c r="R166" s="15">
        <v>3754</v>
      </c>
      <c r="S166" s="53">
        <f>FatmaUsf[[#This Row],[Salary]]*0.1</f>
        <v>375.40000000000003</v>
      </c>
      <c r="T166" s="16">
        <f>FatmaUsf[[#This Row],[Salary]]*0.03</f>
        <v>112.61999999999999</v>
      </c>
      <c r="U166" s="48">
        <f>FatmaUsf[[#This Row],[Salary]]-FatmaUsf[[#This Row],[Tax 10%]]+FatmaUsf[[#This Row],[Bonus 3%]]</f>
        <v>3491.22</v>
      </c>
      <c r="V166" s="17" t="str">
        <f>IF(FatmaUsf[[#This Row],[Net Salary]]&gt;=6000,"Over","Normal")</f>
        <v>Normal</v>
      </c>
      <c r="W166" s="57">
        <f>VLOOKUP(FatmaUsf[[#This Row],[Net Salary]],$Z$10:$AA$14,2)</f>
        <v>0.05</v>
      </c>
    </row>
    <row r="167" spans="1:23" ht="15.75" customHeight="1">
      <c r="A167" s="24">
        <v>1166</v>
      </c>
      <c r="B167" s="10" t="s">
        <v>410</v>
      </c>
      <c r="C167" s="10" t="s">
        <v>442</v>
      </c>
      <c r="D167" s="41" t="str">
        <f>PROPER(TRIM(FatmaUsf[[#This Row],[Last Name]]&amp;" "&amp;FatmaUsf[[#This Row],[Last Name]]))</f>
        <v>Alkinaya Alkinaya</v>
      </c>
      <c r="E167" s="10" t="s">
        <v>100</v>
      </c>
      <c r="F167" s="10" t="s">
        <v>724</v>
      </c>
      <c r="G167" s="10" t="s">
        <v>13</v>
      </c>
      <c r="H167" s="11" t="s">
        <v>14</v>
      </c>
      <c r="I167" s="11" t="s">
        <v>25</v>
      </c>
      <c r="J167" s="12" t="s">
        <v>20</v>
      </c>
      <c r="K167" s="10" t="s">
        <v>960</v>
      </c>
      <c r="L167" s="13">
        <v>1</v>
      </c>
      <c r="M167" s="14">
        <v>12</v>
      </c>
      <c r="N167" s="14">
        <v>2010</v>
      </c>
      <c r="O167" s="46">
        <f>DATE(FatmaUsf[[#This Row],[Hire Year]],FatmaUsf[[#This Row],[Hire Month]],FatmaUsf[[#This Row],[Hire Day]])</f>
        <v>40513</v>
      </c>
      <c r="P167" s="46">
        <f t="shared" ca="1" si="2"/>
        <v>46071</v>
      </c>
      <c r="Q167" s="14">
        <f ca="1">DATEDIF(FatmaUsf[[#This Row],[Hiring Date]],FatmaUsf[[#This Row],[current date]],"Y")</f>
        <v>15</v>
      </c>
      <c r="R167" s="15">
        <v>6579</v>
      </c>
      <c r="S167" s="53">
        <f>FatmaUsf[[#This Row],[Salary]]*0.1</f>
        <v>657.90000000000009</v>
      </c>
      <c r="T167" s="16">
        <f>FatmaUsf[[#This Row],[Salary]]*0.03</f>
        <v>197.37</v>
      </c>
      <c r="U167" s="48">
        <f>FatmaUsf[[#This Row],[Salary]]-FatmaUsf[[#This Row],[Tax 10%]]+FatmaUsf[[#This Row],[Bonus 3%]]</f>
        <v>6118.47</v>
      </c>
      <c r="V167" s="17" t="str">
        <f>IF(FatmaUsf[[#This Row],[Net Salary]]&gt;=6000,"Over","Normal")</f>
        <v>Over</v>
      </c>
      <c r="W167" s="57">
        <f>VLOOKUP(FatmaUsf[[#This Row],[Net Salary]],$Z$10:$AA$14,2)</f>
        <v>0.02</v>
      </c>
    </row>
    <row r="168" spans="1:23" ht="15.75" customHeight="1">
      <c r="A168" s="24">
        <v>1167</v>
      </c>
      <c r="B168" s="10" t="s">
        <v>167</v>
      </c>
      <c r="C168" s="10" t="s">
        <v>443</v>
      </c>
      <c r="D168" s="41" t="str">
        <f>PROPER(TRIM(FatmaUsf[[#This Row],[Last Name]]&amp;" "&amp;FatmaUsf[[#This Row],[Last Name]]))</f>
        <v>Qareush Qareush</v>
      </c>
      <c r="E168" s="10" t="s">
        <v>100</v>
      </c>
      <c r="F168" s="10" t="s">
        <v>725</v>
      </c>
      <c r="G168" s="10" t="s">
        <v>17</v>
      </c>
      <c r="H168" s="11" t="s">
        <v>8</v>
      </c>
      <c r="I168" s="11" t="s">
        <v>18</v>
      </c>
      <c r="J168" s="12" t="s">
        <v>12</v>
      </c>
      <c r="K168" s="10" t="s">
        <v>961</v>
      </c>
      <c r="L168" s="13">
        <v>25</v>
      </c>
      <c r="M168" s="14">
        <v>2</v>
      </c>
      <c r="N168" s="14">
        <v>2004</v>
      </c>
      <c r="O168" s="46">
        <f>DATE(FatmaUsf[[#This Row],[Hire Year]],FatmaUsf[[#This Row],[Hire Month]],FatmaUsf[[#This Row],[Hire Day]])</f>
        <v>38042</v>
      </c>
      <c r="P168" s="46">
        <f t="shared" ca="1" si="2"/>
        <v>46071</v>
      </c>
      <c r="Q168" s="14">
        <f ca="1">DATEDIF(FatmaUsf[[#This Row],[Hiring Date]],FatmaUsf[[#This Row],[current date]],"Y")</f>
        <v>21</v>
      </c>
      <c r="R168" s="15">
        <v>5373</v>
      </c>
      <c r="S168" s="53">
        <f>FatmaUsf[[#This Row],[Salary]]*0.1</f>
        <v>537.30000000000007</v>
      </c>
      <c r="T168" s="16">
        <f>FatmaUsf[[#This Row],[Salary]]*0.03</f>
        <v>161.19</v>
      </c>
      <c r="U168" s="48">
        <f>FatmaUsf[[#This Row],[Salary]]-FatmaUsf[[#This Row],[Tax 10%]]+FatmaUsf[[#This Row],[Bonus 3%]]</f>
        <v>4996.8899999999994</v>
      </c>
      <c r="V168" s="17" t="str">
        <f>IF(FatmaUsf[[#This Row],[Net Salary]]&gt;=6000,"Over","Normal")</f>
        <v>Normal</v>
      </c>
      <c r="W168" s="57">
        <f>VLOOKUP(FatmaUsf[[#This Row],[Net Salary]],$Z$10:$AA$14,2)</f>
        <v>0.05</v>
      </c>
    </row>
    <row r="169" spans="1:23" ht="15.75" customHeight="1">
      <c r="A169" s="24">
        <v>1168</v>
      </c>
      <c r="B169" s="10" t="s">
        <v>444</v>
      </c>
      <c r="C169" s="10" t="s">
        <v>445</v>
      </c>
      <c r="D169" s="41" t="str">
        <f>PROPER(TRIM(FatmaUsf[[#This Row],[Last Name]]&amp;" "&amp;FatmaUsf[[#This Row],[Last Name]]))</f>
        <v>Khayti Khayti</v>
      </c>
      <c r="E169" s="10" t="s">
        <v>99</v>
      </c>
      <c r="F169" s="10" t="s">
        <v>726</v>
      </c>
      <c r="G169" s="10" t="s">
        <v>13</v>
      </c>
      <c r="H169" s="11" t="s">
        <v>8</v>
      </c>
      <c r="I169" s="11" t="s">
        <v>15</v>
      </c>
      <c r="J169" s="12" t="s">
        <v>12</v>
      </c>
      <c r="K169" s="10" t="s">
        <v>962</v>
      </c>
      <c r="L169" s="13">
        <v>6</v>
      </c>
      <c r="M169" s="14">
        <v>10</v>
      </c>
      <c r="N169" s="14">
        <v>1990</v>
      </c>
      <c r="O169" s="46">
        <f>DATE(FatmaUsf[[#This Row],[Hire Year]],FatmaUsf[[#This Row],[Hire Month]],FatmaUsf[[#This Row],[Hire Day]])</f>
        <v>33152</v>
      </c>
      <c r="P169" s="46">
        <f t="shared" ca="1" si="2"/>
        <v>46071</v>
      </c>
      <c r="Q169" s="14">
        <f ca="1">DATEDIF(FatmaUsf[[#This Row],[Hiring Date]],FatmaUsf[[#This Row],[current date]],"Y")</f>
        <v>35</v>
      </c>
      <c r="R169" s="15">
        <v>1391</v>
      </c>
      <c r="S169" s="53">
        <f>FatmaUsf[[#This Row],[Salary]]*0.1</f>
        <v>139.1</v>
      </c>
      <c r="T169" s="16">
        <f>FatmaUsf[[#This Row],[Salary]]*0.03</f>
        <v>41.73</v>
      </c>
      <c r="U169" s="48">
        <f>FatmaUsf[[#This Row],[Salary]]-FatmaUsf[[#This Row],[Tax 10%]]+FatmaUsf[[#This Row],[Bonus 3%]]</f>
        <v>1293.6300000000001</v>
      </c>
      <c r="V169" s="17" t="str">
        <f>IF(FatmaUsf[[#This Row],[Net Salary]]&gt;=6000,"Over","Normal")</f>
        <v>Normal</v>
      </c>
      <c r="W169" s="57">
        <f>VLOOKUP(FatmaUsf[[#This Row],[Net Salary]],$Z$10:$AA$14,2)</f>
        <v>0.08</v>
      </c>
    </row>
    <row r="170" spans="1:23" ht="15.75" customHeight="1">
      <c r="A170" s="24">
        <v>1169</v>
      </c>
      <c r="B170" s="10" t="s">
        <v>446</v>
      </c>
      <c r="C170" s="10" t="s">
        <v>447</v>
      </c>
      <c r="D170" s="41" t="str">
        <f>PROPER(TRIM(FatmaUsf[[#This Row],[Last Name]]&amp;" "&amp;FatmaUsf[[#This Row],[Last Name]]))</f>
        <v>Alaqre Alaqre</v>
      </c>
      <c r="E170" s="10" t="s">
        <v>99</v>
      </c>
      <c r="F170" s="10" t="s">
        <v>727</v>
      </c>
      <c r="G170" s="10" t="s">
        <v>17</v>
      </c>
      <c r="H170" s="11" t="s">
        <v>11</v>
      </c>
      <c r="I170" s="11" t="s">
        <v>264</v>
      </c>
      <c r="J170" s="12" t="s">
        <v>12</v>
      </c>
      <c r="K170" s="10" t="s">
        <v>963</v>
      </c>
      <c r="L170" s="13">
        <v>23</v>
      </c>
      <c r="M170" s="14">
        <v>10</v>
      </c>
      <c r="N170" s="14">
        <v>1992</v>
      </c>
      <c r="O170" s="46">
        <f>DATE(FatmaUsf[[#This Row],[Hire Year]],FatmaUsf[[#This Row],[Hire Month]],FatmaUsf[[#This Row],[Hire Day]])</f>
        <v>33900</v>
      </c>
      <c r="P170" s="46">
        <f t="shared" ca="1" si="2"/>
        <v>46071</v>
      </c>
      <c r="Q170" s="14">
        <f ca="1">DATEDIF(FatmaUsf[[#This Row],[Hiring Date]],FatmaUsf[[#This Row],[current date]],"Y")</f>
        <v>33</v>
      </c>
      <c r="R170" s="15">
        <v>2528</v>
      </c>
      <c r="S170" s="53">
        <f>FatmaUsf[[#This Row],[Salary]]*0.1</f>
        <v>252.8</v>
      </c>
      <c r="T170" s="16">
        <f>FatmaUsf[[#This Row],[Salary]]*0.03</f>
        <v>75.84</v>
      </c>
      <c r="U170" s="48">
        <f>FatmaUsf[[#This Row],[Salary]]-FatmaUsf[[#This Row],[Tax 10%]]+FatmaUsf[[#This Row],[Bonus 3%]]</f>
        <v>2351.04</v>
      </c>
      <c r="V170" s="17" t="str">
        <f>IF(FatmaUsf[[#This Row],[Net Salary]]&gt;=6000,"Over","Normal")</f>
        <v>Normal</v>
      </c>
      <c r="W170" s="57">
        <f>VLOOKUP(FatmaUsf[[#This Row],[Net Salary]],$Z$10:$AA$14,2)</f>
        <v>0.08</v>
      </c>
    </row>
    <row r="171" spans="1:23" ht="15.75" customHeight="1">
      <c r="A171" s="24">
        <v>1170</v>
      </c>
      <c r="B171" s="10" t="s">
        <v>102</v>
      </c>
      <c r="C171" s="10" t="s">
        <v>448</v>
      </c>
      <c r="D171" s="41" t="str">
        <f>PROPER(TRIM(FatmaUsf[[#This Row],[Last Name]]&amp;" "&amp;FatmaUsf[[#This Row],[Last Name]]))</f>
        <v>Eurman Eurman</v>
      </c>
      <c r="E171" s="10" t="s">
        <v>100</v>
      </c>
      <c r="F171" s="10" t="s">
        <v>728</v>
      </c>
      <c r="G171" s="10" t="s">
        <v>17</v>
      </c>
      <c r="H171" s="11" t="s">
        <v>11</v>
      </c>
      <c r="I171" s="11" t="s">
        <v>29</v>
      </c>
      <c r="J171" s="12" t="s">
        <v>10</v>
      </c>
      <c r="K171" s="10" t="s">
        <v>964</v>
      </c>
      <c r="L171" s="13">
        <v>9</v>
      </c>
      <c r="M171" s="14">
        <v>11</v>
      </c>
      <c r="N171" s="14">
        <v>2020</v>
      </c>
      <c r="O171" s="46">
        <f>DATE(FatmaUsf[[#This Row],[Hire Year]],FatmaUsf[[#This Row],[Hire Month]],FatmaUsf[[#This Row],[Hire Day]])</f>
        <v>44144</v>
      </c>
      <c r="P171" s="46">
        <f t="shared" ca="1" si="2"/>
        <v>46071</v>
      </c>
      <c r="Q171" s="14">
        <f ca="1">DATEDIF(FatmaUsf[[#This Row],[Hiring Date]],FatmaUsf[[#This Row],[current date]],"Y")</f>
        <v>5</v>
      </c>
      <c r="R171" s="15">
        <v>6040</v>
      </c>
      <c r="S171" s="53">
        <f>FatmaUsf[[#This Row],[Salary]]*0.1</f>
        <v>604</v>
      </c>
      <c r="T171" s="16">
        <f>FatmaUsf[[#This Row],[Salary]]*0.03</f>
        <v>181.2</v>
      </c>
      <c r="U171" s="48">
        <f>FatmaUsf[[#This Row],[Salary]]-FatmaUsf[[#This Row],[Tax 10%]]+FatmaUsf[[#This Row],[Bonus 3%]]</f>
        <v>5617.2</v>
      </c>
      <c r="V171" s="17" t="str">
        <f>IF(FatmaUsf[[#This Row],[Net Salary]]&gt;=6000,"Over","Normal")</f>
        <v>Normal</v>
      </c>
      <c r="W171" s="57">
        <f>VLOOKUP(FatmaUsf[[#This Row],[Net Salary]],$Z$10:$AA$14,2)</f>
        <v>0.05</v>
      </c>
    </row>
    <row r="172" spans="1:23" ht="15.75" customHeight="1">
      <c r="A172" s="24">
        <v>1171</v>
      </c>
      <c r="B172" s="10" t="s">
        <v>449</v>
      </c>
      <c r="C172" s="10" t="s">
        <v>123</v>
      </c>
      <c r="D172" s="41" t="str">
        <f>PROPER(TRIM(FatmaUsf[[#This Row],[Last Name]]&amp;" "&amp;FatmaUsf[[#This Row],[Last Name]]))</f>
        <v>Salim Salim</v>
      </c>
      <c r="E172" s="10" t="s">
        <v>100</v>
      </c>
      <c r="F172" s="10" t="s">
        <v>729</v>
      </c>
      <c r="G172" s="10" t="s">
        <v>1100</v>
      </c>
      <c r="H172" s="11" t="s">
        <v>22</v>
      </c>
      <c r="I172" s="11" t="s">
        <v>18</v>
      </c>
      <c r="J172" s="12" t="s">
        <v>23</v>
      </c>
      <c r="K172" s="10" t="s">
        <v>222</v>
      </c>
      <c r="L172" s="13">
        <v>15</v>
      </c>
      <c r="M172" s="14">
        <v>12</v>
      </c>
      <c r="N172" s="14">
        <v>2009</v>
      </c>
      <c r="O172" s="46">
        <f>DATE(FatmaUsf[[#This Row],[Hire Year]],FatmaUsf[[#This Row],[Hire Month]],FatmaUsf[[#This Row],[Hire Day]])</f>
        <v>40162</v>
      </c>
      <c r="P172" s="46">
        <f t="shared" ca="1" si="2"/>
        <v>46071</v>
      </c>
      <c r="Q172" s="14">
        <f ca="1">DATEDIF(FatmaUsf[[#This Row],[Hiring Date]],FatmaUsf[[#This Row],[current date]],"Y")</f>
        <v>16</v>
      </c>
      <c r="R172" s="15">
        <v>3842</v>
      </c>
      <c r="S172" s="53">
        <f>FatmaUsf[[#This Row],[Salary]]*0.1</f>
        <v>384.20000000000005</v>
      </c>
      <c r="T172" s="16">
        <f>FatmaUsf[[#This Row],[Salary]]*0.03</f>
        <v>115.25999999999999</v>
      </c>
      <c r="U172" s="48">
        <f>FatmaUsf[[#This Row],[Salary]]-FatmaUsf[[#This Row],[Tax 10%]]+FatmaUsf[[#This Row],[Bonus 3%]]</f>
        <v>3573.0600000000004</v>
      </c>
      <c r="V172" s="17" t="str">
        <f>IF(FatmaUsf[[#This Row],[Net Salary]]&gt;=6000,"Over","Normal")</f>
        <v>Normal</v>
      </c>
      <c r="W172" s="57">
        <f>VLOOKUP(FatmaUsf[[#This Row],[Net Salary]],$Z$10:$AA$14,2)</f>
        <v>0.05</v>
      </c>
    </row>
    <row r="173" spans="1:23" ht="15.75" customHeight="1">
      <c r="A173" s="24">
        <v>1172</v>
      </c>
      <c r="B173" s="10" t="s">
        <v>118</v>
      </c>
      <c r="C173" s="10" t="s">
        <v>450</v>
      </c>
      <c r="D173" s="41" t="str">
        <f>PROPER(TRIM(FatmaUsf[[#This Row],[Last Name]]&amp;" "&amp;FatmaUsf[[#This Row],[Last Name]]))</f>
        <v>Altahhan Altahhan</v>
      </c>
      <c r="E173" s="10" t="s">
        <v>99</v>
      </c>
      <c r="F173" s="10" t="s">
        <v>730</v>
      </c>
      <c r="G173" s="10" t="s">
        <v>17</v>
      </c>
      <c r="H173" s="11" t="s">
        <v>8</v>
      </c>
      <c r="I173" s="11" t="s">
        <v>264</v>
      </c>
      <c r="J173" s="12" t="s">
        <v>12</v>
      </c>
      <c r="K173" s="10" t="s">
        <v>965</v>
      </c>
      <c r="L173" s="13">
        <v>6</v>
      </c>
      <c r="M173" s="14">
        <v>12</v>
      </c>
      <c r="N173" s="14">
        <v>1992</v>
      </c>
      <c r="O173" s="46">
        <f>DATE(FatmaUsf[[#This Row],[Hire Year]],FatmaUsf[[#This Row],[Hire Month]],FatmaUsf[[#This Row],[Hire Day]])</f>
        <v>33944</v>
      </c>
      <c r="P173" s="46">
        <f t="shared" ca="1" si="2"/>
        <v>46071</v>
      </c>
      <c r="Q173" s="14">
        <f ca="1">DATEDIF(FatmaUsf[[#This Row],[Hiring Date]],FatmaUsf[[#This Row],[current date]],"Y")</f>
        <v>33</v>
      </c>
      <c r="R173" s="15">
        <v>1542</v>
      </c>
      <c r="S173" s="53">
        <f>FatmaUsf[[#This Row],[Salary]]*0.1</f>
        <v>154.20000000000002</v>
      </c>
      <c r="T173" s="16">
        <f>FatmaUsf[[#This Row],[Salary]]*0.03</f>
        <v>46.26</v>
      </c>
      <c r="U173" s="48">
        <f>FatmaUsf[[#This Row],[Salary]]-FatmaUsf[[#This Row],[Tax 10%]]+FatmaUsf[[#This Row],[Bonus 3%]]</f>
        <v>1434.06</v>
      </c>
      <c r="V173" s="17" t="str">
        <f>IF(FatmaUsf[[#This Row],[Net Salary]]&gt;=6000,"Over","Normal")</f>
        <v>Normal</v>
      </c>
      <c r="W173" s="57">
        <f>VLOOKUP(FatmaUsf[[#This Row],[Net Salary]],$Z$10:$AA$14,2)</f>
        <v>0.08</v>
      </c>
    </row>
    <row r="174" spans="1:23" ht="15.75" customHeight="1">
      <c r="A174" s="24">
        <v>1173</v>
      </c>
      <c r="B174" s="10" t="s">
        <v>451</v>
      </c>
      <c r="C174" s="10" t="s">
        <v>452</v>
      </c>
      <c r="D174" s="41" t="str">
        <f>PROPER(TRIM(FatmaUsf[[#This Row],[Last Name]]&amp;" "&amp;FatmaUsf[[#This Row],[Last Name]]))</f>
        <v>Shakur Shakur</v>
      </c>
      <c r="E174" s="10" t="s">
        <v>100</v>
      </c>
      <c r="F174" s="10" t="s">
        <v>731</v>
      </c>
      <c r="G174" s="10" t="s">
        <v>17</v>
      </c>
      <c r="H174" s="11" t="s">
        <v>14</v>
      </c>
      <c r="I174" s="11" t="s">
        <v>9</v>
      </c>
      <c r="J174" s="12" t="s">
        <v>10</v>
      </c>
      <c r="K174" s="10" t="s">
        <v>966</v>
      </c>
      <c r="L174" s="13">
        <v>8</v>
      </c>
      <c r="M174" s="14">
        <v>10</v>
      </c>
      <c r="N174" s="14">
        <v>2011</v>
      </c>
      <c r="O174" s="46">
        <f>DATE(FatmaUsf[[#This Row],[Hire Year]],FatmaUsf[[#This Row],[Hire Month]],FatmaUsf[[#This Row],[Hire Day]])</f>
        <v>40824</v>
      </c>
      <c r="P174" s="46">
        <f t="shared" ca="1" si="2"/>
        <v>46071</v>
      </c>
      <c r="Q174" s="14">
        <f ca="1">DATEDIF(FatmaUsf[[#This Row],[Hiring Date]],FatmaUsf[[#This Row],[current date]],"Y")</f>
        <v>14</v>
      </c>
      <c r="R174" s="15">
        <v>3134</v>
      </c>
      <c r="S174" s="53">
        <f>FatmaUsf[[#This Row],[Salary]]*0.1</f>
        <v>313.40000000000003</v>
      </c>
      <c r="T174" s="16">
        <f>FatmaUsf[[#This Row],[Salary]]*0.03</f>
        <v>94.02</v>
      </c>
      <c r="U174" s="48">
        <f>FatmaUsf[[#This Row],[Salary]]-FatmaUsf[[#This Row],[Tax 10%]]+FatmaUsf[[#This Row],[Bonus 3%]]</f>
        <v>2914.62</v>
      </c>
      <c r="V174" s="17" t="str">
        <f>IF(FatmaUsf[[#This Row],[Net Salary]]&gt;=6000,"Over","Normal")</f>
        <v>Normal</v>
      </c>
      <c r="W174" s="57">
        <f>VLOOKUP(FatmaUsf[[#This Row],[Net Salary]],$Z$10:$AA$14,2)</f>
        <v>0.08</v>
      </c>
    </row>
    <row r="175" spans="1:23" ht="15.75" customHeight="1">
      <c r="A175" s="24">
        <v>1174</v>
      </c>
      <c r="B175" s="10" t="s">
        <v>453</v>
      </c>
      <c r="C175" s="10" t="s">
        <v>454</v>
      </c>
      <c r="D175" s="41" t="str">
        <f>PROPER(TRIM(FatmaUsf[[#This Row],[Last Name]]&amp;" "&amp;FatmaUsf[[#This Row],[Last Name]]))</f>
        <v>Eabidin Eabidin</v>
      </c>
      <c r="E175" s="10" t="s">
        <v>100</v>
      </c>
      <c r="F175" s="10" t="s">
        <v>732</v>
      </c>
      <c r="G175" s="10" t="s">
        <v>17</v>
      </c>
      <c r="H175" s="11" t="s">
        <v>11</v>
      </c>
      <c r="I175" s="11" t="s">
        <v>25</v>
      </c>
      <c r="J175" s="12" t="s">
        <v>12</v>
      </c>
      <c r="K175" s="10" t="s">
        <v>967</v>
      </c>
      <c r="L175" s="13">
        <v>24</v>
      </c>
      <c r="M175" s="14">
        <v>4</v>
      </c>
      <c r="N175" s="14">
        <v>1993</v>
      </c>
      <c r="O175" s="46">
        <f>DATE(FatmaUsf[[#This Row],[Hire Year]],FatmaUsf[[#This Row],[Hire Month]],FatmaUsf[[#This Row],[Hire Day]])</f>
        <v>34083</v>
      </c>
      <c r="P175" s="46">
        <f t="shared" ca="1" si="2"/>
        <v>46071</v>
      </c>
      <c r="Q175" s="14">
        <f ca="1">DATEDIF(FatmaUsf[[#This Row],[Hiring Date]],FatmaUsf[[#This Row],[current date]],"Y")</f>
        <v>32</v>
      </c>
      <c r="R175" s="15">
        <v>4921</v>
      </c>
      <c r="S175" s="53">
        <f>FatmaUsf[[#This Row],[Salary]]*0.1</f>
        <v>492.1</v>
      </c>
      <c r="T175" s="16">
        <f>FatmaUsf[[#This Row],[Salary]]*0.03</f>
        <v>147.63</v>
      </c>
      <c r="U175" s="48">
        <f>FatmaUsf[[#This Row],[Salary]]-FatmaUsf[[#This Row],[Tax 10%]]+FatmaUsf[[#This Row],[Bonus 3%]]</f>
        <v>4576.53</v>
      </c>
      <c r="V175" s="17" t="str">
        <f>IF(FatmaUsf[[#This Row],[Net Salary]]&gt;=6000,"Over","Normal")</f>
        <v>Normal</v>
      </c>
      <c r="W175" s="57">
        <f>VLOOKUP(FatmaUsf[[#This Row],[Net Salary]],$Z$10:$AA$14,2)</f>
        <v>0.05</v>
      </c>
    </row>
    <row r="176" spans="1:23" ht="15.75" customHeight="1">
      <c r="A176" s="24">
        <v>1175</v>
      </c>
      <c r="B176" s="10" t="s">
        <v>455</v>
      </c>
      <c r="C176" s="10" t="s">
        <v>456</v>
      </c>
      <c r="D176" s="41" t="str">
        <f>PROPER(TRIM(FatmaUsf[[#This Row],[Last Name]]&amp;" "&amp;FatmaUsf[[#This Row],[Last Name]]))</f>
        <v>Sadqawi Sadqawi</v>
      </c>
      <c r="E176" s="10" t="s">
        <v>99</v>
      </c>
      <c r="F176" s="10" t="s">
        <v>733</v>
      </c>
      <c r="G176" s="10" t="s">
        <v>17</v>
      </c>
      <c r="H176" s="11" t="s">
        <v>11</v>
      </c>
      <c r="I176" s="11" t="s">
        <v>264</v>
      </c>
      <c r="J176" s="12" t="s">
        <v>10</v>
      </c>
      <c r="K176" s="10" t="s">
        <v>968</v>
      </c>
      <c r="L176" s="13">
        <v>21</v>
      </c>
      <c r="M176" s="14">
        <v>5</v>
      </c>
      <c r="N176" s="14">
        <v>2008</v>
      </c>
      <c r="O176" s="46">
        <f>DATE(FatmaUsf[[#This Row],[Hire Year]],FatmaUsf[[#This Row],[Hire Month]],FatmaUsf[[#This Row],[Hire Day]])</f>
        <v>39589</v>
      </c>
      <c r="P176" s="46">
        <f t="shared" ca="1" si="2"/>
        <v>46071</v>
      </c>
      <c r="Q176" s="14">
        <f ca="1">DATEDIF(FatmaUsf[[#This Row],[Hiring Date]],FatmaUsf[[#This Row],[current date]],"Y")</f>
        <v>17</v>
      </c>
      <c r="R176" s="15">
        <v>1948</v>
      </c>
      <c r="S176" s="53">
        <f>FatmaUsf[[#This Row],[Salary]]*0.1</f>
        <v>194.8</v>
      </c>
      <c r="T176" s="16">
        <f>FatmaUsf[[#This Row],[Salary]]*0.03</f>
        <v>58.44</v>
      </c>
      <c r="U176" s="48">
        <f>FatmaUsf[[#This Row],[Salary]]-FatmaUsf[[#This Row],[Tax 10%]]+FatmaUsf[[#This Row],[Bonus 3%]]</f>
        <v>1811.64</v>
      </c>
      <c r="V176" s="17" t="str">
        <f>IF(FatmaUsf[[#This Row],[Net Salary]]&gt;=6000,"Over","Normal")</f>
        <v>Normal</v>
      </c>
      <c r="W176" s="57">
        <f>VLOOKUP(FatmaUsf[[#This Row],[Net Salary]],$Z$10:$AA$14,2)</f>
        <v>0.08</v>
      </c>
    </row>
    <row r="177" spans="1:23" ht="15.75" customHeight="1">
      <c r="A177" s="24">
        <v>1176</v>
      </c>
      <c r="B177" s="10" t="s">
        <v>126</v>
      </c>
      <c r="C177" s="10" t="s">
        <v>457</v>
      </c>
      <c r="D177" s="41" t="str">
        <f>PROPER(TRIM(FatmaUsf[[#This Row],[Last Name]]&amp;" "&amp;FatmaUsf[[#This Row],[Last Name]]))</f>
        <v>Altaynawi Altaynawi</v>
      </c>
      <c r="E177" s="10" t="s">
        <v>100</v>
      </c>
      <c r="F177" s="10" t="s">
        <v>734</v>
      </c>
      <c r="G177" s="10" t="s">
        <v>19</v>
      </c>
      <c r="H177" s="11" t="s">
        <v>11</v>
      </c>
      <c r="I177" s="11" t="s">
        <v>25</v>
      </c>
      <c r="J177" s="12" t="s">
        <v>20</v>
      </c>
      <c r="K177" s="10" t="s">
        <v>969</v>
      </c>
      <c r="L177" s="13">
        <v>23</v>
      </c>
      <c r="M177" s="14">
        <v>6</v>
      </c>
      <c r="N177" s="14">
        <v>2004</v>
      </c>
      <c r="O177" s="46">
        <f>DATE(FatmaUsf[[#This Row],[Hire Year]],FatmaUsf[[#This Row],[Hire Month]],FatmaUsf[[#This Row],[Hire Day]])</f>
        <v>38161</v>
      </c>
      <c r="P177" s="46">
        <f t="shared" ca="1" si="2"/>
        <v>46071</v>
      </c>
      <c r="Q177" s="14">
        <f ca="1">DATEDIF(FatmaUsf[[#This Row],[Hiring Date]],FatmaUsf[[#This Row],[current date]],"Y")</f>
        <v>21</v>
      </c>
      <c r="R177" s="15">
        <v>3294</v>
      </c>
      <c r="S177" s="53">
        <f>FatmaUsf[[#This Row],[Salary]]*0.1</f>
        <v>329.40000000000003</v>
      </c>
      <c r="T177" s="16">
        <f>FatmaUsf[[#This Row],[Salary]]*0.03</f>
        <v>98.82</v>
      </c>
      <c r="U177" s="48">
        <f>FatmaUsf[[#This Row],[Salary]]-FatmaUsf[[#This Row],[Tax 10%]]+FatmaUsf[[#This Row],[Bonus 3%]]</f>
        <v>3063.42</v>
      </c>
      <c r="V177" s="17" t="str">
        <f>IF(FatmaUsf[[#This Row],[Net Salary]]&gt;=6000,"Over","Normal")</f>
        <v>Normal</v>
      </c>
      <c r="W177" s="57">
        <f>VLOOKUP(FatmaUsf[[#This Row],[Net Salary]],$Z$10:$AA$14,2)</f>
        <v>0.05</v>
      </c>
    </row>
    <row r="178" spans="1:23" ht="15.75" customHeight="1">
      <c r="A178" s="24">
        <v>1177</v>
      </c>
      <c r="B178" s="10" t="s">
        <v>458</v>
      </c>
      <c r="C178" s="10" t="s">
        <v>459</v>
      </c>
      <c r="D178" s="41" t="str">
        <f>PROPER(TRIM(FatmaUsf[[#This Row],[Last Name]]&amp;" "&amp;FatmaUsf[[#This Row],[Last Name]]))</f>
        <v>Fahd Fahd</v>
      </c>
      <c r="E178" s="10" t="s">
        <v>100</v>
      </c>
      <c r="F178" s="10" t="s">
        <v>735</v>
      </c>
      <c r="G178" s="10" t="s">
        <v>1100</v>
      </c>
      <c r="H178" s="11" t="s">
        <v>22</v>
      </c>
      <c r="I178" s="11" t="s">
        <v>264</v>
      </c>
      <c r="J178" s="12" t="s">
        <v>10</v>
      </c>
      <c r="K178" s="10" t="s">
        <v>970</v>
      </c>
      <c r="L178" s="13">
        <v>26</v>
      </c>
      <c r="M178" s="14">
        <v>7</v>
      </c>
      <c r="N178" s="14">
        <v>2010</v>
      </c>
      <c r="O178" s="46">
        <f>DATE(FatmaUsf[[#This Row],[Hire Year]],FatmaUsf[[#This Row],[Hire Month]],FatmaUsf[[#This Row],[Hire Day]])</f>
        <v>40385</v>
      </c>
      <c r="P178" s="46">
        <f t="shared" ca="1" si="2"/>
        <v>46071</v>
      </c>
      <c r="Q178" s="14">
        <f ca="1">DATEDIF(FatmaUsf[[#This Row],[Hiring Date]],FatmaUsf[[#This Row],[current date]],"Y")</f>
        <v>15</v>
      </c>
      <c r="R178" s="15">
        <v>7123</v>
      </c>
      <c r="S178" s="53">
        <f>FatmaUsf[[#This Row],[Salary]]*0.1</f>
        <v>712.30000000000007</v>
      </c>
      <c r="T178" s="16">
        <f>FatmaUsf[[#This Row],[Salary]]*0.03</f>
        <v>213.69</v>
      </c>
      <c r="U178" s="48">
        <f>FatmaUsf[[#This Row],[Salary]]-FatmaUsf[[#This Row],[Tax 10%]]+FatmaUsf[[#This Row],[Bonus 3%]]</f>
        <v>6624.3899999999994</v>
      </c>
      <c r="V178" s="17" t="str">
        <f>IF(FatmaUsf[[#This Row],[Net Salary]]&gt;=6000,"Over","Normal")</f>
        <v>Over</v>
      </c>
      <c r="W178" s="57">
        <f>VLOOKUP(FatmaUsf[[#This Row],[Net Salary]],$Z$10:$AA$14,2)</f>
        <v>0.02</v>
      </c>
    </row>
    <row r="179" spans="1:23" ht="15.75" customHeight="1">
      <c r="A179" s="24">
        <v>1178</v>
      </c>
      <c r="B179" s="10" t="s">
        <v>123</v>
      </c>
      <c r="C179" s="10" t="s">
        <v>460</v>
      </c>
      <c r="D179" s="41" t="str">
        <f>PROPER(TRIM(FatmaUsf[[#This Row],[Last Name]]&amp;" "&amp;FatmaUsf[[#This Row],[Last Name]]))</f>
        <v>Aleabd Aleabd</v>
      </c>
      <c r="E179" s="10" t="s">
        <v>100</v>
      </c>
      <c r="F179" s="10" t="s">
        <v>736</v>
      </c>
      <c r="G179" s="10" t="s">
        <v>13</v>
      </c>
      <c r="H179" s="11" t="s">
        <v>14</v>
      </c>
      <c r="I179" s="11" t="s">
        <v>25</v>
      </c>
      <c r="J179" s="12" t="s">
        <v>23</v>
      </c>
      <c r="K179" s="10" t="s">
        <v>971</v>
      </c>
      <c r="L179" s="13">
        <v>24</v>
      </c>
      <c r="M179" s="14">
        <v>6</v>
      </c>
      <c r="N179" s="14">
        <v>2015</v>
      </c>
      <c r="O179" s="46">
        <f>DATE(FatmaUsf[[#This Row],[Hire Year]],FatmaUsf[[#This Row],[Hire Month]],FatmaUsf[[#This Row],[Hire Day]])</f>
        <v>42179</v>
      </c>
      <c r="P179" s="46">
        <f t="shared" ca="1" si="2"/>
        <v>46071</v>
      </c>
      <c r="Q179" s="14">
        <f ca="1">DATEDIF(FatmaUsf[[#This Row],[Hiring Date]],FatmaUsf[[#This Row],[current date]],"Y")</f>
        <v>10</v>
      </c>
      <c r="R179" s="15">
        <v>7236</v>
      </c>
      <c r="S179" s="53">
        <f>FatmaUsf[[#This Row],[Salary]]*0.1</f>
        <v>723.6</v>
      </c>
      <c r="T179" s="16">
        <f>FatmaUsf[[#This Row],[Salary]]*0.03</f>
        <v>217.07999999999998</v>
      </c>
      <c r="U179" s="48">
        <f>FatmaUsf[[#This Row],[Salary]]-FatmaUsf[[#This Row],[Tax 10%]]+FatmaUsf[[#This Row],[Bonus 3%]]</f>
        <v>6729.48</v>
      </c>
      <c r="V179" s="17" t="str">
        <f>IF(FatmaUsf[[#This Row],[Net Salary]]&gt;=6000,"Over","Normal")</f>
        <v>Over</v>
      </c>
      <c r="W179" s="57">
        <f>VLOOKUP(FatmaUsf[[#This Row],[Net Salary]],$Z$10:$AA$14,2)</f>
        <v>0.02</v>
      </c>
    </row>
    <row r="180" spans="1:23" ht="15.75" customHeight="1">
      <c r="A180" s="24">
        <v>1179</v>
      </c>
      <c r="B180" s="10" t="s">
        <v>330</v>
      </c>
      <c r="C180" s="10" t="s">
        <v>461</v>
      </c>
      <c r="D180" s="41" t="str">
        <f>PROPER(TRIM(FatmaUsf[[#This Row],[Last Name]]&amp;" "&amp;FatmaUsf[[#This Row],[Last Name]]))</f>
        <v>Allaham Allaham</v>
      </c>
      <c r="E180" s="10" t="s">
        <v>100</v>
      </c>
      <c r="F180" s="10" t="s">
        <v>737</v>
      </c>
      <c r="G180" s="10" t="s">
        <v>1100</v>
      </c>
      <c r="H180" s="11" t="s">
        <v>11</v>
      </c>
      <c r="I180" s="11" t="s">
        <v>25</v>
      </c>
      <c r="J180" s="12" t="s">
        <v>12</v>
      </c>
      <c r="K180" s="10" t="s">
        <v>972</v>
      </c>
      <c r="L180" s="13">
        <v>4</v>
      </c>
      <c r="M180" s="14">
        <v>8</v>
      </c>
      <c r="N180" s="14">
        <v>2004</v>
      </c>
      <c r="O180" s="46">
        <f>DATE(FatmaUsf[[#This Row],[Hire Year]],FatmaUsf[[#This Row],[Hire Month]],FatmaUsf[[#This Row],[Hire Day]])</f>
        <v>38203</v>
      </c>
      <c r="P180" s="46">
        <f t="shared" ca="1" si="2"/>
        <v>46071</v>
      </c>
      <c r="Q180" s="14">
        <f ca="1">DATEDIF(FatmaUsf[[#This Row],[Hiring Date]],FatmaUsf[[#This Row],[current date]],"Y")</f>
        <v>21</v>
      </c>
      <c r="R180" s="15">
        <v>6843</v>
      </c>
      <c r="S180" s="53">
        <f>FatmaUsf[[#This Row],[Salary]]*0.1</f>
        <v>684.30000000000007</v>
      </c>
      <c r="T180" s="16">
        <f>FatmaUsf[[#This Row],[Salary]]*0.03</f>
        <v>205.29</v>
      </c>
      <c r="U180" s="48">
        <f>FatmaUsf[[#This Row],[Salary]]-FatmaUsf[[#This Row],[Tax 10%]]+FatmaUsf[[#This Row],[Bonus 3%]]</f>
        <v>6363.99</v>
      </c>
      <c r="V180" s="17" t="str">
        <f>IF(FatmaUsf[[#This Row],[Net Salary]]&gt;=6000,"Over","Normal")</f>
        <v>Over</v>
      </c>
      <c r="W180" s="57">
        <f>VLOOKUP(FatmaUsf[[#This Row],[Net Salary]],$Z$10:$AA$14,2)</f>
        <v>0.02</v>
      </c>
    </row>
    <row r="181" spans="1:23" ht="15.75" customHeight="1">
      <c r="A181" s="24">
        <v>1180</v>
      </c>
      <c r="B181" s="10" t="s">
        <v>462</v>
      </c>
      <c r="C181" s="10" t="s">
        <v>463</v>
      </c>
      <c r="D181" s="41" t="str">
        <f>PROPER(TRIM(FatmaUsf[[#This Row],[Last Name]]&amp;" "&amp;FatmaUsf[[#This Row],[Last Name]]))</f>
        <v>Eisaf Eisaf</v>
      </c>
      <c r="E181" s="10" t="s">
        <v>99</v>
      </c>
      <c r="F181" s="10" t="s">
        <v>738</v>
      </c>
      <c r="G181" s="10" t="s">
        <v>1100</v>
      </c>
      <c r="H181" s="11" t="s">
        <v>11</v>
      </c>
      <c r="I181" s="11" t="s">
        <v>25</v>
      </c>
      <c r="J181" s="12" t="s">
        <v>10</v>
      </c>
      <c r="K181" s="10" t="s">
        <v>973</v>
      </c>
      <c r="L181" s="13">
        <v>26</v>
      </c>
      <c r="M181" s="14">
        <v>3</v>
      </c>
      <c r="N181" s="14">
        <v>2014</v>
      </c>
      <c r="O181" s="46">
        <f>DATE(FatmaUsf[[#This Row],[Hire Year]],FatmaUsf[[#This Row],[Hire Month]],FatmaUsf[[#This Row],[Hire Day]])</f>
        <v>41724</v>
      </c>
      <c r="P181" s="46">
        <f t="shared" ca="1" si="2"/>
        <v>46071</v>
      </c>
      <c r="Q181" s="14">
        <f ca="1">DATEDIF(FatmaUsf[[#This Row],[Hiring Date]],FatmaUsf[[#This Row],[current date]],"Y")</f>
        <v>11</v>
      </c>
      <c r="R181" s="15">
        <v>1070</v>
      </c>
      <c r="S181" s="53">
        <f>FatmaUsf[[#This Row],[Salary]]*0.1</f>
        <v>107</v>
      </c>
      <c r="T181" s="16">
        <f>FatmaUsf[[#This Row],[Salary]]*0.03</f>
        <v>32.1</v>
      </c>
      <c r="U181" s="48">
        <f>FatmaUsf[[#This Row],[Salary]]-FatmaUsf[[#This Row],[Tax 10%]]+FatmaUsf[[#This Row],[Bonus 3%]]</f>
        <v>995.1</v>
      </c>
      <c r="V181" s="17" t="str">
        <f>IF(FatmaUsf[[#This Row],[Net Salary]]&gt;=6000,"Over","Normal")</f>
        <v>Normal</v>
      </c>
      <c r="W181" s="57">
        <f>VLOOKUP(FatmaUsf[[#This Row],[Net Salary]],$Z$10:$AA$14,2)</f>
        <v>0.1</v>
      </c>
    </row>
    <row r="182" spans="1:23" ht="15.75" customHeight="1">
      <c r="A182" s="24">
        <v>1181</v>
      </c>
      <c r="B182" s="10" t="s">
        <v>464</v>
      </c>
      <c r="C182" s="10" t="s">
        <v>465</v>
      </c>
      <c r="D182" s="41" t="str">
        <f>PROPER(TRIM(FatmaUsf[[#This Row],[Last Name]]&amp;" "&amp;FatmaUsf[[#This Row],[Last Name]]))</f>
        <v>Qadish Qadish</v>
      </c>
      <c r="E182" s="10" t="s">
        <v>99</v>
      </c>
      <c r="F182" s="10" t="s">
        <v>739</v>
      </c>
      <c r="G182" s="10" t="s">
        <v>13</v>
      </c>
      <c r="H182" s="11" t="s">
        <v>8</v>
      </c>
      <c r="I182" s="11" t="s">
        <v>25</v>
      </c>
      <c r="J182" s="12" t="s">
        <v>20</v>
      </c>
      <c r="K182" s="10" t="s">
        <v>974</v>
      </c>
      <c r="L182" s="13">
        <v>27</v>
      </c>
      <c r="M182" s="14">
        <v>5</v>
      </c>
      <c r="N182" s="14">
        <v>2013</v>
      </c>
      <c r="O182" s="46">
        <f>DATE(FatmaUsf[[#This Row],[Hire Year]],FatmaUsf[[#This Row],[Hire Month]],FatmaUsf[[#This Row],[Hire Day]])</f>
        <v>41421</v>
      </c>
      <c r="P182" s="46">
        <f t="shared" ca="1" si="2"/>
        <v>46071</v>
      </c>
      <c r="Q182" s="14">
        <f ca="1">DATEDIF(FatmaUsf[[#This Row],[Hiring Date]],FatmaUsf[[#This Row],[current date]],"Y")</f>
        <v>12</v>
      </c>
      <c r="R182" s="15">
        <v>1493</v>
      </c>
      <c r="S182" s="53">
        <f>FatmaUsf[[#This Row],[Salary]]*0.1</f>
        <v>149.30000000000001</v>
      </c>
      <c r="T182" s="16">
        <f>FatmaUsf[[#This Row],[Salary]]*0.03</f>
        <v>44.79</v>
      </c>
      <c r="U182" s="48">
        <f>FatmaUsf[[#This Row],[Salary]]-FatmaUsf[[#This Row],[Tax 10%]]+FatmaUsf[[#This Row],[Bonus 3%]]</f>
        <v>1388.49</v>
      </c>
      <c r="V182" s="17" t="str">
        <f>IF(FatmaUsf[[#This Row],[Net Salary]]&gt;=6000,"Over","Normal")</f>
        <v>Normal</v>
      </c>
      <c r="W182" s="57">
        <f>VLOOKUP(FatmaUsf[[#This Row],[Net Salary]],$Z$10:$AA$14,2)</f>
        <v>0.08</v>
      </c>
    </row>
    <row r="183" spans="1:23" ht="15.75" customHeight="1">
      <c r="A183" s="24">
        <v>1182</v>
      </c>
      <c r="B183" s="10" t="s">
        <v>466</v>
      </c>
      <c r="C183" s="10" t="s">
        <v>192</v>
      </c>
      <c r="D183" s="41" t="str">
        <f>PROPER(TRIM(FatmaUsf[[#This Row],[Last Name]]&amp;" "&amp;FatmaUsf[[#This Row],[Last Name]]))</f>
        <v>Almisri Almisri</v>
      </c>
      <c r="E183" s="10" t="s">
        <v>99</v>
      </c>
      <c r="F183" s="10" t="s">
        <v>740</v>
      </c>
      <c r="G183" s="10" t="s">
        <v>19</v>
      </c>
      <c r="H183" s="11" t="s">
        <v>11</v>
      </c>
      <c r="I183" s="11" t="s">
        <v>25</v>
      </c>
      <c r="J183" s="12" t="s">
        <v>12</v>
      </c>
      <c r="K183" s="10" t="s">
        <v>975</v>
      </c>
      <c r="L183" s="13">
        <v>25</v>
      </c>
      <c r="M183" s="14">
        <v>3</v>
      </c>
      <c r="N183" s="14">
        <v>2012</v>
      </c>
      <c r="O183" s="46">
        <f>DATE(FatmaUsf[[#This Row],[Hire Year]],FatmaUsf[[#This Row],[Hire Month]],FatmaUsf[[#This Row],[Hire Day]])</f>
        <v>40993</v>
      </c>
      <c r="P183" s="46">
        <f t="shared" ca="1" si="2"/>
        <v>46071</v>
      </c>
      <c r="Q183" s="14">
        <f ca="1">DATEDIF(FatmaUsf[[#This Row],[Hiring Date]],FatmaUsf[[#This Row],[current date]],"Y")</f>
        <v>13</v>
      </c>
      <c r="R183" s="15">
        <v>5857</v>
      </c>
      <c r="S183" s="53">
        <f>FatmaUsf[[#This Row],[Salary]]*0.1</f>
        <v>585.70000000000005</v>
      </c>
      <c r="T183" s="16">
        <f>FatmaUsf[[#This Row],[Salary]]*0.03</f>
        <v>175.70999999999998</v>
      </c>
      <c r="U183" s="48">
        <f>FatmaUsf[[#This Row],[Salary]]-FatmaUsf[[#This Row],[Tax 10%]]+FatmaUsf[[#This Row],[Bonus 3%]]</f>
        <v>5447.01</v>
      </c>
      <c r="V183" s="17" t="str">
        <f>IF(FatmaUsf[[#This Row],[Net Salary]]&gt;=6000,"Over","Normal")</f>
        <v>Normal</v>
      </c>
      <c r="W183" s="57">
        <f>VLOOKUP(FatmaUsf[[#This Row],[Net Salary]],$Z$10:$AA$14,2)</f>
        <v>0.05</v>
      </c>
    </row>
    <row r="184" spans="1:23" ht="15.75" customHeight="1">
      <c r="A184" s="24">
        <v>1183</v>
      </c>
      <c r="B184" s="10" t="s">
        <v>446</v>
      </c>
      <c r="C184" s="10" t="s">
        <v>467</v>
      </c>
      <c r="D184" s="41" t="str">
        <f>PROPER(TRIM(FatmaUsf[[#This Row],[Last Name]]&amp;" "&amp;FatmaUsf[[#This Row],[Last Name]]))</f>
        <v>Zaki Zaki</v>
      </c>
      <c r="E184" s="10" t="s">
        <v>99</v>
      </c>
      <c r="F184" s="10" t="s">
        <v>741</v>
      </c>
      <c r="G184" s="10" t="s">
        <v>19</v>
      </c>
      <c r="H184" s="11" t="s">
        <v>8</v>
      </c>
      <c r="I184" s="11" t="s">
        <v>264</v>
      </c>
      <c r="J184" s="12" t="s">
        <v>10</v>
      </c>
      <c r="K184" s="10" t="s">
        <v>976</v>
      </c>
      <c r="L184" s="13">
        <v>22</v>
      </c>
      <c r="M184" s="14">
        <v>9</v>
      </c>
      <c r="N184" s="14">
        <v>2004</v>
      </c>
      <c r="O184" s="46">
        <f>DATE(FatmaUsf[[#This Row],[Hire Year]],FatmaUsf[[#This Row],[Hire Month]],FatmaUsf[[#This Row],[Hire Day]])</f>
        <v>38252</v>
      </c>
      <c r="P184" s="46">
        <f t="shared" ca="1" si="2"/>
        <v>46071</v>
      </c>
      <c r="Q184" s="14">
        <f ca="1">DATEDIF(FatmaUsf[[#This Row],[Hiring Date]],FatmaUsf[[#This Row],[current date]],"Y")</f>
        <v>21</v>
      </c>
      <c r="R184" s="15">
        <v>5278</v>
      </c>
      <c r="S184" s="53">
        <f>FatmaUsf[[#This Row],[Salary]]*0.1</f>
        <v>527.80000000000007</v>
      </c>
      <c r="T184" s="16">
        <f>FatmaUsf[[#This Row],[Salary]]*0.03</f>
        <v>158.34</v>
      </c>
      <c r="U184" s="48">
        <f>FatmaUsf[[#This Row],[Salary]]-FatmaUsf[[#This Row],[Tax 10%]]+FatmaUsf[[#This Row],[Bonus 3%]]</f>
        <v>4908.54</v>
      </c>
      <c r="V184" s="17" t="str">
        <f>IF(FatmaUsf[[#This Row],[Net Salary]]&gt;=6000,"Over","Normal")</f>
        <v>Normal</v>
      </c>
      <c r="W184" s="57">
        <f>VLOOKUP(FatmaUsf[[#This Row],[Net Salary]],$Z$10:$AA$14,2)</f>
        <v>0.05</v>
      </c>
    </row>
    <row r="185" spans="1:23" ht="15.75" customHeight="1">
      <c r="A185" s="24">
        <v>1184</v>
      </c>
      <c r="B185" s="10" t="s">
        <v>388</v>
      </c>
      <c r="C185" s="10" t="s">
        <v>468</v>
      </c>
      <c r="D185" s="41" t="str">
        <f>PROPER(TRIM(FatmaUsf[[#This Row],[Last Name]]&amp;" "&amp;FatmaUsf[[#This Row],[Last Name]]))</f>
        <v>Zarie Zarie</v>
      </c>
      <c r="E185" s="10" t="s">
        <v>100</v>
      </c>
      <c r="F185" s="10" t="s">
        <v>742</v>
      </c>
      <c r="G185" s="10" t="s">
        <v>1100</v>
      </c>
      <c r="H185" s="11" t="s">
        <v>11</v>
      </c>
      <c r="I185" s="11" t="s">
        <v>26</v>
      </c>
      <c r="J185" s="12" t="s">
        <v>12</v>
      </c>
      <c r="K185" s="10" t="s">
        <v>977</v>
      </c>
      <c r="L185" s="13">
        <v>21</v>
      </c>
      <c r="M185" s="14">
        <v>11</v>
      </c>
      <c r="N185" s="14">
        <v>2018</v>
      </c>
      <c r="O185" s="46">
        <f>DATE(FatmaUsf[[#This Row],[Hire Year]],FatmaUsf[[#This Row],[Hire Month]],FatmaUsf[[#This Row],[Hire Day]])</f>
        <v>43425</v>
      </c>
      <c r="P185" s="46">
        <f t="shared" ca="1" si="2"/>
        <v>46071</v>
      </c>
      <c r="Q185" s="14">
        <f ca="1">DATEDIF(FatmaUsf[[#This Row],[Hiring Date]],FatmaUsf[[#This Row],[current date]],"Y")</f>
        <v>7</v>
      </c>
      <c r="R185" s="15">
        <v>5710</v>
      </c>
      <c r="S185" s="53">
        <f>FatmaUsf[[#This Row],[Salary]]*0.1</f>
        <v>571</v>
      </c>
      <c r="T185" s="16">
        <f>FatmaUsf[[#This Row],[Salary]]*0.03</f>
        <v>171.29999999999998</v>
      </c>
      <c r="U185" s="48">
        <f>FatmaUsf[[#This Row],[Salary]]-FatmaUsf[[#This Row],[Tax 10%]]+FatmaUsf[[#This Row],[Bonus 3%]]</f>
        <v>5310.3</v>
      </c>
      <c r="V185" s="17" t="str">
        <f>IF(FatmaUsf[[#This Row],[Net Salary]]&gt;=6000,"Over","Normal")</f>
        <v>Normal</v>
      </c>
      <c r="W185" s="57">
        <f>VLOOKUP(FatmaUsf[[#This Row],[Net Salary]],$Z$10:$AA$14,2)</f>
        <v>0.05</v>
      </c>
    </row>
    <row r="186" spans="1:23" ht="15.75" customHeight="1">
      <c r="A186" s="24">
        <v>1185</v>
      </c>
      <c r="B186" s="10" t="s">
        <v>128</v>
      </c>
      <c r="C186" s="10" t="s">
        <v>469</v>
      </c>
      <c r="D186" s="41" t="str">
        <f>PROPER(TRIM(FatmaUsf[[#This Row],[Last Name]]&amp;" "&amp;FatmaUsf[[#This Row],[Last Name]]))</f>
        <v>Einziin Einziin</v>
      </c>
      <c r="E186" s="10" t="s">
        <v>100</v>
      </c>
      <c r="F186" s="10" t="s">
        <v>743</v>
      </c>
      <c r="G186" s="10" t="s">
        <v>13</v>
      </c>
      <c r="H186" s="11" t="s">
        <v>11</v>
      </c>
      <c r="I186" s="11" t="s">
        <v>15</v>
      </c>
      <c r="J186" s="12" t="s">
        <v>12</v>
      </c>
      <c r="K186" s="10" t="s">
        <v>978</v>
      </c>
      <c r="L186" s="13">
        <v>12</v>
      </c>
      <c r="M186" s="14">
        <v>2</v>
      </c>
      <c r="N186" s="14">
        <v>2018</v>
      </c>
      <c r="O186" s="46">
        <f>DATE(FatmaUsf[[#This Row],[Hire Year]],FatmaUsf[[#This Row],[Hire Month]],FatmaUsf[[#This Row],[Hire Day]])</f>
        <v>43143</v>
      </c>
      <c r="P186" s="46">
        <f t="shared" ca="1" si="2"/>
        <v>46071</v>
      </c>
      <c r="Q186" s="14">
        <f ca="1">DATEDIF(FatmaUsf[[#This Row],[Hiring Date]],FatmaUsf[[#This Row],[current date]],"Y")</f>
        <v>8</v>
      </c>
      <c r="R186" s="15">
        <v>6145</v>
      </c>
      <c r="S186" s="53">
        <f>FatmaUsf[[#This Row],[Salary]]*0.1</f>
        <v>614.5</v>
      </c>
      <c r="T186" s="16">
        <f>FatmaUsf[[#This Row],[Salary]]*0.03</f>
        <v>184.35</v>
      </c>
      <c r="U186" s="48">
        <f>FatmaUsf[[#This Row],[Salary]]-FatmaUsf[[#This Row],[Tax 10%]]+FatmaUsf[[#This Row],[Bonus 3%]]</f>
        <v>5714.85</v>
      </c>
      <c r="V186" s="17" t="str">
        <f>IF(FatmaUsf[[#This Row],[Net Salary]]&gt;=6000,"Over","Normal")</f>
        <v>Normal</v>
      </c>
      <c r="W186" s="57">
        <f>VLOOKUP(FatmaUsf[[#This Row],[Net Salary]],$Z$10:$AA$14,2)</f>
        <v>0.05</v>
      </c>
    </row>
    <row r="187" spans="1:23" ht="15.75" customHeight="1">
      <c r="A187" s="24">
        <v>1186</v>
      </c>
      <c r="B187" s="10" t="s">
        <v>470</v>
      </c>
      <c r="C187" s="10" t="s">
        <v>471</v>
      </c>
      <c r="D187" s="41" t="str">
        <f>PROPER(TRIM(FatmaUsf[[#This Row],[Last Name]]&amp;" "&amp;FatmaUsf[[#This Row],[Last Name]]))</f>
        <v>Eiwad Eiwad</v>
      </c>
      <c r="E187" s="10" t="s">
        <v>100</v>
      </c>
      <c r="F187" s="10" t="s">
        <v>744</v>
      </c>
      <c r="G187" s="10" t="s">
        <v>17</v>
      </c>
      <c r="H187" s="11" t="s">
        <v>14</v>
      </c>
      <c r="I187" s="11" t="s">
        <v>26</v>
      </c>
      <c r="J187" s="12" t="s">
        <v>10</v>
      </c>
      <c r="K187" s="10" t="s">
        <v>979</v>
      </c>
      <c r="L187" s="13">
        <v>16</v>
      </c>
      <c r="M187" s="14">
        <v>8</v>
      </c>
      <c r="N187" s="14">
        <v>1991</v>
      </c>
      <c r="O187" s="46">
        <f>DATE(FatmaUsf[[#This Row],[Hire Year]],FatmaUsf[[#This Row],[Hire Month]],FatmaUsf[[#This Row],[Hire Day]])</f>
        <v>33466</v>
      </c>
      <c r="P187" s="46">
        <f t="shared" ca="1" si="2"/>
        <v>46071</v>
      </c>
      <c r="Q187" s="14">
        <f ca="1">DATEDIF(FatmaUsf[[#This Row],[Hiring Date]],FatmaUsf[[#This Row],[current date]],"Y")</f>
        <v>34</v>
      </c>
      <c r="R187" s="15">
        <v>5278</v>
      </c>
      <c r="S187" s="53">
        <f>FatmaUsf[[#This Row],[Salary]]*0.1</f>
        <v>527.80000000000007</v>
      </c>
      <c r="T187" s="16">
        <f>FatmaUsf[[#This Row],[Salary]]*0.03</f>
        <v>158.34</v>
      </c>
      <c r="U187" s="48">
        <f>FatmaUsf[[#This Row],[Salary]]-FatmaUsf[[#This Row],[Tax 10%]]+FatmaUsf[[#This Row],[Bonus 3%]]</f>
        <v>4908.54</v>
      </c>
      <c r="V187" s="17" t="str">
        <f>IF(FatmaUsf[[#This Row],[Net Salary]]&gt;=6000,"Over","Normal")</f>
        <v>Normal</v>
      </c>
      <c r="W187" s="57">
        <f>VLOOKUP(FatmaUsf[[#This Row],[Net Salary]],$Z$10:$AA$14,2)</f>
        <v>0.05</v>
      </c>
    </row>
    <row r="188" spans="1:23" ht="15.75" customHeight="1">
      <c r="A188" s="24">
        <v>1187</v>
      </c>
      <c r="B188" s="10" t="s">
        <v>472</v>
      </c>
      <c r="C188" s="10" t="s">
        <v>473</v>
      </c>
      <c r="D188" s="41" t="str">
        <f>PROPER(TRIM(FatmaUsf[[#This Row],[Last Name]]&amp;" "&amp;FatmaUsf[[#This Row],[Last Name]]))</f>
        <v>Maseud Maseud</v>
      </c>
      <c r="E188" s="10" t="s">
        <v>100</v>
      </c>
      <c r="F188" s="10" t="s">
        <v>745</v>
      </c>
      <c r="G188" s="10" t="s">
        <v>1100</v>
      </c>
      <c r="H188" s="11" t="s">
        <v>8</v>
      </c>
      <c r="I188" s="11" t="s">
        <v>9</v>
      </c>
      <c r="J188" s="12" t="s">
        <v>10</v>
      </c>
      <c r="K188" s="10" t="s">
        <v>980</v>
      </c>
      <c r="L188" s="13">
        <v>17</v>
      </c>
      <c r="M188" s="14">
        <v>1</v>
      </c>
      <c r="N188" s="14">
        <v>1992</v>
      </c>
      <c r="O188" s="46">
        <f>DATE(FatmaUsf[[#This Row],[Hire Year]],FatmaUsf[[#This Row],[Hire Month]],FatmaUsf[[#This Row],[Hire Day]])</f>
        <v>33620</v>
      </c>
      <c r="P188" s="46">
        <f t="shared" ca="1" si="2"/>
        <v>46071</v>
      </c>
      <c r="Q188" s="14">
        <f ca="1">DATEDIF(FatmaUsf[[#This Row],[Hiring Date]],FatmaUsf[[#This Row],[current date]],"Y")</f>
        <v>34</v>
      </c>
      <c r="R188" s="15">
        <v>6548</v>
      </c>
      <c r="S188" s="53">
        <f>FatmaUsf[[#This Row],[Salary]]*0.1</f>
        <v>654.80000000000007</v>
      </c>
      <c r="T188" s="16">
        <f>FatmaUsf[[#This Row],[Salary]]*0.03</f>
        <v>196.44</v>
      </c>
      <c r="U188" s="48">
        <f>FatmaUsf[[#This Row],[Salary]]-FatmaUsf[[#This Row],[Tax 10%]]+FatmaUsf[[#This Row],[Bonus 3%]]</f>
        <v>6089.6399999999994</v>
      </c>
      <c r="V188" s="17" t="str">
        <f>IF(FatmaUsf[[#This Row],[Net Salary]]&gt;=6000,"Over","Normal")</f>
        <v>Over</v>
      </c>
      <c r="W188" s="57">
        <f>VLOOKUP(FatmaUsf[[#This Row],[Net Salary]],$Z$10:$AA$14,2)</f>
        <v>0.02</v>
      </c>
    </row>
    <row r="189" spans="1:23" ht="15.75" customHeight="1">
      <c r="A189" s="24">
        <v>1188</v>
      </c>
      <c r="B189" s="10" t="s">
        <v>102</v>
      </c>
      <c r="C189" s="10" t="s">
        <v>433</v>
      </c>
      <c r="D189" s="41" t="str">
        <f>PROPER(TRIM(FatmaUsf[[#This Row],[Last Name]]&amp;" "&amp;FatmaUsf[[#This Row],[Last Name]]))</f>
        <v>Iidris Iidris</v>
      </c>
      <c r="E189" s="10" t="s">
        <v>100</v>
      </c>
      <c r="F189" s="10" t="s">
        <v>746</v>
      </c>
      <c r="G189" s="10" t="s">
        <v>7</v>
      </c>
      <c r="H189" s="11" t="s">
        <v>11</v>
      </c>
      <c r="I189" s="11" t="s">
        <v>25</v>
      </c>
      <c r="J189" s="12" t="s">
        <v>10</v>
      </c>
      <c r="K189" s="10" t="s">
        <v>981</v>
      </c>
      <c r="L189" s="13">
        <v>3</v>
      </c>
      <c r="M189" s="14">
        <v>10</v>
      </c>
      <c r="N189" s="14">
        <v>1998</v>
      </c>
      <c r="O189" s="46">
        <f>DATE(FatmaUsf[[#This Row],[Hire Year]],FatmaUsf[[#This Row],[Hire Month]],FatmaUsf[[#This Row],[Hire Day]])</f>
        <v>36071</v>
      </c>
      <c r="P189" s="46">
        <f t="shared" ca="1" si="2"/>
        <v>46071</v>
      </c>
      <c r="Q189" s="14">
        <f ca="1">DATEDIF(FatmaUsf[[#This Row],[Hiring Date]],FatmaUsf[[#This Row],[current date]],"Y")</f>
        <v>27</v>
      </c>
      <c r="R189" s="15">
        <v>7175</v>
      </c>
      <c r="S189" s="53">
        <f>FatmaUsf[[#This Row],[Salary]]*0.1</f>
        <v>717.5</v>
      </c>
      <c r="T189" s="16">
        <f>FatmaUsf[[#This Row],[Salary]]*0.03</f>
        <v>215.25</v>
      </c>
      <c r="U189" s="48">
        <f>FatmaUsf[[#This Row],[Salary]]-FatmaUsf[[#This Row],[Tax 10%]]+FatmaUsf[[#This Row],[Bonus 3%]]</f>
        <v>6672.75</v>
      </c>
      <c r="V189" s="17" t="str">
        <f>IF(FatmaUsf[[#This Row],[Net Salary]]&gt;=6000,"Over","Normal")</f>
        <v>Over</v>
      </c>
      <c r="W189" s="57">
        <f>VLOOKUP(FatmaUsf[[#This Row],[Net Salary]],$Z$10:$AA$14,2)</f>
        <v>0.02</v>
      </c>
    </row>
    <row r="190" spans="1:23" ht="15.75" customHeight="1">
      <c r="A190" s="24">
        <v>1189</v>
      </c>
      <c r="B190" s="10" t="s">
        <v>474</v>
      </c>
      <c r="C190" s="10" t="s">
        <v>475</v>
      </c>
      <c r="D190" s="41" t="str">
        <f>PROPER(TRIM(FatmaUsf[[#This Row],[Last Name]]&amp;" "&amp;FatmaUsf[[#This Row],[Last Name]]))</f>
        <v>Taysir Taysir</v>
      </c>
      <c r="E190" s="10" t="s">
        <v>100</v>
      </c>
      <c r="F190" s="10" t="s">
        <v>747</v>
      </c>
      <c r="G190" s="10" t="s">
        <v>13</v>
      </c>
      <c r="H190" s="11" t="s">
        <v>8</v>
      </c>
      <c r="I190" s="11" t="s">
        <v>9</v>
      </c>
      <c r="J190" s="12" t="s">
        <v>20</v>
      </c>
      <c r="K190" s="10" t="s">
        <v>982</v>
      </c>
      <c r="L190" s="13">
        <v>26</v>
      </c>
      <c r="M190" s="14">
        <v>9</v>
      </c>
      <c r="N190" s="14">
        <v>2017</v>
      </c>
      <c r="O190" s="46">
        <f>DATE(FatmaUsf[[#This Row],[Hire Year]],FatmaUsf[[#This Row],[Hire Month]],FatmaUsf[[#This Row],[Hire Day]])</f>
        <v>43004</v>
      </c>
      <c r="P190" s="46">
        <f t="shared" ca="1" si="2"/>
        <v>46071</v>
      </c>
      <c r="Q190" s="14">
        <f ca="1">DATEDIF(FatmaUsf[[#This Row],[Hiring Date]],FatmaUsf[[#This Row],[current date]],"Y")</f>
        <v>8</v>
      </c>
      <c r="R190" s="15">
        <v>4070</v>
      </c>
      <c r="S190" s="53">
        <f>FatmaUsf[[#This Row],[Salary]]*0.1</f>
        <v>407</v>
      </c>
      <c r="T190" s="16">
        <f>FatmaUsf[[#This Row],[Salary]]*0.03</f>
        <v>122.1</v>
      </c>
      <c r="U190" s="48">
        <f>FatmaUsf[[#This Row],[Salary]]-FatmaUsf[[#This Row],[Tax 10%]]+FatmaUsf[[#This Row],[Bonus 3%]]</f>
        <v>3785.1</v>
      </c>
      <c r="V190" s="17" t="str">
        <f>IF(FatmaUsf[[#This Row],[Net Salary]]&gt;=6000,"Over","Normal")</f>
        <v>Normal</v>
      </c>
      <c r="W190" s="57">
        <f>VLOOKUP(FatmaUsf[[#This Row],[Net Salary]],$Z$10:$AA$14,2)</f>
        <v>0.05</v>
      </c>
    </row>
    <row r="191" spans="1:23" ht="15.75" customHeight="1">
      <c r="A191" s="24">
        <v>1190</v>
      </c>
      <c r="B191" s="10" t="s">
        <v>124</v>
      </c>
      <c r="C191" s="10" t="s">
        <v>476</v>
      </c>
      <c r="D191" s="41" t="str">
        <f>PROPER(TRIM(FatmaUsf[[#This Row],[Last Name]]&amp;" "&amp;FatmaUsf[[#This Row],[Last Name]]))</f>
        <v>Sharfah Sharfah</v>
      </c>
      <c r="E191" s="10" t="s">
        <v>100</v>
      </c>
      <c r="F191" s="10" t="s">
        <v>748</v>
      </c>
      <c r="G191" s="10" t="s">
        <v>1100</v>
      </c>
      <c r="H191" s="11" t="s">
        <v>8</v>
      </c>
      <c r="I191" s="11" t="s">
        <v>15</v>
      </c>
      <c r="J191" s="12" t="s">
        <v>20</v>
      </c>
      <c r="K191" s="10" t="s">
        <v>983</v>
      </c>
      <c r="L191" s="13">
        <v>22</v>
      </c>
      <c r="M191" s="14">
        <v>10</v>
      </c>
      <c r="N191" s="14">
        <v>1997</v>
      </c>
      <c r="O191" s="46">
        <f>DATE(FatmaUsf[[#This Row],[Hire Year]],FatmaUsf[[#This Row],[Hire Month]],FatmaUsf[[#This Row],[Hire Day]])</f>
        <v>35725</v>
      </c>
      <c r="P191" s="46">
        <f t="shared" ca="1" si="2"/>
        <v>46071</v>
      </c>
      <c r="Q191" s="14">
        <f ca="1">DATEDIF(FatmaUsf[[#This Row],[Hiring Date]],FatmaUsf[[#This Row],[current date]],"Y")</f>
        <v>28</v>
      </c>
      <c r="R191" s="15">
        <v>1906</v>
      </c>
      <c r="S191" s="53">
        <f>FatmaUsf[[#This Row],[Salary]]*0.1</f>
        <v>190.60000000000002</v>
      </c>
      <c r="T191" s="16">
        <f>FatmaUsf[[#This Row],[Salary]]*0.03</f>
        <v>57.18</v>
      </c>
      <c r="U191" s="48">
        <f>FatmaUsf[[#This Row],[Salary]]-FatmaUsf[[#This Row],[Tax 10%]]+FatmaUsf[[#This Row],[Bonus 3%]]</f>
        <v>1772.5800000000002</v>
      </c>
      <c r="V191" s="17" t="str">
        <f>IF(FatmaUsf[[#This Row],[Net Salary]]&gt;=6000,"Over","Normal")</f>
        <v>Normal</v>
      </c>
      <c r="W191" s="57">
        <f>VLOOKUP(FatmaUsf[[#This Row],[Net Salary]],$Z$10:$AA$14,2)</f>
        <v>0.08</v>
      </c>
    </row>
    <row r="192" spans="1:23" ht="15.75" customHeight="1">
      <c r="A192" s="24">
        <v>1191</v>
      </c>
      <c r="B192" s="10" t="s">
        <v>313</v>
      </c>
      <c r="C192" s="10" t="s">
        <v>192</v>
      </c>
      <c r="D192" s="41" t="str">
        <f>PROPER(TRIM(FatmaUsf[[#This Row],[Last Name]]&amp;" "&amp;FatmaUsf[[#This Row],[Last Name]]))</f>
        <v>Almisri Almisri</v>
      </c>
      <c r="E192" s="10" t="s">
        <v>99</v>
      </c>
      <c r="F192" s="10" t="s">
        <v>749</v>
      </c>
      <c r="G192" s="10" t="s">
        <v>17</v>
      </c>
      <c r="H192" s="11" t="s">
        <v>8</v>
      </c>
      <c r="I192" s="11" t="s">
        <v>15</v>
      </c>
      <c r="J192" s="12" t="s">
        <v>12</v>
      </c>
      <c r="K192" s="10" t="s">
        <v>984</v>
      </c>
      <c r="L192" s="13">
        <v>2</v>
      </c>
      <c r="M192" s="14">
        <v>4</v>
      </c>
      <c r="N192" s="14">
        <v>2000</v>
      </c>
      <c r="O192" s="46">
        <f>DATE(FatmaUsf[[#This Row],[Hire Year]],FatmaUsf[[#This Row],[Hire Month]],FatmaUsf[[#This Row],[Hire Day]])</f>
        <v>36618</v>
      </c>
      <c r="P192" s="46">
        <f t="shared" ca="1" si="2"/>
        <v>46071</v>
      </c>
      <c r="Q192" s="14">
        <f ca="1">DATEDIF(FatmaUsf[[#This Row],[Hiring Date]],FatmaUsf[[#This Row],[current date]],"Y")</f>
        <v>25</v>
      </c>
      <c r="R192" s="15">
        <v>2600</v>
      </c>
      <c r="S192" s="53">
        <f>FatmaUsf[[#This Row],[Salary]]*0.1</f>
        <v>260</v>
      </c>
      <c r="T192" s="16">
        <f>FatmaUsf[[#This Row],[Salary]]*0.03</f>
        <v>78</v>
      </c>
      <c r="U192" s="48">
        <f>FatmaUsf[[#This Row],[Salary]]-FatmaUsf[[#This Row],[Tax 10%]]+FatmaUsf[[#This Row],[Bonus 3%]]</f>
        <v>2418</v>
      </c>
      <c r="V192" s="17" t="str">
        <f>IF(FatmaUsf[[#This Row],[Net Salary]]&gt;=6000,"Over","Normal")</f>
        <v>Normal</v>
      </c>
      <c r="W192" s="57">
        <f>VLOOKUP(FatmaUsf[[#This Row],[Net Salary]],$Z$10:$AA$14,2)</f>
        <v>0.08</v>
      </c>
    </row>
    <row r="193" spans="1:23" ht="15.75" customHeight="1">
      <c r="A193" s="24">
        <v>1192</v>
      </c>
      <c r="B193" s="10" t="s">
        <v>477</v>
      </c>
      <c r="C193" s="10" t="s">
        <v>478</v>
      </c>
      <c r="D193" s="41" t="str">
        <f>PROPER(TRIM(FatmaUsf[[#This Row],[Last Name]]&amp;" "&amp;FatmaUsf[[#This Row],[Last Name]]))</f>
        <v>Hamuwda Hamuwda</v>
      </c>
      <c r="E193" s="10" t="s">
        <v>100</v>
      </c>
      <c r="F193" s="10" t="s">
        <v>750</v>
      </c>
      <c r="G193" s="10" t="s">
        <v>13</v>
      </c>
      <c r="H193" s="11" t="s">
        <v>22</v>
      </c>
      <c r="I193" s="11" t="s">
        <v>18</v>
      </c>
      <c r="J193" s="12" t="s">
        <v>23</v>
      </c>
      <c r="K193" s="10" t="s">
        <v>985</v>
      </c>
      <c r="L193" s="13">
        <v>25</v>
      </c>
      <c r="M193" s="14">
        <v>10</v>
      </c>
      <c r="N193" s="14">
        <v>1997</v>
      </c>
      <c r="O193" s="46">
        <f>DATE(FatmaUsf[[#This Row],[Hire Year]],FatmaUsf[[#This Row],[Hire Month]],FatmaUsf[[#This Row],[Hire Day]])</f>
        <v>35728</v>
      </c>
      <c r="P193" s="46">
        <f t="shared" ca="1" si="2"/>
        <v>46071</v>
      </c>
      <c r="Q193" s="14">
        <f ca="1">DATEDIF(FatmaUsf[[#This Row],[Hiring Date]],FatmaUsf[[#This Row],[current date]],"Y")</f>
        <v>28</v>
      </c>
      <c r="R193" s="15">
        <v>3753</v>
      </c>
      <c r="S193" s="53">
        <f>FatmaUsf[[#This Row],[Salary]]*0.1</f>
        <v>375.3</v>
      </c>
      <c r="T193" s="16">
        <f>FatmaUsf[[#This Row],[Salary]]*0.03</f>
        <v>112.58999999999999</v>
      </c>
      <c r="U193" s="48">
        <f>FatmaUsf[[#This Row],[Salary]]-FatmaUsf[[#This Row],[Tax 10%]]+FatmaUsf[[#This Row],[Bonus 3%]]</f>
        <v>3490.29</v>
      </c>
      <c r="V193" s="17" t="str">
        <f>IF(FatmaUsf[[#This Row],[Net Salary]]&gt;=6000,"Over","Normal")</f>
        <v>Normal</v>
      </c>
      <c r="W193" s="57">
        <f>VLOOKUP(FatmaUsf[[#This Row],[Net Salary]],$Z$10:$AA$14,2)</f>
        <v>0.05</v>
      </c>
    </row>
    <row r="194" spans="1:23" ht="15.75" customHeight="1">
      <c r="A194" s="24">
        <v>1193</v>
      </c>
      <c r="B194" s="10" t="s">
        <v>472</v>
      </c>
      <c r="C194" s="10" t="s">
        <v>134</v>
      </c>
      <c r="D194" s="41" t="str">
        <f>PROPER(TRIM(FatmaUsf[[#This Row],[Last Name]]&amp;" "&amp;FatmaUsf[[#This Row],[Last Name]]))</f>
        <v>Abu Abu</v>
      </c>
      <c r="E194" s="10" t="s">
        <v>99</v>
      </c>
      <c r="F194" s="10" t="s">
        <v>751</v>
      </c>
      <c r="G194" s="10" t="s">
        <v>19</v>
      </c>
      <c r="H194" s="11" t="s">
        <v>11</v>
      </c>
      <c r="I194" s="11" t="s">
        <v>264</v>
      </c>
      <c r="J194" s="12" t="s">
        <v>10</v>
      </c>
      <c r="K194" s="10" t="s">
        <v>986</v>
      </c>
      <c r="L194" s="13">
        <v>4</v>
      </c>
      <c r="M194" s="14">
        <v>7</v>
      </c>
      <c r="N194" s="14">
        <v>2013</v>
      </c>
      <c r="O194" s="46">
        <f>DATE(FatmaUsf[[#This Row],[Hire Year]],FatmaUsf[[#This Row],[Hire Month]],FatmaUsf[[#This Row],[Hire Day]])</f>
        <v>41459</v>
      </c>
      <c r="P194" s="46">
        <f t="shared" ref="P194:P257" ca="1" si="3">TODAY()</f>
        <v>46071</v>
      </c>
      <c r="Q194" s="14">
        <f ca="1">DATEDIF(FatmaUsf[[#This Row],[Hiring Date]],FatmaUsf[[#This Row],[current date]],"Y")</f>
        <v>12</v>
      </c>
      <c r="R194" s="15">
        <v>5086</v>
      </c>
      <c r="S194" s="53">
        <f>FatmaUsf[[#This Row],[Salary]]*0.1</f>
        <v>508.6</v>
      </c>
      <c r="T194" s="16">
        <f>FatmaUsf[[#This Row],[Salary]]*0.03</f>
        <v>152.57999999999998</v>
      </c>
      <c r="U194" s="48">
        <f>FatmaUsf[[#This Row],[Salary]]-FatmaUsf[[#This Row],[Tax 10%]]+FatmaUsf[[#This Row],[Bonus 3%]]</f>
        <v>4729.9799999999996</v>
      </c>
      <c r="V194" s="17" t="str">
        <f>IF(FatmaUsf[[#This Row],[Net Salary]]&gt;=6000,"Over","Normal")</f>
        <v>Normal</v>
      </c>
      <c r="W194" s="57">
        <f>VLOOKUP(FatmaUsf[[#This Row],[Net Salary]],$Z$10:$AA$14,2)</f>
        <v>0.05</v>
      </c>
    </row>
    <row r="195" spans="1:23" ht="15.75" customHeight="1">
      <c r="A195" s="24">
        <v>1194</v>
      </c>
      <c r="B195" s="10" t="s">
        <v>479</v>
      </c>
      <c r="C195" s="10" t="s">
        <v>480</v>
      </c>
      <c r="D195" s="41" t="str">
        <f>PROPER(TRIM(FatmaUsf[[#This Row],[Last Name]]&amp;" "&amp;FatmaUsf[[#This Row],[Last Name]]))</f>
        <v>Nafae Nafae</v>
      </c>
      <c r="E195" s="10" t="s">
        <v>99</v>
      </c>
      <c r="F195" s="10" t="s">
        <v>752</v>
      </c>
      <c r="G195" s="10" t="s">
        <v>13</v>
      </c>
      <c r="H195" s="11" t="s">
        <v>11</v>
      </c>
      <c r="I195" s="11" t="s">
        <v>9</v>
      </c>
      <c r="J195" s="12" t="s">
        <v>20</v>
      </c>
      <c r="K195" s="10" t="s">
        <v>987</v>
      </c>
      <c r="L195" s="13">
        <v>9</v>
      </c>
      <c r="M195" s="14">
        <v>10</v>
      </c>
      <c r="N195" s="14">
        <v>2023</v>
      </c>
      <c r="O195" s="46">
        <f>DATE(FatmaUsf[[#This Row],[Hire Year]],FatmaUsf[[#This Row],[Hire Month]],FatmaUsf[[#This Row],[Hire Day]])</f>
        <v>45208</v>
      </c>
      <c r="P195" s="46">
        <f t="shared" ca="1" si="3"/>
        <v>46071</v>
      </c>
      <c r="Q195" s="14">
        <f ca="1">DATEDIF(FatmaUsf[[#This Row],[Hiring Date]],FatmaUsf[[#This Row],[current date]],"Y")</f>
        <v>2</v>
      </c>
      <c r="R195" s="15">
        <v>2431</v>
      </c>
      <c r="S195" s="53">
        <f>FatmaUsf[[#This Row],[Salary]]*0.1</f>
        <v>243.10000000000002</v>
      </c>
      <c r="T195" s="16">
        <f>FatmaUsf[[#This Row],[Salary]]*0.03</f>
        <v>72.929999999999993</v>
      </c>
      <c r="U195" s="48">
        <f>FatmaUsf[[#This Row],[Salary]]-FatmaUsf[[#This Row],[Tax 10%]]+FatmaUsf[[#This Row],[Bonus 3%]]</f>
        <v>2260.83</v>
      </c>
      <c r="V195" s="17" t="str">
        <f>IF(FatmaUsf[[#This Row],[Net Salary]]&gt;=6000,"Over","Normal")</f>
        <v>Normal</v>
      </c>
      <c r="W195" s="57">
        <f>VLOOKUP(FatmaUsf[[#This Row],[Net Salary]],$Z$10:$AA$14,2)</f>
        <v>0.08</v>
      </c>
    </row>
    <row r="196" spans="1:23" ht="15.75" customHeight="1">
      <c r="A196" s="24">
        <v>1195</v>
      </c>
      <c r="B196" s="10" t="s">
        <v>459</v>
      </c>
      <c r="C196" s="10" t="s">
        <v>315</v>
      </c>
      <c r="D196" s="41" t="str">
        <f>PROPER(TRIM(FatmaUsf[[#This Row],[Last Name]]&amp;" "&amp;FatmaUsf[[#This Row],[Last Name]]))</f>
        <v>Shaykh Shaykh</v>
      </c>
      <c r="E196" s="10" t="s">
        <v>100</v>
      </c>
      <c r="F196" s="10" t="s">
        <v>753</v>
      </c>
      <c r="G196" s="10" t="s">
        <v>17</v>
      </c>
      <c r="H196" s="11" t="s">
        <v>8</v>
      </c>
      <c r="I196" s="11" t="s">
        <v>9</v>
      </c>
      <c r="J196" s="12" t="s">
        <v>12</v>
      </c>
      <c r="K196" s="10" t="s">
        <v>880</v>
      </c>
      <c r="L196" s="13">
        <v>8</v>
      </c>
      <c r="M196" s="14">
        <v>3</v>
      </c>
      <c r="N196" s="14">
        <v>2014</v>
      </c>
      <c r="O196" s="46">
        <f>DATE(FatmaUsf[[#This Row],[Hire Year]],FatmaUsf[[#This Row],[Hire Month]],FatmaUsf[[#This Row],[Hire Day]])</f>
        <v>41706</v>
      </c>
      <c r="P196" s="46">
        <f t="shared" ca="1" si="3"/>
        <v>46071</v>
      </c>
      <c r="Q196" s="14">
        <f ca="1">DATEDIF(FatmaUsf[[#This Row],[Hiring Date]],FatmaUsf[[#This Row],[current date]],"Y")</f>
        <v>11</v>
      </c>
      <c r="R196" s="15">
        <v>2955</v>
      </c>
      <c r="S196" s="53">
        <f>FatmaUsf[[#This Row],[Salary]]*0.1</f>
        <v>295.5</v>
      </c>
      <c r="T196" s="16">
        <f>FatmaUsf[[#This Row],[Salary]]*0.03</f>
        <v>88.649999999999991</v>
      </c>
      <c r="U196" s="48">
        <f>FatmaUsf[[#This Row],[Salary]]-FatmaUsf[[#This Row],[Tax 10%]]+FatmaUsf[[#This Row],[Bonus 3%]]</f>
        <v>2748.15</v>
      </c>
      <c r="V196" s="17" t="str">
        <f>IF(FatmaUsf[[#This Row],[Net Salary]]&gt;=6000,"Over","Normal")</f>
        <v>Normal</v>
      </c>
      <c r="W196" s="57">
        <f>VLOOKUP(FatmaUsf[[#This Row],[Net Salary]],$Z$10:$AA$14,2)</f>
        <v>0.08</v>
      </c>
    </row>
    <row r="197" spans="1:23" ht="15.75" customHeight="1">
      <c r="A197" s="24">
        <v>1196</v>
      </c>
      <c r="B197" s="10" t="s">
        <v>479</v>
      </c>
      <c r="C197" s="10" t="s">
        <v>481</v>
      </c>
      <c r="D197" s="41" t="str">
        <f>PROPER(TRIM(FatmaUsf[[#This Row],[Last Name]]&amp;" "&amp;FatmaUsf[[#This Row],[Last Name]]))</f>
        <v>Kashik Kashik</v>
      </c>
      <c r="E197" s="10" t="s">
        <v>99</v>
      </c>
      <c r="F197" s="10" t="s">
        <v>754</v>
      </c>
      <c r="G197" s="10" t="s">
        <v>17</v>
      </c>
      <c r="H197" s="11" t="s">
        <v>8</v>
      </c>
      <c r="I197" s="11" t="s">
        <v>264</v>
      </c>
      <c r="J197" s="12" t="s">
        <v>20</v>
      </c>
      <c r="K197" s="10" t="s">
        <v>988</v>
      </c>
      <c r="L197" s="13">
        <v>20</v>
      </c>
      <c r="M197" s="14">
        <v>4</v>
      </c>
      <c r="N197" s="14">
        <v>2001</v>
      </c>
      <c r="O197" s="46">
        <f>DATE(FatmaUsf[[#This Row],[Hire Year]],FatmaUsf[[#This Row],[Hire Month]],FatmaUsf[[#This Row],[Hire Day]])</f>
        <v>37001</v>
      </c>
      <c r="P197" s="46">
        <f t="shared" ca="1" si="3"/>
        <v>46071</v>
      </c>
      <c r="Q197" s="14">
        <f ca="1">DATEDIF(FatmaUsf[[#This Row],[Hiring Date]],FatmaUsf[[#This Row],[current date]],"Y")</f>
        <v>24</v>
      </c>
      <c r="R197" s="15">
        <v>1948</v>
      </c>
      <c r="S197" s="53">
        <f>FatmaUsf[[#This Row],[Salary]]*0.1</f>
        <v>194.8</v>
      </c>
      <c r="T197" s="16">
        <f>FatmaUsf[[#This Row],[Salary]]*0.03</f>
        <v>58.44</v>
      </c>
      <c r="U197" s="48">
        <f>FatmaUsf[[#This Row],[Salary]]-FatmaUsf[[#This Row],[Tax 10%]]+FatmaUsf[[#This Row],[Bonus 3%]]</f>
        <v>1811.64</v>
      </c>
      <c r="V197" s="17" t="str">
        <f>IF(FatmaUsf[[#This Row],[Net Salary]]&gt;=6000,"Over","Normal")</f>
        <v>Normal</v>
      </c>
      <c r="W197" s="57">
        <f>VLOOKUP(FatmaUsf[[#This Row],[Net Salary]],$Z$10:$AA$14,2)</f>
        <v>0.08</v>
      </c>
    </row>
    <row r="198" spans="1:23" ht="15.75" customHeight="1">
      <c r="A198" s="24">
        <v>1197</v>
      </c>
      <c r="B198" s="10" t="s">
        <v>482</v>
      </c>
      <c r="C198" s="10" t="s">
        <v>483</v>
      </c>
      <c r="D198" s="41" t="str">
        <f>PROPER(TRIM(FatmaUsf[[#This Row],[Last Name]]&amp;" "&amp;FatmaUsf[[#This Row],[Last Name]]))</f>
        <v>Aldahan Aldahan</v>
      </c>
      <c r="E198" s="10" t="s">
        <v>100</v>
      </c>
      <c r="F198" s="10" t="s">
        <v>755</v>
      </c>
      <c r="G198" s="10" t="s">
        <v>19</v>
      </c>
      <c r="H198" s="11" t="s">
        <v>11</v>
      </c>
      <c r="I198" s="11" t="s">
        <v>25</v>
      </c>
      <c r="J198" s="12" t="s">
        <v>10</v>
      </c>
      <c r="K198" s="10" t="s">
        <v>989</v>
      </c>
      <c r="L198" s="13">
        <v>26</v>
      </c>
      <c r="M198" s="14">
        <v>1</v>
      </c>
      <c r="N198" s="14">
        <v>1998</v>
      </c>
      <c r="O198" s="46">
        <f>DATE(FatmaUsf[[#This Row],[Hire Year]],FatmaUsf[[#This Row],[Hire Month]],FatmaUsf[[#This Row],[Hire Day]])</f>
        <v>35821</v>
      </c>
      <c r="P198" s="46">
        <f t="shared" ca="1" si="3"/>
        <v>46071</v>
      </c>
      <c r="Q198" s="14">
        <f ca="1">DATEDIF(FatmaUsf[[#This Row],[Hiring Date]],FatmaUsf[[#This Row],[current date]],"Y")</f>
        <v>28</v>
      </c>
      <c r="R198" s="15">
        <v>3294</v>
      </c>
      <c r="S198" s="53">
        <f>FatmaUsf[[#This Row],[Salary]]*0.1</f>
        <v>329.40000000000003</v>
      </c>
      <c r="T198" s="16">
        <f>FatmaUsf[[#This Row],[Salary]]*0.03</f>
        <v>98.82</v>
      </c>
      <c r="U198" s="48">
        <f>FatmaUsf[[#This Row],[Salary]]-FatmaUsf[[#This Row],[Tax 10%]]+FatmaUsf[[#This Row],[Bonus 3%]]</f>
        <v>3063.42</v>
      </c>
      <c r="V198" s="17" t="str">
        <f>IF(FatmaUsf[[#This Row],[Net Salary]]&gt;=6000,"Over","Normal")</f>
        <v>Normal</v>
      </c>
      <c r="W198" s="57">
        <f>VLOOKUP(FatmaUsf[[#This Row],[Net Salary]],$Z$10:$AA$14,2)</f>
        <v>0.05</v>
      </c>
    </row>
    <row r="199" spans="1:23" ht="15.75" customHeight="1">
      <c r="A199" s="24">
        <v>1198</v>
      </c>
      <c r="B199" s="10" t="s">
        <v>367</v>
      </c>
      <c r="C199" s="10" t="s">
        <v>484</v>
      </c>
      <c r="D199" s="41" t="str">
        <f>PROPER(TRIM(FatmaUsf[[#This Row],[Last Name]]&amp;" "&amp;FatmaUsf[[#This Row],[Last Name]]))</f>
        <v>Alkhawam Alkhawam</v>
      </c>
      <c r="E199" s="10" t="s">
        <v>100</v>
      </c>
      <c r="F199" s="10" t="s">
        <v>756</v>
      </c>
      <c r="G199" s="10" t="s">
        <v>1100</v>
      </c>
      <c r="H199" s="11" t="s">
        <v>11</v>
      </c>
      <c r="I199" s="11" t="s">
        <v>264</v>
      </c>
      <c r="J199" s="12" t="s">
        <v>10</v>
      </c>
      <c r="K199" s="10" t="s">
        <v>990</v>
      </c>
      <c r="L199" s="13">
        <v>26</v>
      </c>
      <c r="M199" s="14">
        <v>7</v>
      </c>
      <c r="N199" s="14">
        <v>2017</v>
      </c>
      <c r="O199" s="46">
        <f>DATE(FatmaUsf[[#This Row],[Hire Year]],FatmaUsf[[#This Row],[Hire Month]],FatmaUsf[[#This Row],[Hire Day]])</f>
        <v>42942</v>
      </c>
      <c r="P199" s="46">
        <f t="shared" ca="1" si="3"/>
        <v>46071</v>
      </c>
      <c r="Q199" s="14">
        <f ca="1">DATEDIF(FatmaUsf[[#This Row],[Hiring Date]],FatmaUsf[[#This Row],[current date]],"Y")</f>
        <v>8</v>
      </c>
      <c r="R199" s="15">
        <v>7123</v>
      </c>
      <c r="S199" s="53">
        <f>FatmaUsf[[#This Row],[Salary]]*0.1</f>
        <v>712.30000000000007</v>
      </c>
      <c r="T199" s="16">
        <f>FatmaUsf[[#This Row],[Salary]]*0.03</f>
        <v>213.69</v>
      </c>
      <c r="U199" s="48">
        <f>FatmaUsf[[#This Row],[Salary]]-FatmaUsf[[#This Row],[Tax 10%]]+FatmaUsf[[#This Row],[Bonus 3%]]</f>
        <v>6624.3899999999994</v>
      </c>
      <c r="V199" s="17" t="str">
        <f>IF(FatmaUsf[[#This Row],[Net Salary]]&gt;=6000,"Over","Normal")</f>
        <v>Over</v>
      </c>
      <c r="W199" s="57">
        <f>VLOOKUP(FatmaUsf[[#This Row],[Net Salary]],$Z$10:$AA$14,2)</f>
        <v>0.02</v>
      </c>
    </row>
    <row r="200" spans="1:23" ht="15.75" customHeight="1">
      <c r="A200" s="24">
        <v>1199</v>
      </c>
      <c r="B200" s="10" t="s">
        <v>485</v>
      </c>
      <c r="C200" s="10" t="s">
        <v>486</v>
      </c>
      <c r="D200" s="41" t="str">
        <f>PROPER(TRIM(FatmaUsf[[#This Row],[Last Name]]&amp;" "&amp;FatmaUsf[[#This Row],[Last Name]]))</f>
        <v>Alqintar Alqintar</v>
      </c>
      <c r="E200" s="10" t="s">
        <v>100</v>
      </c>
      <c r="F200" s="10" t="s">
        <v>757</v>
      </c>
      <c r="G200" s="10" t="s">
        <v>13</v>
      </c>
      <c r="H200" s="11" t="s">
        <v>22</v>
      </c>
      <c r="I200" s="11" t="s">
        <v>25</v>
      </c>
      <c r="J200" s="12" t="s">
        <v>12</v>
      </c>
      <c r="K200" s="10" t="s">
        <v>991</v>
      </c>
      <c r="L200" s="13">
        <v>6</v>
      </c>
      <c r="M200" s="14">
        <v>6</v>
      </c>
      <c r="N200" s="14">
        <v>2016</v>
      </c>
      <c r="O200" s="46">
        <f>DATE(FatmaUsf[[#This Row],[Hire Year]],FatmaUsf[[#This Row],[Hire Month]],FatmaUsf[[#This Row],[Hire Day]])</f>
        <v>42527</v>
      </c>
      <c r="P200" s="46">
        <f t="shared" ca="1" si="3"/>
        <v>46071</v>
      </c>
      <c r="Q200" s="14">
        <f ca="1">DATEDIF(FatmaUsf[[#This Row],[Hiring Date]],FatmaUsf[[#This Row],[current date]],"Y")</f>
        <v>9</v>
      </c>
      <c r="R200" s="15">
        <v>7236</v>
      </c>
      <c r="S200" s="53">
        <f>FatmaUsf[[#This Row],[Salary]]*0.1</f>
        <v>723.6</v>
      </c>
      <c r="T200" s="16">
        <f>FatmaUsf[[#This Row],[Salary]]*0.03</f>
        <v>217.07999999999998</v>
      </c>
      <c r="U200" s="48">
        <f>FatmaUsf[[#This Row],[Salary]]-FatmaUsf[[#This Row],[Tax 10%]]+FatmaUsf[[#This Row],[Bonus 3%]]</f>
        <v>6729.48</v>
      </c>
      <c r="V200" s="17" t="str">
        <f>IF(FatmaUsf[[#This Row],[Net Salary]]&gt;=6000,"Over","Normal")</f>
        <v>Over</v>
      </c>
      <c r="W200" s="57">
        <f>VLOOKUP(FatmaUsf[[#This Row],[Net Salary]],$Z$10:$AA$14,2)</f>
        <v>0.02</v>
      </c>
    </row>
    <row r="201" spans="1:23" ht="15.75" customHeight="1">
      <c r="A201" s="24">
        <v>1200</v>
      </c>
      <c r="B201" s="10" t="s">
        <v>487</v>
      </c>
      <c r="C201" s="10" t="s">
        <v>488</v>
      </c>
      <c r="D201" s="41" t="str">
        <f>PROPER(TRIM(FatmaUsf[[#This Row],[Last Name]]&amp;" "&amp;FatmaUsf[[#This Row],[Last Name]]))</f>
        <v>Altibae Altibae</v>
      </c>
      <c r="E201" s="10" t="s">
        <v>100</v>
      </c>
      <c r="F201" s="10" t="s">
        <v>758</v>
      </c>
      <c r="G201" s="10" t="s">
        <v>1100</v>
      </c>
      <c r="H201" s="11" t="s">
        <v>8</v>
      </c>
      <c r="I201" s="11" t="s">
        <v>25</v>
      </c>
      <c r="J201" s="12" t="s">
        <v>10</v>
      </c>
      <c r="K201" s="10" t="s">
        <v>992</v>
      </c>
      <c r="L201" s="13">
        <v>20</v>
      </c>
      <c r="M201" s="14">
        <v>5</v>
      </c>
      <c r="N201" s="14">
        <v>1999</v>
      </c>
      <c r="O201" s="46">
        <f>DATE(FatmaUsf[[#This Row],[Hire Year]],FatmaUsf[[#This Row],[Hire Month]],FatmaUsf[[#This Row],[Hire Day]])</f>
        <v>36300</v>
      </c>
      <c r="P201" s="46">
        <f t="shared" ca="1" si="3"/>
        <v>46071</v>
      </c>
      <c r="Q201" s="14">
        <f ca="1">DATEDIF(FatmaUsf[[#This Row],[Hiring Date]],FatmaUsf[[#This Row],[current date]],"Y")</f>
        <v>26</v>
      </c>
      <c r="R201" s="15">
        <v>6843</v>
      </c>
      <c r="S201" s="53">
        <f>FatmaUsf[[#This Row],[Salary]]*0.1</f>
        <v>684.30000000000007</v>
      </c>
      <c r="T201" s="16">
        <f>FatmaUsf[[#This Row],[Salary]]*0.03</f>
        <v>205.29</v>
      </c>
      <c r="U201" s="48">
        <f>FatmaUsf[[#This Row],[Salary]]-FatmaUsf[[#This Row],[Tax 10%]]+FatmaUsf[[#This Row],[Bonus 3%]]</f>
        <v>6363.99</v>
      </c>
      <c r="V201" s="17" t="str">
        <f>IF(FatmaUsf[[#This Row],[Net Salary]]&gt;=6000,"Over","Normal")</f>
        <v>Over</v>
      </c>
      <c r="W201" s="57">
        <f>VLOOKUP(FatmaUsf[[#This Row],[Net Salary]],$Z$10:$AA$14,2)</f>
        <v>0.02</v>
      </c>
    </row>
    <row r="202" spans="1:23" ht="15.75" customHeight="1">
      <c r="A202" s="24">
        <v>1201</v>
      </c>
      <c r="B202" s="10" t="s">
        <v>489</v>
      </c>
      <c r="C202" s="10" t="s">
        <v>103</v>
      </c>
      <c r="D202" s="41" t="str">
        <f>PROPER(TRIM(FatmaUsf[[#This Row],[Last Name]]&amp;" "&amp;FatmaUsf[[#This Row],[Last Name]]))</f>
        <v>Muhamad Muhamad</v>
      </c>
      <c r="E202" s="10" t="s">
        <v>99</v>
      </c>
      <c r="F202" s="10" t="s">
        <v>759</v>
      </c>
      <c r="G202" s="10" t="s">
        <v>1100</v>
      </c>
      <c r="H202" s="11" t="s">
        <v>8</v>
      </c>
      <c r="I202" s="11" t="s">
        <v>25</v>
      </c>
      <c r="J202" s="12" t="s">
        <v>10</v>
      </c>
      <c r="K202" s="10" t="s">
        <v>993</v>
      </c>
      <c r="L202" s="13">
        <v>25</v>
      </c>
      <c r="M202" s="14">
        <v>2</v>
      </c>
      <c r="N202" s="14">
        <v>2023</v>
      </c>
      <c r="O202" s="46">
        <f>DATE(FatmaUsf[[#This Row],[Hire Year]],FatmaUsf[[#This Row],[Hire Month]],FatmaUsf[[#This Row],[Hire Day]])</f>
        <v>44982</v>
      </c>
      <c r="P202" s="46">
        <f t="shared" ca="1" si="3"/>
        <v>46071</v>
      </c>
      <c r="Q202" s="14">
        <f ca="1">DATEDIF(FatmaUsf[[#This Row],[Hiring Date]],FatmaUsf[[#This Row],[current date]],"Y")</f>
        <v>2</v>
      </c>
      <c r="R202" s="15">
        <v>1070</v>
      </c>
      <c r="S202" s="53">
        <f>FatmaUsf[[#This Row],[Salary]]*0.1</f>
        <v>107</v>
      </c>
      <c r="T202" s="16">
        <f>FatmaUsf[[#This Row],[Salary]]*0.03</f>
        <v>32.1</v>
      </c>
      <c r="U202" s="48">
        <f>FatmaUsf[[#This Row],[Salary]]-FatmaUsf[[#This Row],[Tax 10%]]+FatmaUsf[[#This Row],[Bonus 3%]]</f>
        <v>995.1</v>
      </c>
      <c r="V202" s="17" t="str">
        <f>IF(FatmaUsf[[#This Row],[Net Salary]]&gt;=6000,"Over","Normal")</f>
        <v>Normal</v>
      </c>
      <c r="W202" s="57">
        <f>VLOOKUP(FatmaUsf[[#This Row],[Net Salary]],$Z$10:$AA$14,2)</f>
        <v>0.1</v>
      </c>
    </row>
    <row r="203" spans="1:23" ht="15.75" customHeight="1">
      <c r="A203" s="24">
        <v>1202</v>
      </c>
      <c r="B203" s="10" t="s">
        <v>377</v>
      </c>
      <c r="C203" s="10" t="s">
        <v>490</v>
      </c>
      <c r="D203" s="41" t="str">
        <f>PROPER(TRIM(FatmaUsf[[#This Row],[Last Name]]&amp;" "&amp;FatmaUsf[[#This Row],[Last Name]]))</f>
        <v>Aljabaei Aljabaei</v>
      </c>
      <c r="E203" s="10" t="s">
        <v>99</v>
      </c>
      <c r="F203" s="10" t="s">
        <v>760</v>
      </c>
      <c r="G203" s="10" t="s">
        <v>13</v>
      </c>
      <c r="H203" s="11" t="s">
        <v>8</v>
      </c>
      <c r="I203" s="11" t="s">
        <v>25</v>
      </c>
      <c r="J203" s="12" t="s">
        <v>12</v>
      </c>
      <c r="K203" s="10" t="s">
        <v>994</v>
      </c>
      <c r="L203" s="13">
        <v>7</v>
      </c>
      <c r="M203" s="14">
        <v>9</v>
      </c>
      <c r="N203" s="14">
        <v>2011</v>
      </c>
      <c r="O203" s="46">
        <f>DATE(FatmaUsf[[#This Row],[Hire Year]],FatmaUsf[[#This Row],[Hire Month]],FatmaUsf[[#This Row],[Hire Day]])</f>
        <v>40793</v>
      </c>
      <c r="P203" s="46">
        <f t="shared" ca="1" si="3"/>
        <v>46071</v>
      </c>
      <c r="Q203" s="14">
        <f ca="1">DATEDIF(FatmaUsf[[#This Row],[Hiring Date]],FatmaUsf[[#This Row],[current date]],"Y")</f>
        <v>14</v>
      </c>
      <c r="R203" s="15">
        <v>1493</v>
      </c>
      <c r="S203" s="53">
        <f>FatmaUsf[[#This Row],[Salary]]*0.1</f>
        <v>149.30000000000001</v>
      </c>
      <c r="T203" s="16">
        <f>FatmaUsf[[#This Row],[Salary]]*0.03</f>
        <v>44.79</v>
      </c>
      <c r="U203" s="48">
        <f>FatmaUsf[[#This Row],[Salary]]-FatmaUsf[[#This Row],[Tax 10%]]+FatmaUsf[[#This Row],[Bonus 3%]]</f>
        <v>1388.49</v>
      </c>
      <c r="V203" s="17" t="str">
        <f>IF(FatmaUsf[[#This Row],[Net Salary]]&gt;=6000,"Over","Normal")</f>
        <v>Normal</v>
      </c>
      <c r="W203" s="57">
        <f>VLOOKUP(FatmaUsf[[#This Row],[Net Salary]],$Z$10:$AA$14,2)</f>
        <v>0.08</v>
      </c>
    </row>
    <row r="204" spans="1:23" ht="15.75" customHeight="1">
      <c r="A204" s="24">
        <v>1203</v>
      </c>
      <c r="B204" s="10" t="s">
        <v>491</v>
      </c>
      <c r="C204" s="10" t="s">
        <v>492</v>
      </c>
      <c r="D204" s="41" t="str">
        <f>PROPER(TRIM(FatmaUsf[[#This Row],[Last Name]]&amp;" "&amp;FatmaUsf[[#This Row],[Last Name]]))</f>
        <v>Shwk Shwk</v>
      </c>
      <c r="E204" s="10" t="s">
        <v>100</v>
      </c>
      <c r="F204" s="10" t="s">
        <v>761</v>
      </c>
      <c r="G204" s="10" t="s">
        <v>19</v>
      </c>
      <c r="H204" s="11" t="s">
        <v>11</v>
      </c>
      <c r="I204" s="11" t="s">
        <v>25</v>
      </c>
      <c r="J204" s="12" t="s">
        <v>12</v>
      </c>
      <c r="K204" s="10" t="s">
        <v>995</v>
      </c>
      <c r="L204" s="13">
        <v>24</v>
      </c>
      <c r="M204" s="14">
        <v>12</v>
      </c>
      <c r="N204" s="14">
        <v>2001</v>
      </c>
      <c r="O204" s="46">
        <f>DATE(FatmaUsf[[#This Row],[Hire Year]],FatmaUsf[[#This Row],[Hire Month]],FatmaUsf[[#This Row],[Hire Day]])</f>
        <v>37249</v>
      </c>
      <c r="P204" s="46">
        <f t="shared" ca="1" si="3"/>
        <v>46071</v>
      </c>
      <c r="Q204" s="14">
        <f ca="1">DATEDIF(FatmaUsf[[#This Row],[Hiring Date]],FatmaUsf[[#This Row],[current date]],"Y")</f>
        <v>24</v>
      </c>
      <c r="R204" s="15">
        <v>5857</v>
      </c>
      <c r="S204" s="53">
        <f>FatmaUsf[[#This Row],[Salary]]*0.1</f>
        <v>585.70000000000005</v>
      </c>
      <c r="T204" s="16">
        <f>FatmaUsf[[#This Row],[Salary]]*0.03</f>
        <v>175.70999999999998</v>
      </c>
      <c r="U204" s="48">
        <f>FatmaUsf[[#This Row],[Salary]]-FatmaUsf[[#This Row],[Tax 10%]]+FatmaUsf[[#This Row],[Bonus 3%]]</f>
        <v>5447.01</v>
      </c>
      <c r="V204" s="17" t="str">
        <f>IF(FatmaUsf[[#This Row],[Net Salary]]&gt;=6000,"Over","Normal")</f>
        <v>Normal</v>
      </c>
      <c r="W204" s="57">
        <f>VLOOKUP(FatmaUsf[[#This Row],[Net Salary]],$Z$10:$AA$14,2)</f>
        <v>0.05</v>
      </c>
    </row>
    <row r="205" spans="1:23" ht="15.75" customHeight="1">
      <c r="A205" s="24">
        <v>1204</v>
      </c>
      <c r="B205" s="10" t="s">
        <v>102</v>
      </c>
      <c r="C205" s="10" t="s">
        <v>493</v>
      </c>
      <c r="D205" s="41" t="str">
        <f>PROPER(TRIM(FatmaUsf[[#This Row],[Last Name]]&amp;" "&amp;FatmaUsf[[#This Row],[Last Name]]))</f>
        <v>Hamuwdatan Hamuwdatan</v>
      </c>
      <c r="E205" s="10" t="s">
        <v>100</v>
      </c>
      <c r="F205" s="10" t="s">
        <v>762</v>
      </c>
      <c r="G205" s="10" t="s">
        <v>19</v>
      </c>
      <c r="H205" s="11" t="s">
        <v>8</v>
      </c>
      <c r="I205" s="11" t="s">
        <v>264</v>
      </c>
      <c r="J205" s="12" t="s">
        <v>12</v>
      </c>
      <c r="K205" s="10" t="s">
        <v>996</v>
      </c>
      <c r="L205" s="13">
        <v>28</v>
      </c>
      <c r="M205" s="14">
        <v>5</v>
      </c>
      <c r="N205" s="14">
        <v>2003</v>
      </c>
      <c r="O205" s="46">
        <f>DATE(FatmaUsf[[#This Row],[Hire Year]],FatmaUsf[[#This Row],[Hire Month]],FatmaUsf[[#This Row],[Hire Day]])</f>
        <v>37769</v>
      </c>
      <c r="P205" s="46">
        <f t="shared" ca="1" si="3"/>
        <v>46071</v>
      </c>
      <c r="Q205" s="14">
        <f ca="1">DATEDIF(FatmaUsf[[#This Row],[Hiring Date]],FatmaUsf[[#This Row],[current date]],"Y")</f>
        <v>22</v>
      </c>
      <c r="R205" s="15">
        <v>5278</v>
      </c>
      <c r="S205" s="53">
        <f>FatmaUsf[[#This Row],[Salary]]*0.1</f>
        <v>527.80000000000007</v>
      </c>
      <c r="T205" s="16">
        <f>FatmaUsf[[#This Row],[Salary]]*0.03</f>
        <v>158.34</v>
      </c>
      <c r="U205" s="48">
        <f>FatmaUsf[[#This Row],[Salary]]-FatmaUsf[[#This Row],[Tax 10%]]+FatmaUsf[[#This Row],[Bonus 3%]]</f>
        <v>4908.54</v>
      </c>
      <c r="V205" s="17" t="str">
        <f>IF(FatmaUsf[[#This Row],[Net Salary]]&gt;=6000,"Over","Normal")</f>
        <v>Normal</v>
      </c>
      <c r="W205" s="57">
        <f>VLOOKUP(FatmaUsf[[#This Row],[Net Salary]],$Z$10:$AA$14,2)</f>
        <v>0.05</v>
      </c>
    </row>
    <row r="206" spans="1:23" ht="15.75" customHeight="1">
      <c r="A206" s="24">
        <v>1205</v>
      </c>
      <c r="B206" s="10" t="s">
        <v>30</v>
      </c>
      <c r="C206" s="10" t="s">
        <v>494</v>
      </c>
      <c r="D206" s="41" t="str">
        <f>PROPER(TRIM(FatmaUsf[[#This Row],[Last Name]]&amp;" "&amp;FatmaUsf[[#This Row],[Last Name]]))</f>
        <v>Almiqdad Almiqdad</v>
      </c>
      <c r="E206" s="10" t="s">
        <v>100</v>
      </c>
      <c r="F206" s="10" t="s">
        <v>763</v>
      </c>
      <c r="G206" s="10" t="s">
        <v>1100</v>
      </c>
      <c r="H206" s="11" t="s">
        <v>11</v>
      </c>
      <c r="I206" s="11" t="s">
        <v>26</v>
      </c>
      <c r="J206" s="12" t="s">
        <v>20</v>
      </c>
      <c r="K206" s="10" t="s">
        <v>997</v>
      </c>
      <c r="L206" s="13">
        <v>10</v>
      </c>
      <c r="M206" s="14">
        <v>9</v>
      </c>
      <c r="N206" s="14">
        <v>1995</v>
      </c>
      <c r="O206" s="46">
        <f>DATE(FatmaUsf[[#This Row],[Hire Year]],FatmaUsf[[#This Row],[Hire Month]],FatmaUsf[[#This Row],[Hire Day]])</f>
        <v>34952</v>
      </c>
      <c r="P206" s="46">
        <f t="shared" ca="1" si="3"/>
        <v>46071</v>
      </c>
      <c r="Q206" s="14">
        <f ca="1">DATEDIF(FatmaUsf[[#This Row],[Hiring Date]],FatmaUsf[[#This Row],[current date]],"Y")</f>
        <v>30</v>
      </c>
      <c r="R206" s="15">
        <v>5710</v>
      </c>
      <c r="S206" s="53">
        <f>FatmaUsf[[#This Row],[Salary]]*0.1</f>
        <v>571</v>
      </c>
      <c r="T206" s="16">
        <f>FatmaUsf[[#This Row],[Salary]]*0.03</f>
        <v>171.29999999999998</v>
      </c>
      <c r="U206" s="48">
        <f>FatmaUsf[[#This Row],[Salary]]-FatmaUsf[[#This Row],[Tax 10%]]+FatmaUsf[[#This Row],[Bonus 3%]]</f>
        <v>5310.3</v>
      </c>
      <c r="V206" s="17" t="str">
        <f>IF(FatmaUsf[[#This Row],[Net Salary]]&gt;=6000,"Over","Normal")</f>
        <v>Normal</v>
      </c>
      <c r="W206" s="57">
        <f>VLOOKUP(FatmaUsf[[#This Row],[Net Salary]],$Z$10:$AA$14,2)</f>
        <v>0.05</v>
      </c>
    </row>
    <row r="207" spans="1:23" ht="15.75" customHeight="1">
      <c r="A207" s="24">
        <v>1206</v>
      </c>
      <c r="B207" s="10" t="s">
        <v>289</v>
      </c>
      <c r="C207" s="10" t="s">
        <v>276</v>
      </c>
      <c r="D207" s="41" t="str">
        <f>PROPER(TRIM(FatmaUsf[[#This Row],[Last Name]]&amp;" "&amp;FatmaUsf[[#This Row],[Last Name]]))</f>
        <v>Alkhatib Alkhatib</v>
      </c>
      <c r="E207" s="10" t="s">
        <v>99</v>
      </c>
      <c r="F207" s="10" t="s">
        <v>764</v>
      </c>
      <c r="G207" s="10" t="s">
        <v>13</v>
      </c>
      <c r="H207" s="11" t="s">
        <v>8</v>
      </c>
      <c r="I207" s="11" t="s">
        <v>15</v>
      </c>
      <c r="J207" s="12" t="s">
        <v>10</v>
      </c>
      <c r="K207" s="10" t="s">
        <v>863</v>
      </c>
      <c r="L207" s="13">
        <v>12</v>
      </c>
      <c r="M207" s="14">
        <v>1</v>
      </c>
      <c r="N207" s="14">
        <v>2011</v>
      </c>
      <c r="O207" s="46">
        <f>DATE(FatmaUsf[[#This Row],[Hire Year]],FatmaUsf[[#This Row],[Hire Month]],FatmaUsf[[#This Row],[Hire Day]])</f>
        <v>40555</v>
      </c>
      <c r="P207" s="46">
        <f t="shared" ca="1" si="3"/>
        <v>46071</v>
      </c>
      <c r="Q207" s="14">
        <f ca="1">DATEDIF(FatmaUsf[[#This Row],[Hiring Date]],FatmaUsf[[#This Row],[current date]],"Y")</f>
        <v>15</v>
      </c>
      <c r="R207" s="15">
        <v>6145</v>
      </c>
      <c r="S207" s="53">
        <f>FatmaUsf[[#This Row],[Salary]]*0.1</f>
        <v>614.5</v>
      </c>
      <c r="T207" s="16">
        <f>FatmaUsf[[#This Row],[Salary]]*0.03</f>
        <v>184.35</v>
      </c>
      <c r="U207" s="48">
        <f>FatmaUsf[[#This Row],[Salary]]-FatmaUsf[[#This Row],[Tax 10%]]+FatmaUsf[[#This Row],[Bonus 3%]]</f>
        <v>5714.85</v>
      </c>
      <c r="V207" s="17" t="str">
        <f>IF(FatmaUsf[[#This Row],[Net Salary]]&gt;=6000,"Over","Normal")</f>
        <v>Normal</v>
      </c>
      <c r="W207" s="57">
        <f>VLOOKUP(FatmaUsf[[#This Row],[Net Salary]],$Z$10:$AA$14,2)</f>
        <v>0.05</v>
      </c>
    </row>
    <row r="208" spans="1:23" ht="15.75" customHeight="1">
      <c r="A208" s="24">
        <v>1207</v>
      </c>
      <c r="B208" s="10" t="s">
        <v>167</v>
      </c>
      <c r="C208" s="10" t="s">
        <v>495</v>
      </c>
      <c r="D208" s="41" t="str">
        <f>PROPER(TRIM(FatmaUsf[[#This Row],[Last Name]]&amp;" "&amp;FatmaUsf[[#This Row],[Last Name]]))</f>
        <v>Alsyd Ahmad Alsyd Ahmad</v>
      </c>
      <c r="E208" s="10" t="s">
        <v>100</v>
      </c>
      <c r="F208" s="10" t="s">
        <v>765</v>
      </c>
      <c r="G208" s="10" t="s">
        <v>17</v>
      </c>
      <c r="H208" s="11" t="s">
        <v>14</v>
      </c>
      <c r="I208" s="11" t="s">
        <v>26</v>
      </c>
      <c r="J208" s="12" t="s">
        <v>10</v>
      </c>
      <c r="K208" s="10" t="s">
        <v>998</v>
      </c>
      <c r="L208" s="13">
        <v>18</v>
      </c>
      <c r="M208" s="14">
        <v>5</v>
      </c>
      <c r="N208" s="14">
        <v>1990</v>
      </c>
      <c r="O208" s="46">
        <f>DATE(FatmaUsf[[#This Row],[Hire Year]],FatmaUsf[[#This Row],[Hire Month]],FatmaUsf[[#This Row],[Hire Day]])</f>
        <v>33011</v>
      </c>
      <c r="P208" s="46">
        <f t="shared" ca="1" si="3"/>
        <v>46071</v>
      </c>
      <c r="Q208" s="14">
        <f ca="1">DATEDIF(FatmaUsf[[#This Row],[Hiring Date]],FatmaUsf[[#This Row],[current date]],"Y")</f>
        <v>35</v>
      </c>
      <c r="R208" s="15">
        <v>5278</v>
      </c>
      <c r="S208" s="53">
        <f>FatmaUsf[[#This Row],[Salary]]*0.1</f>
        <v>527.80000000000007</v>
      </c>
      <c r="T208" s="16">
        <f>FatmaUsf[[#This Row],[Salary]]*0.03</f>
        <v>158.34</v>
      </c>
      <c r="U208" s="48">
        <f>FatmaUsf[[#This Row],[Salary]]-FatmaUsf[[#This Row],[Tax 10%]]+FatmaUsf[[#This Row],[Bonus 3%]]</f>
        <v>4908.54</v>
      </c>
      <c r="V208" s="17" t="str">
        <f>IF(FatmaUsf[[#This Row],[Net Salary]]&gt;=6000,"Over","Normal")</f>
        <v>Normal</v>
      </c>
      <c r="W208" s="57">
        <f>VLOOKUP(FatmaUsf[[#This Row],[Net Salary]],$Z$10:$AA$14,2)</f>
        <v>0.05</v>
      </c>
    </row>
    <row r="209" spans="1:23" ht="15.75" customHeight="1">
      <c r="A209" s="24">
        <v>1208</v>
      </c>
      <c r="B209" s="10" t="s">
        <v>174</v>
      </c>
      <c r="C209" s="10" t="s">
        <v>496</v>
      </c>
      <c r="D209" s="41" t="str">
        <f>PROPER(TRIM(FatmaUsf[[#This Row],[Last Name]]&amp;" "&amp;FatmaUsf[[#This Row],[Last Name]]))</f>
        <v>Aldhiyab Aldhiyab</v>
      </c>
      <c r="E209" s="10" t="s">
        <v>100</v>
      </c>
      <c r="F209" s="10" t="s">
        <v>766</v>
      </c>
      <c r="G209" s="10" t="s">
        <v>17</v>
      </c>
      <c r="H209" s="11" t="s">
        <v>22</v>
      </c>
      <c r="I209" s="11" t="s">
        <v>9</v>
      </c>
      <c r="J209" s="12" t="s">
        <v>10</v>
      </c>
      <c r="K209" s="10" t="s">
        <v>999</v>
      </c>
      <c r="L209" s="13">
        <v>16</v>
      </c>
      <c r="M209" s="14">
        <v>10</v>
      </c>
      <c r="N209" s="14">
        <v>2021</v>
      </c>
      <c r="O209" s="46">
        <f>DATE(FatmaUsf[[#This Row],[Hire Year]],FatmaUsf[[#This Row],[Hire Month]],FatmaUsf[[#This Row],[Hire Day]])</f>
        <v>44485</v>
      </c>
      <c r="P209" s="46">
        <f t="shared" ca="1" si="3"/>
        <v>46071</v>
      </c>
      <c r="Q209" s="14">
        <f ca="1">DATEDIF(FatmaUsf[[#This Row],[Hiring Date]],FatmaUsf[[#This Row],[current date]],"Y")</f>
        <v>4</v>
      </c>
      <c r="R209" s="15">
        <v>6409</v>
      </c>
      <c r="S209" s="53">
        <f>FatmaUsf[[#This Row],[Salary]]*0.1</f>
        <v>640.90000000000009</v>
      </c>
      <c r="T209" s="16">
        <f>FatmaUsf[[#This Row],[Salary]]*0.03</f>
        <v>192.26999999999998</v>
      </c>
      <c r="U209" s="48">
        <f>FatmaUsf[[#This Row],[Salary]]-FatmaUsf[[#This Row],[Tax 10%]]+FatmaUsf[[#This Row],[Bonus 3%]]</f>
        <v>5960.3700000000008</v>
      </c>
      <c r="V209" s="17" t="str">
        <f>IF(FatmaUsf[[#This Row],[Net Salary]]&gt;=6000,"Over","Normal")</f>
        <v>Normal</v>
      </c>
      <c r="W209" s="57">
        <f>VLOOKUP(FatmaUsf[[#This Row],[Net Salary]],$Z$10:$AA$14,2)</f>
        <v>0.05</v>
      </c>
    </row>
    <row r="210" spans="1:23" ht="15.75" customHeight="1">
      <c r="A210" s="24">
        <v>1209</v>
      </c>
      <c r="B210" s="10" t="s">
        <v>425</v>
      </c>
      <c r="C210" s="10" t="s">
        <v>497</v>
      </c>
      <c r="D210" s="41" t="str">
        <f>PROPER(TRIM(FatmaUsf[[#This Row],[Last Name]]&amp;" "&amp;FatmaUsf[[#This Row],[Last Name]]))</f>
        <v>Almujahid Almujahid</v>
      </c>
      <c r="E210" s="10" t="s">
        <v>100</v>
      </c>
      <c r="F210" s="10" t="s">
        <v>767</v>
      </c>
      <c r="G210" s="10" t="s">
        <v>13</v>
      </c>
      <c r="H210" s="11" t="s">
        <v>8</v>
      </c>
      <c r="I210" s="11" t="s">
        <v>9</v>
      </c>
      <c r="J210" s="12" t="s">
        <v>20</v>
      </c>
      <c r="K210" s="10" t="s">
        <v>1000</v>
      </c>
      <c r="L210" s="13">
        <v>18</v>
      </c>
      <c r="M210" s="14">
        <v>11</v>
      </c>
      <c r="N210" s="14">
        <v>1996</v>
      </c>
      <c r="O210" s="46">
        <f>DATE(FatmaUsf[[#This Row],[Hire Year]],FatmaUsf[[#This Row],[Hire Month]],FatmaUsf[[#This Row],[Hire Day]])</f>
        <v>35387</v>
      </c>
      <c r="P210" s="46">
        <f t="shared" ca="1" si="3"/>
        <v>46071</v>
      </c>
      <c r="Q210" s="14">
        <f ca="1">DATEDIF(FatmaUsf[[#This Row],[Hiring Date]],FatmaUsf[[#This Row],[current date]],"Y")</f>
        <v>29</v>
      </c>
      <c r="R210" s="15">
        <v>7478</v>
      </c>
      <c r="S210" s="53">
        <f>FatmaUsf[[#This Row],[Salary]]*0.1</f>
        <v>747.80000000000007</v>
      </c>
      <c r="T210" s="16">
        <f>FatmaUsf[[#This Row],[Salary]]*0.03</f>
        <v>224.34</v>
      </c>
      <c r="U210" s="48">
        <f>FatmaUsf[[#This Row],[Salary]]-FatmaUsf[[#This Row],[Tax 10%]]+FatmaUsf[[#This Row],[Bonus 3%]]</f>
        <v>6954.54</v>
      </c>
      <c r="V210" s="17" t="str">
        <f>IF(FatmaUsf[[#This Row],[Net Salary]]&gt;=6000,"Over","Normal")</f>
        <v>Over</v>
      </c>
      <c r="W210" s="57">
        <f>VLOOKUP(FatmaUsf[[#This Row],[Net Salary]],$Z$10:$AA$14,2)</f>
        <v>0.02</v>
      </c>
    </row>
    <row r="211" spans="1:23" ht="15.75" customHeight="1">
      <c r="A211" s="24">
        <v>1210</v>
      </c>
      <c r="B211" s="10" t="s">
        <v>96</v>
      </c>
      <c r="C211" s="10" t="s">
        <v>332</v>
      </c>
      <c r="D211" s="41" t="str">
        <f>PROPER(TRIM(FatmaUsf[[#This Row],[Last Name]]&amp;" "&amp;FatmaUsf[[#This Row],[Last Name]]))</f>
        <v>Alhumwi Alhumwi</v>
      </c>
      <c r="E211" s="10" t="s">
        <v>99</v>
      </c>
      <c r="F211" s="10" t="s">
        <v>768</v>
      </c>
      <c r="G211" s="10" t="s">
        <v>1100</v>
      </c>
      <c r="H211" s="11" t="s">
        <v>8</v>
      </c>
      <c r="I211" s="11" t="s">
        <v>9</v>
      </c>
      <c r="J211" s="12" t="s">
        <v>10</v>
      </c>
      <c r="K211" s="10" t="s">
        <v>1001</v>
      </c>
      <c r="L211" s="13">
        <v>5</v>
      </c>
      <c r="M211" s="14">
        <v>4</v>
      </c>
      <c r="N211" s="14">
        <v>1991</v>
      </c>
      <c r="O211" s="46">
        <f>DATE(FatmaUsf[[#This Row],[Hire Year]],FatmaUsf[[#This Row],[Hire Month]],FatmaUsf[[#This Row],[Hire Day]])</f>
        <v>33333</v>
      </c>
      <c r="P211" s="46">
        <f t="shared" ca="1" si="3"/>
        <v>46071</v>
      </c>
      <c r="Q211" s="14">
        <f ca="1">DATEDIF(FatmaUsf[[#This Row],[Hiring Date]],FatmaUsf[[#This Row],[current date]],"Y")</f>
        <v>34</v>
      </c>
      <c r="R211" s="15">
        <v>4621</v>
      </c>
      <c r="S211" s="53">
        <f>FatmaUsf[[#This Row],[Salary]]*0.1</f>
        <v>462.1</v>
      </c>
      <c r="T211" s="16">
        <f>FatmaUsf[[#This Row],[Salary]]*0.03</f>
        <v>138.63</v>
      </c>
      <c r="U211" s="48">
        <f>FatmaUsf[[#This Row],[Salary]]-FatmaUsf[[#This Row],[Tax 10%]]+FatmaUsf[[#This Row],[Bonus 3%]]</f>
        <v>4297.53</v>
      </c>
      <c r="V211" s="17" t="str">
        <f>IF(FatmaUsf[[#This Row],[Net Salary]]&gt;=6000,"Over","Normal")</f>
        <v>Normal</v>
      </c>
      <c r="W211" s="57">
        <f>VLOOKUP(FatmaUsf[[#This Row],[Net Salary]],$Z$10:$AA$14,2)</f>
        <v>0.05</v>
      </c>
    </row>
    <row r="212" spans="1:23" ht="15.75" customHeight="1">
      <c r="A212" s="24">
        <v>1211</v>
      </c>
      <c r="B212" s="10" t="s">
        <v>121</v>
      </c>
      <c r="C212" s="10" t="s">
        <v>498</v>
      </c>
      <c r="D212" s="41" t="str">
        <f>PROPER(TRIM(FatmaUsf[[#This Row],[Last Name]]&amp;" "&amp;FatmaUsf[[#This Row],[Last Name]]))</f>
        <v>Hawria Hawria</v>
      </c>
      <c r="E212" s="10" t="s">
        <v>100</v>
      </c>
      <c r="F212" s="10" t="s">
        <v>769</v>
      </c>
      <c r="G212" s="10" t="s">
        <v>17</v>
      </c>
      <c r="H212" s="11" t="s">
        <v>11</v>
      </c>
      <c r="I212" s="11" t="s">
        <v>27</v>
      </c>
      <c r="J212" s="12" t="s">
        <v>12</v>
      </c>
      <c r="K212" s="10" t="s">
        <v>1002</v>
      </c>
      <c r="L212" s="13">
        <v>1</v>
      </c>
      <c r="M212" s="14">
        <v>2</v>
      </c>
      <c r="N212" s="14">
        <v>2019</v>
      </c>
      <c r="O212" s="46">
        <f>DATE(FatmaUsf[[#This Row],[Hire Year]],FatmaUsf[[#This Row],[Hire Month]],FatmaUsf[[#This Row],[Hire Day]])</f>
        <v>43497</v>
      </c>
      <c r="P212" s="46">
        <f t="shared" ca="1" si="3"/>
        <v>46071</v>
      </c>
      <c r="Q212" s="14">
        <f ca="1">DATEDIF(FatmaUsf[[#This Row],[Hiring Date]],FatmaUsf[[#This Row],[current date]],"Y")</f>
        <v>7</v>
      </c>
      <c r="R212" s="15">
        <v>2093</v>
      </c>
      <c r="S212" s="53">
        <f>FatmaUsf[[#This Row],[Salary]]*0.1</f>
        <v>209.3</v>
      </c>
      <c r="T212" s="16">
        <f>FatmaUsf[[#This Row],[Salary]]*0.03</f>
        <v>62.79</v>
      </c>
      <c r="U212" s="48">
        <f>FatmaUsf[[#This Row],[Salary]]-FatmaUsf[[#This Row],[Tax 10%]]+FatmaUsf[[#This Row],[Bonus 3%]]</f>
        <v>1946.49</v>
      </c>
      <c r="V212" s="17" t="str">
        <f>IF(FatmaUsf[[#This Row],[Net Salary]]&gt;=6000,"Over","Normal")</f>
        <v>Normal</v>
      </c>
      <c r="W212" s="57">
        <f>VLOOKUP(FatmaUsf[[#This Row],[Net Salary]],$Z$10:$AA$14,2)</f>
        <v>0.08</v>
      </c>
    </row>
    <row r="213" spans="1:23" ht="15.75" customHeight="1">
      <c r="A213" s="24">
        <v>1212</v>
      </c>
      <c r="B213" s="10" t="s">
        <v>499</v>
      </c>
      <c r="C213" s="10" t="s">
        <v>500</v>
      </c>
      <c r="D213" s="41" t="str">
        <f>PROPER(TRIM(FatmaUsf[[#This Row],[Last Name]]&amp;" "&amp;FatmaUsf[[#This Row],[Last Name]]))</f>
        <v>Ghrz Aldiyn Ghrz Aldiyn</v>
      </c>
      <c r="E213" s="10" t="s">
        <v>99</v>
      </c>
      <c r="F213" s="10" t="s">
        <v>770</v>
      </c>
      <c r="G213" s="10" t="s">
        <v>1100</v>
      </c>
      <c r="H213" s="11" t="s">
        <v>11</v>
      </c>
      <c r="I213" s="11" t="s">
        <v>264</v>
      </c>
      <c r="J213" s="12" t="s">
        <v>10</v>
      </c>
      <c r="K213" s="10" t="s">
        <v>1003</v>
      </c>
      <c r="L213" s="13">
        <v>24</v>
      </c>
      <c r="M213" s="14">
        <v>8</v>
      </c>
      <c r="N213" s="14">
        <v>1995</v>
      </c>
      <c r="O213" s="46">
        <f>DATE(FatmaUsf[[#This Row],[Hire Year]],FatmaUsf[[#This Row],[Hire Month]],FatmaUsf[[#This Row],[Hire Day]])</f>
        <v>34935</v>
      </c>
      <c r="P213" s="46">
        <f t="shared" ca="1" si="3"/>
        <v>46071</v>
      </c>
      <c r="Q213" s="14">
        <f ca="1">DATEDIF(FatmaUsf[[#This Row],[Hiring Date]],FatmaUsf[[#This Row],[current date]],"Y")</f>
        <v>30</v>
      </c>
      <c r="R213" s="15">
        <v>7333</v>
      </c>
      <c r="S213" s="53">
        <f>FatmaUsf[[#This Row],[Salary]]*0.1</f>
        <v>733.30000000000007</v>
      </c>
      <c r="T213" s="16">
        <f>FatmaUsf[[#This Row],[Salary]]*0.03</f>
        <v>219.98999999999998</v>
      </c>
      <c r="U213" s="48">
        <f>FatmaUsf[[#This Row],[Salary]]-FatmaUsf[[#This Row],[Tax 10%]]+FatmaUsf[[#This Row],[Bonus 3%]]</f>
        <v>6819.69</v>
      </c>
      <c r="V213" s="17" t="str">
        <f>IF(FatmaUsf[[#This Row],[Net Salary]]&gt;=6000,"Over","Normal")</f>
        <v>Over</v>
      </c>
      <c r="W213" s="57">
        <f>VLOOKUP(FatmaUsf[[#This Row],[Net Salary]],$Z$10:$AA$14,2)</f>
        <v>0.02</v>
      </c>
    </row>
    <row r="214" spans="1:23" ht="15.75" customHeight="1">
      <c r="A214" s="24">
        <v>1213</v>
      </c>
      <c r="B214" s="10" t="s">
        <v>501</v>
      </c>
      <c r="C214" s="10" t="s">
        <v>502</v>
      </c>
      <c r="D214" s="41" t="str">
        <f>PROPER(TRIM(FatmaUsf[[#This Row],[Last Name]]&amp;" "&amp;FatmaUsf[[#This Row],[Last Name]]))</f>
        <v>Hanna Hanna</v>
      </c>
      <c r="E214" s="10" t="s">
        <v>100</v>
      </c>
      <c r="F214" s="10" t="s">
        <v>771</v>
      </c>
      <c r="G214" s="10" t="s">
        <v>17</v>
      </c>
      <c r="H214" s="11" t="s">
        <v>8</v>
      </c>
      <c r="I214" s="11" t="s">
        <v>15</v>
      </c>
      <c r="J214" s="12" t="s">
        <v>12</v>
      </c>
      <c r="K214" s="10" t="s">
        <v>1004</v>
      </c>
      <c r="L214" s="13">
        <v>17</v>
      </c>
      <c r="M214" s="14">
        <v>4</v>
      </c>
      <c r="N214" s="14">
        <v>1996</v>
      </c>
      <c r="O214" s="46">
        <f>DATE(FatmaUsf[[#This Row],[Hire Year]],FatmaUsf[[#This Row],[Hire Month]],FatmaUsf[[#This Row],[Hire Day]])</f>
        <v>35172</v>
      </c>
      <c r="P214" s="46">
        <f t="shared" ca="1" si="3"/>
        <v>46071</v>
      </c>
      <c r="Q214" s="14">
        <f ca="1">DATEDIF(FatmaUsf[[#This Row],[Hiring Date]],FatmaUsf[[#This Row],[current date]],"Y")</f>
        <v>29</v>
      </c>
      <c r="R214" s="15">
        <v>1194</v>
      </c>
      <c r="S214" s="53">
        <f>FatmaUsf[[#This Row],[Salary]]*0.1</f>
        <v>119.4</v>
      </c>
      <c r="T214" s="16">
        <f>FatmaUsf[[#This Row],[Salary]]*0.03</f>
        <v>35.82</v>
      </c>
      <c r="U214" s="48">
        <f>FatmaUsf[[#This Row],[Salary]]-FatmaUsf[[#This Row],[Tax 10%]]+FatmaUsf[[#This Row],[Bonus 3%]]</f>
        <v>1110.4199999999998</v>
      </c>
      <c r="V214" s="17" t="str">
        <f>IF(FatmaUsf[[#This Row],[Net Salary]]&gt;=6000,"Over","Normal")</f>
        <v>Normal</v>
      </c>
      <c r="W214" s="57">
        <f>VLOOKUP(FatmaUsf[[#This Row],[Net Salary]],$Z$10:$AA$14,2)</f>
        <v>0.08</v>
      </c>
    </row>
    <row r="215" spans="1:23" ht="15.75" customHeight="1">
      <c r="A215" s="24">
        <v>1214</v>
      </c>
      <c r="B215" s="10" t="s">
        <v>301</v>
      </c>
      <c r="C215" s="10" t="s">
        <v>503</v>
      </c>
      <c r="D215" s="41" t="str">
        <f>PROPER(TRIM(FatmaUsf[[#This Row],[Last Name]]&amp;" "&amp;FatmaUsf[[#This Row],[Last Name]]))</f>
        <v>Alkalu Alkalu</v>
      </c>
      <c r="E215" s="10" t="s">
        <v>100</v>
      </c>
      <c r="F215" s="10" t="s">
        <v>772</v>
      </c>
      <c r="G215" s="10" t="s">
        <v>7</v>
      </c>
      <c r="H215" s="11" t="s">
        <v>8</v>
      </c>
      <c r="I215" s="11" t="s">
        <v>15</v>
      </c>
      <c r="J215" s="12" t="s">
        <v>23</v>
      </c>
      <c r="K215" s="10" t="s">
        <v>1005</v>
      </c>
      <c r="L215" s="13">
        <v>9</v>
      </c>
      <c r="M215" s="14">
        <v>2</v>
      </c>
      <c r="N215" s="14">
        <v>2002</v>
      </c>
      <c r="O215" s="46">
        <f>DATE(FatmaUsf[[#This Row],[Hire Year]],FatmaUsf[[#This Row],[Hire Month]],FatmaUsf[[#This Row],[Hire Day]])</f>
        <v>37296</v>
      </c>
      <c r="P215" s="46">
        <f t="shared" ca="1" si="3"/>
        <v>46071</v>
      </c>
      <c r="Q215" s="14">
        <f ca="1">DATEDIF(FatmaUsf[[#This Row],[Hiring Date]],FatmaUsf[[#This Row],[current date]],"Y")</f>
        <v>24</v>
      </c>
      <c r="R215" s="15">
        <v>5118</v>
      </c>
      <c r="S215" s="53">
        <f>FatmaUsf[[#This Row],[Salary]]*0.1</f>
        <v>511.8</v>
      </c>
      <c r="T215" s="16">
        <f>FatmaUsf[[#This Row],[Salary]]*0.03</f>
        <v>153.54</v>
      </c>
      <c r="U215" s="48">
        <f>FatmaUsf[[#This Row],[Salary]]-FatmaUsf[[#This Row],[Tax 10%]]+FatmaUsf[[#This Row],[Bonus 3%]]</f>
        <v>4759.74</v>
      </c>
      <c r="V215" s="17" t="str">
        <f>IF(FatmaUsf[[#This Row],[Net Salary]]&gt;=6000,"Over","Normal")</f>
        <v>Normal</v>
      </c>
      <c r="W215" s="57">
        <f>VLOOKUP(FatmaUsf[[#This Row],[Net Salary]],$Z$10:$AA$14,2)</f>
        <v>0.05</v>
      </c>
    </row>
    <row r="216" spans="1:23" ht="15.75" customHeight="1">
      <c r="A216" s="24">
        <v>1215</v>
      </c>
      <c r="B216" s="10" t="s">
        <v>115</v>
      </c>
      <c r="C216" s="10" t="s">
        <v>116</v>
      </c>
      <c r="D216" s="41" t="str">
        <f>PROPER(TRIM(FatmaUsf[[#This Row],[Last Name]]&amp;" "&amp;FatmaUsf[[#This Row],[Last Name]]))</f>
        <v>Dbs Dbs</v>
      </c>
      <c r="E216" s="10" t="s">
        <v>99</v>
      </c>
      <c r="F216" s="10" t="s">
        <v>773</v>
      </c>
      <c r="G216" s="10" t="s">
        <v>17</v>
      </c>
      <c r="H216" s="11" t="s">
        <v>22</v>
      </c>
      <c r="I216" s="11" t="s">
        <v>28</v>
      </c>
      <c r="J216" s="12" t="s">
        <v>12</v>
      </c>
      <c r="K216" s="10" t="s">
        <v>218</v>
      </c>
      <c r="L216" s="13">
        <v>13</v>
      </c>
      <c r="M216" s="14">
        <v>1</v>
      </c>
      <c r="N216" s="14">
        <v>1996</v>
      </c>
      <c r="O216" s="46">
        <f>DATE(FatmaUsf[[#This Row],[Hire Year]],FatmaUsf[[#This Row],[Hire Month]],FatmaUsf[[#This Row],[Hire Day]])</f>
        <v>35077</v>
      </c>
      <c r="P216" s="46">
        <f t="shared" ca="1" si="3"/>
        <v>46071</v>
      </c>
      <c r="Q216" s="14">
        <f ca="1">DATEDIF(FatmaUsf[[#This Row],[Hiring Date]],FatmaUsf[[#This Row],[current date]],"Y")</f>
        <v>30</v>
      </c>
      <c r="R216" s="15">
        <v>5373</v>
      </c>
      <c r="S216" s="53">
        <f>FatmaUsf[[#This Row],[Salary]]*0.1</f>
        <v>537.30000000000007</v>
      </c>
      <c r="T216" s="16">
        <f>FatmaUsf[[#This Row],[Salary]]*0.03</f>
        <v>161.19</v>
      </c>
      <c r="U216" s="48">
        <f>FatmaUsf[[#This Row],[Salary]]-FatmaUsf[[#This Row],[Tax 10%]]+FatmaUsf[[#This Row],[Bonus 3%]]</f>
        <v>4996.8899999999994</v>
      </c>
      <c r="V216" s="17" t="str">
        <f>IF(FatmaUsf[[#This Row],[Net Salary]]&gt;=6000,"Over","Normal")</f>
        <v>Normal</v>
      </c>
      <c r="W216" s="57">
        <f>VLOOKUP(FatmaUsf[[#This Row],[Net Salary]],$Z$10:$AA$14,2)</f>
        <v>0.05</v>
      </c>
    </row>
    <row r="217" spans="1:23" ht="15.75" customHeight="1">
      <c r="A217" s="24">
        <v>1216</v>
      </c>
      <c r="B217" s="10" t="s">
        <v>167</v>
      </c>
      <c r="C217" s="10" t="s">
        <v>504</v>
      </c>
      <c r="D217" s="41" t="str">
        <f>PROPER(TRIM(FatmaUsf[[#This Row],[Last Name]]&amp;" "&amp;FatmaUsf[[#This Row],[Last Name]]))</f>
        <v>Alkhayrat Alkhayrat</v>
      </c>
      <c r="E217" s="10" t="s">
        <v>100</v>
      </c>
      <c r="F217" s="10" t="s">
        <v>774</v>
      </c>
      <c r="G217" s="10" t="s">
        <v>17</v>
      </c>
      <c r="H217" s="11" t="s">
        <v>8</v>
      </c>
      <c r="I217" s="11" t="s">
        <v>29</v>
      </c>
      <c r="J217" s="12" t="s">
        <v>12</v>
      </c>
      <c r="K217" s="10" t="s">
        <v>1006</v>
      </c>
      <c r="L217" s="13">
        <v>23</v>
      </c>
      <c r="M217" s="14">
        <v>3</v>
      </c>
      <c r="N217" s="14">
        <v>2005</v>
      </c>
      <c r="O217" s="46">
        <f>DATE(FatmaUsf[[#This Row],[Hire Year]],FatmaUsf[[#This Row],[Hire Month]],FatmaUsf[[#This Row],[Hire Day]])</f>
        <v>38434</v>
      </c>
      <c r="P217" s="46">
        <f t="shared" ca="1" si="3"/>
        <v>46071</v>
      </c>
      <c r="Q217" s="14">
        <f ca="1">DATEDIF(FatmaUsf[[#This Row],[Hiring Date]],FatmaUsf[[#This Row],[current date]],"Y")</f>
        <v>20</v>
      </c>
      <c r="R217" s="15">
        <v>1708</v>
      </c>
      <c r="S217" s="53">
        <f>FatmaUsf[[#This Row],[Salary]]*0.1</f>
        <v>170.8</v>
      </c>
      <c r="T217" s="16">
        <f>FatmaUsf[[#This Row],[Salary]]*0.03</f>
        <v>51.239999999999995</v>
      </c>
      <c r="U217" s="48">
        <f>FatmaUsf[[#This Row],[Salary]]-FatmaUsf[[#This Row],[Tax 10%]]+FatmaUsf[[#This Row],[Bonus 3%]]</f>
        <v>1588.44</v>
      </c>
      <c r="V217" s="17" t="str">
        <f>IF(FatmaUsf[[#This Row],[Net Salary]]&gt;=6000,"Over","Normal")</f>
        <v>Normal</v>
      </c>
      <c r="W217" s="57">
        <f>VLOOKUP(FatmaUsf[[#This Row],[Net Salary]],$Z$10:$AA$14,2)</f>
        <v>0.08</v>
      </c>
    </row>
    <row r="218" spans="1:23" ht="15.75" customHeight="1">
      <c r="A218" s="24">
        <v>1217</v>
      </c>
      <c r="B218" s="10" t="s">
        <v>505</v>
      </c>
      <c r="C218" s="10" t="s">
        <v>506</v>
      </c>
      <c r="D218" s="41" t="str">
        <f>PROPER(TRIM(FatmaUsf[[#This Row],[Last Name]]&amp;" "&amp;FatmaUsf[[#This Row],[Last Name]]))</f>
        <v>Alshiyraziu Alshiyraziu</v>
      </c>
      <c r="E218" s="10" t="s">
        <v>100</v>
      </c>
      <c r="F218" s="10" t="s">
        <v>775</v>
      </c>
      <c r="G218" s="10" t="s">
        <v>19</v>
      </c>
      <c r="H218" s="11" t="s">
        <v>14</v>
      </c>
      <c r="I218" s="11" t="s">
        <v>264</v>
      </c>
      <c r="J218" s="12" t="s">
        <v>10</v>
      </c>
      <c r="K218" s="10" t="s">
        <v>1007</v>
      </c>
      <c r="L218" s="13">
        <v>5</v>
      </c>
      <c r="M218" s="14">
        <v>1</v>
      </c>
      <c r="N218" s="14">
        <v>2016</v>
      </c>
      <c r="O218" s="46">
        <f>DATE(FatmaUsf[[#This Row],[Hire Year]],FatmaUsf[[#This Row],[Hire Month]],FatmaUsf[[#This Row],[Hire Day]])</f>
        <v>42374</v>
      </c>
      <c r="P218" s="46">
        <f t="shared" ca="1" si="3"/>
        <v>46071</v>
      </c>
      <c r="Q218" s="14">
        <f ca="1">DATEDIF(FatmaUsf[[#This Row],[Hiring Date]],FatmaUsf[[#This Row],[current date]],"Y")</f>
        <v>10</v>
      </c>
      <c r="R218" s="15">
        <v>2898</v>
      </c>
      <c r="S218" s="53">
        <f>FatmaUsf[[#This Row],[Salary]]*0.1</f>
        <v>289.8</v>
      </c>
      <c r="T218" s="16">
        <f>FatmaUsf[[#This Row],[Salary]]*0.03</f>
        <v>86.94</v>
      </c>
      <c r="U218" s="48">
        <f>FatmaUsf[[#This Row],[Salary]]-FatmaUsf[[#This Row],[Tax 10%]]+FatmaUsf[[#This Row],[Bonus 3%]]</f>
        <v>2695.14</v>
      </c>
      <c r="V218" s="17" t="str">
        <f>IF(FatmaUsf[[#This Row],[Net Salary]]&gt;=6000,"Over","Normal")</f>
        <v>Normal</v>
      </c>
      <c r="W218" s="57">
        <f>VLOOKUP(FatmaUsf[[#This Row],[Net Salary]],$Z$10:$AA$14,2)</f>
        <v>0.08</v>
      </c>
    </row>
    <row r="219" spans="1:23" ht="15.75" customHeight="1">
      <c r="A219" s="24">
        <v>1218</v>
      </c>
      <c r="B219" s="10" t="s">
        <v>410</v>
      </c>
      <c r="C219" s="10" t="s">
        <v>352</v>
      </c>
      <c r="D219" s="41" t="str">
        <f>PROPER(TRIM(FatmaUsf[[#This Row],[Last Name]]&amp;" "&amp;FatmaUsf[[#This Row],[Last Name]]))</f>
        <v>Shakir Shakir</v>
      </c>
      <c r="E219" s="10" t="s">
        <v>100</v>
      </c>
      <c r="F219" s="10" t="s">
        <v>776</v>
      </c>
      <c r="G219" s="10" t="s">
        <v>7</v>
      </c>
      <c r="H219" s="11" t="s">
        <v>8</v>
      </c>
      <c r="I219" s="11" t="s">
        <v>26</v>
      </c>
      <c r="J219" s="12" t="s">
        <v>12</v>
      </c>
      <c r="K219" s="10" t="s">
        <v>1008</v>
      </c>
      <c r="L219" s="13">
        <v>6</v>
      </c>
      <c r="M219" s="14">
        <v>11</v>
      </c>
      <c r="N219" s="14">
        <v>2010</v>
      </c>
      <c r="O219" s="46">
        <f>DATE(FatmaUsf[[#This Row],[Hire Year]],FatmaUsf[[#This Row],[Hire Month]],FatmaUsf[[#This Row],[Hire Day]])</f>
        <v>40488</v>
      </c>
      <c r="P219" s="46">
        <f t="shared" ca="1" si="3"/>
        <v>46071</v>
      </c>
      <c r="Q219" s="14">
        <f ca="1">DATEDIF(FatmaUsf[[#This Row],[Hiring Date]],FatmaUsf[[#This Row],[current date]],"Y")</f>
        <v>15</v>
      </c>
      <c r="R219" s="15">
        <v>6211</v>
      </c>
      <c r="S219" s="53">
        <f>FatmaUsf[[#This Row],[Salary]]*0.1</f>
        <v>621.1</v>
      </c>
      <c r="T219" s="16">
        <f>FatmaUsf[[#This Row],[Salary]]*0.03</f>
        <v>186.32999999999998</v>
      </c>
      <c r="U219" s="48">
        <f>FatmaUsf[[#This Row],[Salary]]-FatmaUsf[[#This Row],[Tax 10%]]+FatmaUsf[[#This Row],[Bonus 3%]]</f>
        <v>5776.23</v>
      </c>
      <c r="V219" s="17" t="str">
        <f>IF(FatmaUsf[[#This Row],[Net Salary]]&gt;=6000,"Over","Normal")</f>
        <v>Normal</v>
      </c>
      <c r="W219" s="57">
        <f>VLOOKUP(FatmaUsf[[#This Row],[Net Salary]],$Z$10:$AA$14,2)</f>
        <v>0.05</v>
      </c>
    </row>
    <row r="220" spans="1:23" ht="15.75" customHeight="1">
      <c r="A220" s="24">
        <v>1219</v>
      </c>
      <c r="B220" s="10" t="s">
        <v>507</v>
      </c>
      <c r="C220" s="10" t="s">
        <v>508</v>
      </c>
      <c r="D220" s="41" t="str">
        <f>PROPER(TRIM(FatmaUsf[[#This Row],[Last Name]]&amp;" "&amp;FatmaUsf[[#This Row],[Last Name]]))</f>
        <v>Sabih Sabih</v>
      </c>
      <c r="E220" s="10" t="s">
        <v>99</v>
      </c>
      <c r="F220" s="10" t="s">
        <v>777</v>
      </c>
      <c r="G220" s="10" t="s">
        <v>19</v>
      </c>
      <c r="H220" s="11" t="s">
        <v>11</v>
      </c>
      <c r="I220" s="11" t="s">
        <v>9</v>
      </c>
      <c r="J220" s="12" t="s">
        <v>23</v>
      </c>
      <c r="K220" s="10" t="s">
        <v>1009</v>
      </c>
      <c r="L220" s="13">
        <v>17</v>
      </c>
      <c r="M220" s="14">
        <v>9</v>
      </c>
      <c r="N220" s="14">
        <v>2018</v>
      </c>
      <c r="O220" s="46">
        <f>DATE(FatmaUsf[[#This Row],[Hire Year]],FatmaUsf[[#This Row],[Hire Month]],FatmaUsf[[#This Row],[Hire Day]])</f>
        <v>43360</v>
      </c>
      <c r="P220" s="46">
        <f t="shared" ca="1" si="3"/>
        <v>46071</v>
      </c>
      <c r="Q220" s="14">
        <f ca="1">DATEDIF(FatmaUsf[[#This Row],[Hiring Date]],FatmaUsf[[#This Row],[current date]],"Y")</f>
        <v>7</v>
      </c>
      <c r="R220" s="15">
        <v>5976</v>
      </c>
      <c r="S220" s="53">
        <f>FatmaUsf[[#This Row],[Salary]]*0.1</f>
        <v>597.6</v>
      </c>
      <c r="T220" s="16">
        <f>FatmaUsf[[#This Row],[Salary]]*0.03</f>
        <v>179.28</v>
      </c>
      <c r="U220" s="48">
        <f>FatmaUsf[[#This Row],[Salary]]-FatmaUsf[[#This Row],[Tax 10%]]+FatmaUsf[[#This Row],[Bonus 3%]]</f>
        <v>5557.6799999999994</v>
      </c>
      <c r="V220" s="17" t="str">
        <f>IF(FatmaUsf[[#This Row],[Net Salary]]&gt;=6000,"Over","Normal")</f>
        <v>Normal</v>
      </c>
      <c r="W220" s="57">
        <f>VLOOKUP(FatmaUsf[[#This Row],[Net Salary]],$Z$10:$AA$14,2)</f>
        <v>0.05</v>
      </c>
    </row>
    <row r="221" spans="1:23" ht="15.75" customHeight="1">
      <c r="A221" s="24">
        <v>1220</v>
      </c>
      <c r="B221" s="10" t="s">
        <v>118</v>
      </c>
      <c r="C221" s="10" t="s">
        <v>509</v>
      </c>
      <c r="D221" s="41" t="str">
        <f>PROPER(TRIM(FatmaUsf[[#This Row],[Last Name]]&amp;" "&amp;FatmaUsf[[#This Row],[Last Name]]))</f>
        <v>Efan Efan</v>
      </c>
      <c r="E221" s="10" t="s">
        <v>99</v>
      </c>
      <c r="F221" s="10" t="s">
        <v>778</v>
      </c>
      <c r="G221" s="10" t="s">
        <v>19</v>
      </c>
      <c r="H221" s="11" t="s">
        <v>11</v>
      </c>
      <c r="I221" s="11" t="s">
        <v>9</v>
      </c>
      <c r="J221" s="12" t="s">
        <v>20</v>
      </c>
      <c r="K221" s="10" t="s">
        <v>1010</v>
      </c>
      <c r="L221" s="13">
        <v>19</v>
      </c>
      <c r="M221" s="14">
        <v>7</v>
      </c>
      <c r="N221" s="14">
        <v>1992</v>
      </c>
      <c r="O221" s="46">
        <f>DATE(FatmaUsf[[#This Row],[Hire Year]],FatmaUsf[[#This Row],[Hire Month]],FatmaUsf[[#This Row],[Hire Day]])</f>
        <v>33804</v>
      </c>
      <c r="P221" s="46">
        <f t="shared" ca="1" si="3"/>
        <v>46071</v>
      </c>
      <c r="Q221" s="14">
        <f ca="1">DATEDIF(FatmaUsf[[#This Row],[Hiring Date]],FatmaUsf[[#This Row],[current date]],"Y")</f>
        <v>33</v>
      </c>
      <c r="R221" s="15">
        <v>742</v>
      </c>
      <c r="S221" s="53">
        <f>FatmaUsf[[#This Row],[Salary]]*0.1</f>
        <v>74.2</v>
      </c>
      <c r="T221" s="16">
        <f>FatmaUsf[[#This Row],[Salary]]*0.03</f>
        <v>22.259999999999998</v>
      </c>
      <c r="U221" s="48">
        <f>FatmaUsf[[#This Row],[Salary]]-FatmaUsf[[#This Row],[Tax 10%]]+FatmaUsf[[#This Row],[Bonus 3%]]</f>
        <v>690.06</v>
      </c>
      <c r="V221" s="17" t="str">
        <f>IF(FatmaUsf[[#This Row],[Net Salary]]&gt;=6000,"Over","Normal")</f>
        <v>Normal</v>
      </c>
      <c r="W221" s="57">
        <f>VLOOKUP(FatmaUsf[[#This Row],[Net Salary]],$Z$10:$AA$14,2)</f>
        <v>0.1</v>
      </c>
    </row>
    <row r="222" spans="1:23" ht="15.75" customHeight="1">
      <c r="A222" s="24">
        <v>1221</v>
      </c>
      <c r="B222" s="10" t="s">
        <v>410</v>
      </c>
      <c r="C222" s="10" t="s">
        <v>123</v>
      </c>
      <c r="D222" s="41" t="str">
        <f>PROPER(TRIM(FatmaUsf[[#This Row],[Last Name]]&amp;" "&amp;FatmaUsf[[#This Row],[Last Name]]))</f>
        <v>Salim Salim</v>
      </c>
      <c r="E222" s="10" t="s">
        <v>100</v>
      </c>
      <c r="F222" s="10" t="s">
        <v>779</v>
      </c>
      <c r="G222" s="10" t="s">
        <v>13</v>
      </c>
      <c r="H222" s="11" t="s">
        <v>8</v>
      </c>
      <c r="I222" s="11" t="s">
        <v>27</v>
      </c>
      <c r="J222" s="12" t="s">
        <v>23</v>
      </c>
      <c r="K222" s="10" t="s">
        <v>1011</v>
      </c>
      <c r="L222" s="13">
        <v>9</v>
      </c>
      <c r="M222" s="14">
        <v>9</v>
      </c>
      <c r="N222" s="14">
        <v>2014</v>
      </c>
      <c r="O222" s="46">
        <f>DATE(FatmaUsf[[#This Row],[Hire Year]],FatmaUsf[[#This Row],[Hire Month]],FatmaUsf[[#This Row],[Hire Day]])</f>
        <v>41891</v>
      </c>
      <c r="P222" s="46">
        <f t="shared" ca="1" si="3"/>
        <v>46071</v>
      </c>
      <c r="Q222" s="14">
        <f ca="1">DATEDIF(FatmaUsf[[#This Row],[Hiring Date]],FatmaUsf[[#This Row],[current date]],"Y")</f>
        <v>11</v>
      </c>
      <c r="R222" s="15">
        <v>5918</v>
      </c>
      <c r="S222" s="53">
        <f>FatmaUsf[[#This Row],[Salary]]*0.1</f>
        <v>591.80000000000007</v>
      </c>
      <c r="T222" s="16">
        <f>FatmaUsf[[#This Row],[Salary]]*0.03</f>
        <v>177.54</v>
      </c>
      <c r="U222" s="48">
        <f>FatmaUsf[[#This Row],[Salary]]-FatmaUsf[[#This Row],[Tax 10%]]+FatmaUsf[[#This Row],[Bonus 3%]]</f>
        <v>5503.74</v>
      </c>
      <c r="V222" s="17" t="str">
        <f>IF(FatmaUsf[[#This Row],[Net Salary]]&gt;=6000,"Over","Normal")</f>
        <v>Normal</v>
      </c>
      <c r="W222" s="57">
        <f>VLOOKUP(FatmaUsf[[#This Row],[Net Salary]],$Z$10:$AA$14,2)</f>
        <v>0.05</v>
      </c>
    </row>
    <row r="223" spans="1:23" ht="15.75" customHeight="1">
      <c r="A223" s="24">
        <v>1222</v>
      </c>
      <c r="B223" s="10" t="s">
        <v>171</v>
      </c>
      <c r="C223" s="10" t="s">
        <v>510</v>
      </c>
      <c r="D223" s="41" t="str">
        <f>PROPER(TRIM(FatmaUsf[[#This Row],[Last Name]]&amp;" "&amp;FatmaUsf[[#This Row],[Last Name]]))</f>
        <v>Mia Mia</v>
      </c>
      <c r="E223" s="10" t="s">
        <v>99</v>
      </c>
      <c r="F223" s="10" t="s">
        <v>780</v>
      </c>
      <c r="G223" s="10" t="s">
        <v>13</v>
      </c>
      <c r="H223" s="11" t="s">
        <v>11</v>
      </c>
      <c r="I223" s="11" t="s">
        <v>15</v>
      </c>
      <c r="J223" s="12" t="s">
        <v>12</v>
      </c>
      <c r="K223" s="10" t="s">
        <v>1012</v>
      </c>
      <c r="L223" s="13">
        <v>15</v>
      </c>
      <c r="M223" s="14">
        <v>6</v>
      </c>
      <c r="N223" s="14">
        <v>1996</v>
      </c>
      <c r="O223" s="46">
        <f>DATE(FatmaUsf[[#This Row],[Hire Year]],FatmaUsf[[#This Row],[Hire Month]],FatmaUsf[[#This Row],[Hire Day]])</f>
        <v>35231</v>
      </c>
      <c r="P223" s="46">
        <f t="shared" ca="1" si="3"/>
        <v>46071</v>
      </c>
      <c r="Q223" s="14">
        <f ca="1">DATEDIF(FatmaUsf[[#This Row],[Hiring Date]],FatmaUsf[[#This Row],[current date]],"Y")</f>
        <v>29</v>
      </c>
      <c r="R223" s="15">
        <v>3074</v>
      </c>
      <c r="S223" s="53">
        <f>FatmaUsf[[#This Row],[Salary]]*0.1</f>
        <v>307.40000000000003</v>
      </c>
      <c r="T223" s="16">
        <f>FatmaUsf[[#This Row],[Salary]]*0.03</f>
        <v>92.22</v>
      </c>
      <c r="U223" s="48">
        <f>FatmaUsf[[#This Row],[Salary]]-FatmaUsf[[#This Row],[Tax 10%]]+FatmaUsf[[#This Row],[Bonus 3%]]</f>
        <v>2858.8199999999997</v>
      </c>
      <c r="V223" s="17" t="str">
        <f>IF(FatmaUsf[[#This Row],[Net Salary]]&gt;=6000,"Over","Normal")</f>
        <v>Normal</v>
      </c>
      <c r="W223" s="57">
        <f>VLOOKUP(FatmaUsf[[#This Row],[Net Salary]],$Z$10:$AA$14,2)</f>
        <v>0.08</v>
      </c>
    </row>
    <row r="224" spans="1:23" ht="15.75" customHeight="1">
      <c r="A224" s="24">
        <v>1223</v>
      </c>
      <c r="B224" s="10" t="s">
        <v>511</v>
      </c>
      <c r="C224" s="10" t="s">
        <v>102</v>
      </c>
      <c r="D224" s="41" t="str">
        <f>PROPER(TRIM(FatmaUsf[[#This Row],[Last Name]]&amp;" "&amp;FatmaUsf[[#This Row],[Last Name]]))</f>
        <v>Ahmad Ahmad</v>
      </c>
      <c r="E224" s="10" t="s">
        <v>100</v>
      </c>
      <c r="F224" s="10" t="s">
        <v>781</v>
      </c>
      <c r="G224" s="10" t="s">
        <v>19</v>
      </c>
      <c r="H224" s="11" t="s">
        <v>8</v>
      </c>
      <c r="I224" s="11" t="s">
        <v>9</v>
      </c>
      <c r="J224" s="12" t="s">
        <v>23</v>
      </c>
      <c r="K224" s="10" t="s">
        <v>227</v>
      </c>
      <c r="L224" s="13">
        <v>7</v>
      </c>
      <c r="M224" s="14">
        <v>8</v>
      </c>
      <c r="N224" s="14">
        <v>2007</v>
      </c>
      <c r="O224" s="46">
        <f>DATE(FatmaUsf[[#This Row],[Hire Year]],FatmaUsf[[#This Row],[Hire Month]],FatmaUsf[[#This Row],[Hire Day]])</f>
        <v>39301</v>
      </c>
      <c r="P224" s="46">
        <f t="shared" ca="1" si="3"/>
        <v>46071</v>
      </c>
      <c r="Q224" s="14">
        <f ca="1">DATEDIF(FatmaUsf[[#This Row],[Hiring Date]],FatmaUsf[[#This Row],[current date]],"Y")</f>
        <v>18</v>
      </c>
      <c r="R224" s="15">
        <v>5688</v>
      </c>
      <c r="S224" s="53">
        <f>FatmaUsf[[#This Row],[Salary]]*0.1</f>
        <v>568.80000000000007</v>
      </c>
      <c r="T224" s="16">
        <f>FatmaUsf[[#This Row],[Salary]]*0.03</f>
        <v>170.64</v>
      </c>
      <c r="U224" s="48">
        <f>FatmaUsf[[#This Row],[Salary]]-FatmaUsf[[#This Row],[Tax 10%]]+FatmaUsf[[#This Row],[Bonus 3%]]</f>
        <v>5289.84</v>
      </c>
      <c r="V224" s="17" t="str">
        <f>IF(FatmaUsf[[#This Row],[Net Salary]]&gt;=6000,"Over","Normal")</f>
        <v>Normal</v>
      </c>
      <c r="W224" s="57">
        <f>VLOOKUP(FatmaUsf[[#This Row],[Net Salary]],$Z$10:$AA$14,2)</f>
        <v>0.05</v>
      </c>
    </row>
    <row r="225" spans="1:23" ht="15.75" customHeight="1">
      <c r="A225" s="24">
        <v>1224</v>
      </c>
      <c r="B225" s="10" t="s">
        <v>512</v>
      </c>
      <c r="C225" s="10" t="s">
        <v>513</v>
      </c>
      <c r="D225" s="41" t="str">
        <f>PROPER(TRIM(FatmaUsf[[#This Row],[Last Name]]&amp;" "&amp;FatmaUsf[[#This Row],[Last Name]]))</f>
        <v>Rashwani Rashwani</v>
      </c>
      <c r="E225" s="10" t="s">
        <v>100</v>
      </c>
      <c r="F225" s="10" t="s">
        <v>782</v>
      </c>
      <c r="G225" s="10" t="s">
        <v>13</v>
      </c>
      <c r="H225" s="11" t="s">
        <v>14</v>
      </c>
      <c r="I225" s="11" t="s">
        <v>9</v>
      </c>
      <c r="J225" s="12" t="s">
        <v>10</v>
      </c>
      <c r="K225" s="10" t="s">
        <v>1013</v>
      </c>
      <c r="L225" s="13">
        <v>2</v>
      </c>
      <c r="M225" s="14">
        <v>9</v>
      </c>
      <c r="N225" s="14">
        <v>2001</v>
      </c>
      <c r="O225" s="46">
        <f>DATE(FatmaUsf[[#This Row],[Hire Year]],FatmaUsf[[#This Row],[Hire Month]],FatmaUsf[[#This Row],[Hire Day]])</f>
        <v>37136</v>
      </c>
      <c r="P225" s="46">
        <f t="shared" ca="1" si="3"/>
        <v>46071</v>
      </c>
      <c r="Q225" s="14">
        <f ca="1">DATEDIF(FatmaUsf[[#This Row],[Hiring Date]],FatmaUsf[[#This Row],[current date]],"Y")</f>
        <v>24</v>
      </c>
      <c r="R225" s="15">
        <v>3362</v>
      </c>
      <c r="S225" s="53">
        <f>FatmaUsf[[#This Row],[Salary]]*0.1</f>
        <v>336.20000000000005</v>
      </c>
      <c r="T225" s="16">
        <f>FatmaUsf[[#This Row],[Salary]]*0.03</f>
        <v>100.86</v>
      </c>
      <c r="U225" s="48">
        <f>FatmaUsf[[#This Row],[Salary]]-FatmaUsf[[#This Row],[Tax 10%]]+FatmaUsf[[#This Row],[Bonus 3%]]</f>
        <v>3126.6600000000003</v>
      </c>
      <c r="V225" s="17" t="str">
        <f>IF(FatmaUsf[[#This Row],[Net Salary]]&gt;=6000,"Over","Normal")</f>
        <v>Normal</v>
      </c>
      <c r="W225" s="57">
        <f>VLOOKUP(FatmaUsf[[#This Row],[Net Salary]],$Z$10:$AA$14,2)</f>
        <v>0.05</v>
      </c>
    </row>
    <row r="226" spans="1:23" ht="15.75" customHeight="1">
      <c r="A226" s="24">
        <v>1225</v>
      </c>
      <c r="B226" s="10" t="s">
        <v>377</v>
      </c>
      <c r="C226" s="10" t="s">
        <v>514</v>
      </c>
      <c r="D226" s="41" t="str">
        <f>PROPER(TRIM(FatmaUsf[[#This Row],[Last Name]]&amp;" "&amp;FatmaUsf[[#This Row],[Last Name]]))</f>
        <v>Saeid Saeid</v>
      </c>
      <c r="E226" s="10" t="s">
        <v>99</v>
      </c>
      <c r="F226" s="10" t="s">
        <v>783</v>
      </c>
      <c r="G226" s="10" t="s">
        <v>17</v>
      </c>
      <c r="H226" s="11" t="s">
        <v>11</v>
      </c>
      <c r="I226" s="11" t="s">
        <v>9</v>
      </c>
      <c r="J226" s="12" t="s">
        <v>12</v>
      </c>
      <c r="K226" s="10" t="s">
        <v>1014</v>
      </c>
      <c r="L226" s="13">
        <v>11</v>
      </c>
      <c r="M226" s="14">
        <v>2</v>
      </c>
      <c r="N226" s="14">
        <v>2017</v>
      </c>
      <c r="O226" s="46">
        <f>DATE(FatmaUsf[[#This Row],[Hire Year]],FatmaUsf[[#This Row],[Hire Month]],FatmaUsf[[#This Row],[Hire Day]])</f>
        <v>42777</v>
      </c>
      <c r="P226" s="46">
        <f t="shared" ca="1" si="3"/>
        <v>46071</v>
      </c>
      <c r="Q226" s="14">
        <f ca="1">DATEDIF(FatmaUsf[[#This Row],[Hiring Date]],FatmaUsf[[#This Row],[current date]],"Y")</f>
        <v>9</v>
      </c>
      <c r="R226" s="15">
        <v>6043</v>
      </c>
      <c r="S226" s="53">
        <f>FatmaUsf[[#This Row],[Salary]]*0.1</f>
        <v>604.30000000000007</v>
      </c>
      <c r="T226" s="16">
        <f>FatmaUsf[[#This Row],[Salary]]*0.03</f>
        <v>181.29</v>
      </c>
      <c r="U226" s="48">
        <f>FatmaUsf[[#This Row],[Salary]]-FatmaUsf[[#This Row],[Tax 10%]]+FatmaUsf[[#This Row],[Bonus 3%]]</f>
        <v>5619.99</v>
      </c>
      <c r="V226" s="17" t="str">
        <f>IF(FatmaUsf[[#This Row],[Net Salary]]&gt;=6000,"Over","Normal")</f>
        <v>Normal</v>
      </c>
      <c r="W226" s="57">
        <f>VLOOKUP(FatmaUsf[[#This Row],[Net Salary]],$Z$10:$AA$14,2)</f>
        <v>0.05</v>
      </c>
    </row>
    <row r="227" spans="1:23" ht="15.75" customHeight="1">
      <c r="A227" s="24">
        <v>1226</v>
      </c>
      <c r="B227" s="10" t="s">
        <v>102</v>
      </c>
      <c r="C227" s="10" t="s">
        <v>331</v>
      </c>
      <c r="D227" s="41" t="str">
        <f>PROPER(TRIM(FatmaUsf[[#This Row],[Last Name]]&amp;" "&amp;FatmaUsf[[#This Row],[Last Name]]))</f>
        <v>Salih Salih</v>
      </c>
      <c r="E227" s="10" t="s">
        <v>100</v>
      </c>
      <c r="F227" s="10" t="s">
        <v>784</v>
      </c>
      <c r="G227" s="10" t="s">
        <v>17</v>
      </c>
      <c r="H227" s="11" t="s">
        <v>8</v>
      </c>
      <c r="I227" s="11" t="s">
        <v>9</v>
      </c>
      <c r="J227" s="12" t="s">
        <v>12</v>
      </c>
      <c r="K227" s="10" t="s">
        <v>889</v>
      </c>
      <c r="L227" s="13">
        <v>20</v>
      </c>
      <c r="M227" s="14">
        <v>1</v>
      </c>
      <c r="N227" s="14">
        <v>1992</v>
      </c>
      <c r="O227" s="46">
        <f>DATE(FatmaUsf[[#This Row],[Hire Year]],FatmaUsf[[#This Row],[Hire Month]],FatmaUsf[[#This Row],[Hire Day]])</f>
        <v>33623</v>
      </c>
      <c r="P227" s="46">
        <f t="shared" ca="1" si="3"/>
        <v>46071</v>
      </c>
      <c r="Q227" s="14">
        <f ca="1">DATEDIF(FatmaUsf[[#This Row],[Hiring Date]],FatmaUsf[[#This Row],[current date]],"Y")</f>
        <v>34</v>
      </c>
      <c r="R227" s="15">
        <v>6260</v>
      </c>
      <c r="S227" s="53">
        <f>FatmaUsf[[#This Row],[Salary]]*0.1</f>
        <v>626</v>
      </c>
      <c r="T227" s="16">
        <f>FatmaUsf[[#This Row],[Salary]]*0.03</f>
        <v>187.79999999999998</v>
      </c>
      <c r="U227" s="48">
        <f>FatmaUsf[[#This Row],[Salary]]-FatmaUsf[[#This Row],[Tax 10%]]+FatmaUsf[[#This Row],[Bonus 3%]]</f>
        <v>5821.8</v>
      </c>
      <c r="V227" s="17" t="str">
        <f>IF(FatmaUsf[[#This Row],[Net Salary]]&gt;=6000,"Over","Normal")</f>
        <v>Normal</v>
      </c>
      <c r="W227" s="57">
        <f>VLOOKUP(FatmaUsf[[#This Row],[Net Salary]],$Z$10:$AA$14,2)</f>
        <v>0.05</v>
      </c>
    </row>
    <row r="228" spans="1:23" ht="15.75" customHeight="1">
      <c r="A228" s="24">
        <v>1227</v>
      </c>
      <c r="B228" s="10" t="s">
        <v>515</v>
      </c>
      <c r="C228" s="10" t="s">
        <v>516</v>
      </c>
      <c r="D228" s="41" t="str">
        <f>PROPER(TRIM(FatmaUsf[[#This Row],[Last Name]]&amp;" "&amp;FatmaUsf[[#This Row],[Last Name]]))</f>
        <v>Rafaea Rafaea</v>
      </c>
      <c r="E228" s="10" t="s">
        <v>100</v>
      </c>
      <c r="F228" s="10" t="s">
        <v>785</v>
      </c>
      <c r="G228" s="10" t="s">
        <v>17</v>
      </c>
      <c r="H228" s="11" t="s">
        <v>8</v>
      </c>
      <c r="I228" s="11" t="s">
        <v>9</v>
      </c>
      <c r="J228" s="12" t="s">
        <v>23</v>
      </c>
      <c r="K228" s="10" t="s">
        <v>1015</v>
      </c>
      <c r="L228" s="13">
        <v>17</v>
      </c>
      <c r="M228" s="14">
        <v>7</v>
      </c>
      <c r="N228" s="14">
        <v>2017</v>
      </c>
      <c r="O228" s="46">
        <f>DATE(FatmaUsf[[#This Row],[Hire Year]],FatmaUsf[[#This Row],[Hire Month]],FatmaUsf[[#This Row],[Hire Day]])</f>
        <v>42933</v>
      </c>
      <c r="P228" s="46">
        <f t="shared" ca="1" si="3"/>
        <v>46071</v>
      </c>
      <c r="Q228" s="14">
        <f ca="1">DATEDIF(FatmaUsf[[#This Row],[Hiring Date]],FatmaUsf[[#This Row],[current date]],"Y")</f>
        <v>8</v>
      </c>
      <c r="R228" s="15">
        <v>3754</v>
      </c>
      <c r="S228" s="53">
        <f>FatmaUsf[[#This Row],[Salary]]*0.1</f>
        <v>375.40000000000003</v>
      </c>
      <c r="T228" s="16">
        <f>FatmaUsf[[#This Row],[Salary]]*0.03</f>
        <v>112.61999999999999</v>
      </c>
      <c r="U228" s="48">
        <f>FatmaUsf[[#This Row],[Salary]]-FatmaUsf[[#This Row],[Tax 10%]]+FatmaUsf[[#This Row],[Bonus 3%]]</f>
        <v>3491.22</v>
      </c>
      <c r="V228" s="17" t="str">
        <f>IF(FatmaUsf[[#This Row],[Net Salary]]&gt;=6000,"Over","Normal")</f>
        <v>Normal</v>
      </c>
      <c r="W228" s="57">
        <f>VLOOKUP(FatmaUsf[[#This Row],[Net Salary]],$Z$10:$AA$14,2)</f>
        <v>0.05</v>
      </c>
    </row>
    <row r="229" spans="1:23" ht="15.75" customHeight="1">
      <c r="A229" s="24">
        <v>1228</v>
      </c>
      <c r="B229" s="10" t="s">
        <v>517</v>
      </c>
      <c r="C229" s="10" t="s">
        <v>518</v>
      </c>
      <c r="D229" s="41" t="str">
        <f>PROPER(TRIM(FatmaUsf[[#This Row],[Last Name]]&amp;" "&amp;FatmaUsf[[#This Row],[Last Name]]))</f>
        <v>Alhakim Alhakim</v>
      </c>
      <c r="E229" s="10" t="s">
        <v>99</v>
      </c>
      <c r="F229" s="10" t="s">
        <v>786</v>
      </c>
      <c r="G229" s="10" t="s">
        <v>13</v>
      </c>
      <c r="H229" s="11" t="s">
        <v>14</v>
      </c>
      <c r="I229" s="11" t="s">
        <v>25</v>
      </c>
      <c r="J229" s="12" t="s">
        <v>12</v>
      </c>
      <c r="K229" s="10" t="s">
        <v>1016</v>
      </c>
      <c r="L229" s="13">
        <v>21</v>
      </c>
      <c r="M229" s="14">
        <v>11</v>
      </c>
      <c r="N229" s="14">
        <v>2013</v>
      </c>
      <c r="O229" s="46">
        <f>DATE(FatmaUsf[[#This Row],[Hire Year]],FatmaUsf[[#This Row],[Hire Month]],FatmaUsf[[#This Row],[Hire Day]])</f>
        <v>41599</v>
      </c>
      <c r="P229" s="46">
        <f t="shared" ca="1" si="3"/>
        <v>46071</v>
      </c>
      <c r="Q229" s="14">
        <f ca="1">DATEDIF(FatmaUsf[[#This Row],[Hiring Date]],FatmaUsf[[#This Row],[current date]],"Y")</f>
        <v>12</v>
      </c>
      <c r="R229" s="15">
        <v>6579</v>
      </c>
      <c r="S229" s="53">
        <f>FatmaUsf[[#This Row],[Salary]]*0.1</f>
        <v>657.90000000000009</v>
      </c>
      <c r="T229" s="16">
        <f>FatmaUsf[[#This Row],[Salary]]*0.03</f>
        <v>197.37</v>
      </c>
      <c r="U229" s="48">
        <f>FatmaUsf[[#This Row],[Salary]]-FatmaUsf[[#This Row],[Tax 10%]]+FatmaUsf[[#This Row],[Bonus 3%]]</f>
        <v>6118.47</v>
      </c>
      <c r="V229" s="17" t="str">
        <f>IF(FatmaUsf[[#This Row],[Net Salary]]&gt;=6000,"Over","Normal")</f>
        <v>Over</v>
      </c>
      <c r="W229" s="57">
        <f>VLOOKUP(FatmaUsf[[#This Row],[Net Salary]],$Z$10:$AA$14,2)</f>
        <v>0.02</v>
      </c>
    </row>
    <row r="230" spans="1:23" ht="15.75" customHeight="1">
      <c r="A230" s="24">
        <v>1229</v>
      </c>
      <c r="B230" s="10" t="s">
        <v>392</v>
      </c>
      <c r="C230" s="10" t="s">
        <v>519</v>
      </c>
      <c r="D230" s="41" t="str">
        <f>PROPER(TRIM(FatmaUsf[[#This Row],[Last Name]]&amp;" "&amp;FatmaUsf[[#This Row],[Last Name]]))</f>
        <v>Zarzur Zarzur</v>
      </c>
      <c r="E230" s="10" t="s">
        <v>100</v>
      </c>
      <c r="F230" s="10" t="s">
        <v>787</v>
      </c>
      <c r="G230" s="10" t="s">
        <v>17</v>
      </c>
      <c r="H230" s="11" t="s">
        <v>14</v>
      </c>
      <c r="I230" s="11" t="s">
        <v>18</v>
      </c>
      <c r="J230" s="12" t="s">
        <v>12</v>
      </c>
      <c r="K230" s="10" t="s">
        <v>1017</v>
      </c>
      <c r="L230" s="13">
        <v>23</v>
      </c>
      <c r="M230" s="14">
        <v>10</v>
      </c>
      <c r="N230" s="14">
        <v>2012</v>
      </c>
      <c r="O230" s="46">
        <f>DATE(FatmaUsf[[#This Row],[Hire Year]],FatmaUsf[[#This Row],[Hire Month]],FatmaUsf[[#This Row],[Hire Day]])</f>
        <v>41205</v>
      </c>
      <c r="P230" s="46">
        <f t="shared" ca="1" si="3"/>
        <v>46071</v>
      </c>
      <c r="Q230" s="14">
        <f ca="1">DATEDIF(FatmaUsf[[#This Row],[Hiring Date]],FatmaUsf[[#This Row],[current date]],"Y")</f>
        <v>13</v>
      </c>
      <c r="R230" s="15">
        <v>5373</v>
      </c>
      <c r="S230" s="53">
        <f>FatmaUsf[[#This Row],[Salary]]*0.1</f>
        <v>537.30000000000007</v>
      </c>
      <c r="T230" s="16">
        <f>FatmaUsf[[#This Row],[Salary]]*0.03</f>
        <v>161.19</v>
      </c>
      <c r="U230" s="48">
        <f>FatmaUsf[[#This Row],[Salary]]-FatmaUsf[[#This Row],[Tax 10%]]+FatmaUsf[[#This Row],[Bonus 3%]]</f>
        <v>4996.8899999999994</v>
      </c>
      <c r="V230" s="17" t="str">
        <f>IF(FatmaUsf[[#This Row],[Net Salary]]&gt;=6000,"Over","Normal")</f>
        <v>Normal</v>
      </c>
      <c r="W230" s="57">
        <f>VLOOKUP(FatmaUsf[[#This Row],[Net Salary]],$Z$10:$AA$14,2)</f>
        <v>0.05</v>
      </c>
    </row>
    <row r="231" spans="1:23" ht="15.75" customHeight="1">
      <c r="A231" s="24">
        <v>1230</v>
      </c>
      <c r="B231" s="10" t="s">
        <v>520</v>
      </c>
      <c r="C231" s="10" t="s">
        <v>521</v>
      </c>
      <c r="D231" s="41" t="str">
        <f>PROPER(TRIM(FatmaUsf[[#This Row],[Last Name]]&amp;" "&amp;FatmaUsf[[#This Row],[Last Name]]))</f>
        <v>Red Red</v>
      </c>
      <c r="E231" s="10" t="s">
        <v>99</v>
      </c>
      <c r="F231" s="10" t="s">
        <v>788</v>
      </c>
      <c r="G231" s="10" t="s">
        <v>13</v>
      </c>
      <c r="H231" s="11" t="s">
        <v>11</v>
      </c>
      <c r="I231" s="11" t="s">
        <v>15</v>
      </c>
      <c r="J231" s="12" t="s">
        <v>10</v>
      </c>
      <c r="K231" s="10" t="s">
        <v>1018</v>
      </c>
      <c r="L231" s="13">
        <v>7</v>
      </c>
      <c r="M231" s="14">
        <v>9</v>
      </c>
      <c r="N231" s="14">
        <v>1995</v>
      </c>
      <c r="O231" s="46">
        <f>DATE(FatmaUsf[[#This Row],[Hire Year]],FatmaUsf[[#This Row],[Hire Month]],FatmaUsf[[#This Row],[Hire Day]])</f>
        <v>34949</v>
      </c>
      <c r="P231" s="46">
        <f t="shared" ca="1" si="3"/>
        <v>46071</v>
      </c>
      <c r="Q231" s="14">
        <f ca="1">DATEDIF(FatmaUsf[[#This Row],[Hiring Date]],FatmaUsf[[#This Row],[current date]],"Y")</f>
        <v>30</v>
      </c>
      <c r="R231" s="15">
        <v>1391</v>
      </c>
      <c r="S231" s="53">
        <f>FatmaUsf[[#This Row],[Salary]]*0.1</f>
        <v>139.1</v>
      </c>
      <c r="T231" s="16">
        <f>FatmaUsf[[#This Row],[Salary]]*0.03</f>
        <v>41.73</v>
      </c>
      <c r="U231" s="48">
        <f>FatmaUsf[[#This Row],[Salary]]-FatmaUsf[[#This Row],[Tax 10%]]+FatmaUsf[[#This Row],[Bonus 3%]]</f>
        <v>1293.6300000000001</v>
      </c>
      <c r="V231" s="17" t="str">
        <f>IF(FatmaUsf[[#This Row],[Net Salary]]&gt;=6000,"Over","Normal")</f>
        <v>Normal</v>
      </c>
      <c r="W231" s="57">
        <f>VLOOKUP(FatmaUsf[[#This Row],[Net Salary]],$Z$10:$AA$14,2)</f>
        <v>0.08</v>
      </c>
    </row>
    <row r="232" spans="1:23" ht="15.75" customHeight="1">
      <c r="A232" s="24">
        <v>1231</v>
      </c>
      <c r="B232" s="10" t="s">
        <v>102</v>
      </c>
      <c r="C232" s="10" t="s">
        <v>522</v>
      </c>
      <c r="D232" s="41" t="str">
        <f>PROPER(TRIM(FatmaUsf[[#This Row],[Last Name]]&amp;" "&amp;FatmaUsf[[#This Row],[Last Name]]))</f>
        <v>Ezqul Ezqul</v>
      </c>
      <c r="E232" s="10" t="s">
        <v>100</v>
      </c>
      <c r="F232" s="10" t="s">
        <v>789</v>
      </c>
      <c r="G232" s="10" t="s">
        <v>17</v>
      </c>
      <c r="H232" s="11" t="s">
        <v>11</v>
      </c>
      <c r="I232" s="11" t="s">
        <v>264</v>
      </c>
      <c r="J232" s="12" t="s">
        <v>10</v>
      </c>
      <c r="K232" s="10" t="s">
        <v>1019</v>
      </c>
      <c r="L232" s="13">
        <v>1</v>
      </c>
      <c r="M232" s="14">
        <v>7</v>
      </c>
      <c r="N232" s="14">
        <v>2019</v>
      </c>
      <c r="O232" s="46">
        <f>DATE(FatmaUsf[[#This Row],[Hire Year]],FatmaUsf[[#This Row],[Hire Month]],FatmaUsf[[#This Row],[Hire Day]])</f>
        <v>43647</v>
      </c>
      <c r="P232" s="46">
        <f t="shared" ca="1" si="3"/>
        <v>46071</v>
      </c>
      <c r="Q232" s="14">
        <f ca="1">DATEDIF(FatmaUsf[[#This Row],[Hiring Date]],FatmaUsf[[#This Row],[current date]],"Y")</f>
        <v>6</v>
      </c>
      <c r="R232" s="15">
        <v>2528</v>
      </c>
      <c r="S232" s="53">
        <f>FatmaUsf[[#This Row],[Salary]]*0.1</f>
        <v>252.8</v>
      </c>
      <c r="T232" s="16">
        <f>FatmaUsf[[#This Row],[Salary]]*0.03</f>
        <v>75.84</v>
      </c>
      <c r="U232" s="48">
        <f>FatmaUsf[[#This Row],[Salary]]-FatmaUsf[[#This Row],[Tax 10%]]+FatmaUsf[[#This Row],[Bonus 3%]]</f>
        <v>2351.04</v>
      </c>
      <c r="V232" s="17" t="str">
        <f>IF(FatmaUsf[[#This Row],[Net Salary]]&gt;=6000,"Over","Normal")</f>
        <v>Normal</v>
      </c>
      <c r="W232" s="57">
        <f>VLOOKUP(FatmaUsf[[#This Row],[Net Salary]],$Z$10:$AA$14,2)</f>
        <v>0.08</v>
      </c>
    </row>
    <row r="233" spans="1:23" ht="15.75" customHeight="1">
      <c r="A233" s="24">
        <v>1232</v>
      </c>
      <c r="B233" s="10" t="s">
        <v>523</v>
      </c>
      <c r="C233" s="10" t="s">
        <v>524</v>
      </c>
      <c r="D233" s="41" t="str">
        <f>PROPER(TRIM(FatmaUsf[[#This Row],[Last Name]]&amp;" "&amp;FatmaUsf[[#This Row],[Last Name]]))</f>
        <v>Alkmshh Alkmshh</v>
      </c>
      <c r="E233" s="10" t="s">
        <v>100</v>
      </c>
      <c r="F233" s="10" t="s">
        <v>790</v>
      </c>
      <c r="G233" s="10" t="s">
        <v>17</v>
      </c>
      <c r="H233" s="11" t="s">
        <v>8</v>
      </c>
      <c r="I233" s="11" t="s">
        <v>29</v>
      </c>
      <c r="J233" s="12" t="s">
        <v>23</v>
      </c>
      <c r="K233" s="10" t="s">
        <v>1020</v>
      </c>
      <c r="L233" s="13">
        <v>3</v>
      </c>
      <c r="M233" s="14">
        <v>9</v>
      </c>
      <c r="N233" s="14">
        <v>1997</v>
      </c>
      <c r="O233" s="46">
        <f>DATE(FatmaUsf[[#This Row],[Hire Year]],FatmaUsf[[#This Row],[Hire Month]],FatmaUsf[[#This Row],[Hire Day]])</f>
        <v>35676</v>
      </c>
      <c r="P233" s="46">
        <f t="shared" ca="1" si="3"/>
        <v>46071</v>
      </c>
      <c r="Q233" s="14">
        <f ca="1">DATEDIF(FatmaUsf[[#This Row],[Hiring Date]],FatmaUsf[[#This Row],[current date]],"Y")</f>
        <v>28</v>
      </c>
      <c r="R233" s="15">
        <v>6040</v>
      </c>
      <c r="S233" s="53">
        <f>FatmaUsf[[#This Row],[Salary]]*0.1</f>
        <v>604</v>
      </c>
      <c r="T233" s="16">
        <f>FatmaUsf[[#This Row],[Salary]]*0.03</f>
        <v>181.2</v>
      </c>
      <c r="U233" s="48">
        <f>FatmaUsf[[#This Row],[Salary]]-FatmaUsf[[#This Row],[Tax 10%]]+FatmaUsf[[#This Row],[Bonus 3%]]</f>
        <v>5617.2</v>
      </c>
      <c r="V233" s="17" t="str">
        <f>IF(FatmaUsf[[#This Row],[Net Salary]]&gt;=6000,"Over","Normal")</f>
        <v>Normal</v>
      </c>
      <c r="W233" s="57">
        <f>VLOOKUP(FatmaUsf[[#This Row],[Net Salary]],$Z$10:$AA$14,2)</f>
        <v>0.05</v>
      </c>
    </row>
    <row r="234" spans="1:23" ht="15.75" customHeight="1">
      <c r="A234" s="24">
        <v>1233</v>
      </c>
      <c r="B234" s="10" t="s">
        <v>525</v>
      </c>
      <c r="C234" s="10" t="s">
        <v>526</v>
      </c>
      <c r="D234" s="41" t="str">
        <f>PROPER(TRIM(FatmaUsf[[#This Row],[Last Name]]&amp;" "&amp;FatmaUsf[[#This Row],[Last Name]]))</f>
        <v>Rihan Rihan</v>
      </c>
      <c r="E234" s="10" t="s">
        <v>99</v>
      </c>
      <c r="F234" s="10" t="s">
        <v>791</v>
      </c>
      <c r="G234" s="10" t="s">
        <v>1100</v>
      </c>
      <c r="H234" s="11" t="s">
        <v>11</v>
      </c>
      <c r="I234" s="11" t="s">
        <v>18</v>
      </c>
      <c r="J234" s="12" t="s">
        <v>12</v>
      </c>
      <c r="K234" s="10" t="s">
        <v>1021</v>
      </c>
      <c r="L234" s="13">
        <v>10</v>
      </c>
      <c r="M234" s="14">
        <v>10</v>
      </c>
      <c r="N234" s="14">
        <v>1990</v>
      </c>
      <c r="O234" s="46">
        <f>DATE(FatmaUsf[[#This Row],[Hire Year]],FatmaUsf[[#This Row],[Hire Month]],FatmaUsf[[#This Row],[Hire Day]])</f>
        <v>33156</v>
      </c>
      <c r="P234" s="46">
        <f t="shared" ca="1" si="3"/>
        <v>46071</v>
      </c>
      <c r="Q234" s="14">
        <f ca="1">DATEDIF(FatmaUsf[[#This Row],[Hiring Date]],FatmaUsf[[#This Row],[current date]],"Y")</f>
        <v>35</v>
      </c>
      <c r="R234" s="15">
        <v>3842</v>
      </c>
      <c r="S234" s="53">
        <f>FatmaUsf[[#This Row],[Salary]]*0.1</f>
        <v>384.20000000000005</v>
      </c>
      <c r="T234" s="16">
        <f>FatmaUsf[[#This Row],[Salary]]*0.03</f>
        <v>115.25999999999999</v>
      </c>
      <c r="U234" s="48">
        <f>FatmaUsf[[#This Row],[Salary]]-FatmaUsf[[#This Row],[Tax 10%]]+FatmaUsf[[#This Row],[Bonus 3%]]</f>
        <v>3573.0600000000004</v>
      </c>
      <c r="V234" s="17" t="str">
        <f>IF(FatmaUsf[[#This Row],[Net Salary]]&gt;=6000,"Over","Normal")</f>
        <v>Normal</v>
      </c>
      <c r="W234" s="57">
        <f>VLOOKUP(FatmaUsf[[#This Row],[Net Salary]],$Z$10:$AA$14,2)</f>
        <v>0.05</v>
      </c>
    </row>
    <row r="235" spans="1:23" ht="15.75" customHeight="1">
      <c r="A235" s="24">
        <v>1234</v>
      </c>
      <c r="B235" s="10" t="s">
        <v>102</v>
      </c>
      <c r="C235" s="10" t="s">
        <v>527</v>
      </c>
      <c r="D235" s="41" t="str">
        <f>PROPER(TRIM(FatmaUsf[[#This Row],[Last Name]]&amp;" "&amp;FatmaUsf[[#This Row],[Last Name]]))</f>
        <v>Alshalaq Alshalaq</v>
      </c>
      <c r="E235" s="10" t="s">
        <v>100</v>
      </c>
      <c r="F235" s="10" t="s">
        <v>792</v>
      </c>
      <c r="G235" s="10" t="s">
        <v>17</v>
      </c>
      <c r="H235" s="11" t="s">
        <v>8</v>
      </c>
      <c r="I235" s="11" t="s">
        <v>264</v>
      </c>
      <c r="J235" s="12" t="s">
        <v>10</v>
      </c>
      <c r="K235" s="10" t="s">
        <v>1022</v>
      </c>
      <c r="L235" s="13">
        <v>9</v>
      </c>
      <c r="M235" s="14">
        <v>1</v>
      </c>
      <c r="N235" s="14">
        <v>2010</v>
      </c>
      <c r="O235" s="46">
        <f>DATE(FatmaUsf[[#This Row],[Hire Year]],FatmaUsf[[#This Row],[Hire Month]],FatmaUsf[[#This Row],[Hire Day]])</f>
        <v>40187</v>
      </c>
      <c r="P235" s="46">
        <f t="shared" ca="1" si="3"/>
        <v>46071</v>
      </c>
      <c r="Q235" s="14">
        <f ca="1">DATEDIF(FatmaUsf[[#This Row],[Hiring Date]],FatmaUsf[[#This Row],[current date]],"Y")</f>
        <v>16</v>
      </c>
      <c r="R235" s="15">
        <v>1542</v>
      </c>
      <c r="S235" s="53">
        <f>FatmaUsf[[#This Row],[Salary]]*0.1</f>
        <v>154.20000000000002</v>
      </c>
      <c r="T235" s="16">
        <f>FatmaUsf[[#This Row],[Salary]]*0.03</f>
        <v>46.26</v>
      </c>
      <c r="U235" s="48">
        <f>FatmaUsf[[#This Row],[Salary]]-FatmaUsf[[#This Row],[Tax 10%]]+FatmaUsf[[#This Row],[Bonus 3%]]</f>
        <v>1434.06</v>
      </c>
      <c r="V235" s="17" t="str">
        <f>IF(FatmaUsf[[#This Row],[Net Salary]]&gt;=6000,"Over","Normal")</f>
        <v>Normal</v>
      </c>
      <c r="W235" s="57">
        <f>VLOOKUP(FatmaUsf[[#This Row],[Net Salary]],$Z$10:$AA$14,2)</f>
        <v>0.08</v>
      </c>
    </row>
    <row r="236" spans="1:23" ht="15.75" customHeight="1">
      <c r="A236" s="24">
        <v>1235</v>
      </c>
      <c r="B236" s="10" t="s">
        <v>528</v>
      </c>
      <c r="C236" s="10" t="s">
        <v>529</v>
      </c>
      <c r="D236" s="41" t="str">
        <f>PROPER(TRIM(FatmaUsf[[#This Row],[Last Name]]&amp;" "&amp;FatmaUsf[[#This Row],[Last Name]]))</f>
        <v>Tyru Tyru</v>
      </c>
      <c r="E236" s="10" t="s">
        <v>99</v>
      </c>
      <c r="F236" s="10" t="s">
        <v>793</v>
      </c>
      <c r="G236" s="10" t="s">
        <v>17</v>
      </c>
      <c r="H236" s="11" t="s">
        <v>8</v>
      </c>
      <c r="I236" s="11" t="s">
        <v>9</v>
      </c>
      <c r="J236" s="12" t="s">
        <v>20</v>
      </c>
      <c r="K236" s="10" t="s">
        <v>1023</v>
      </c>
      <c r="L236" s="13">
        <v>15</v>
      </c>
      <c r="M236" s="14">
        <v>2</v>
      </c>
      <c r="N236" s="14">
        <v>2012</v>
      </c>
      <c r="O236" s="46">
        <f>DATE(FatmaUsf[[#This Row],[Hire Year]],FatmaUsf[[#This Row],[Hire Month]],FatmaUsf[[#This Row],[Hire Day]])</f>
        <v>40954</v>
      </c>
      <c r="P236" s="46">
        <f t="shared" ca="1" si="3"/>
        <v>46071</v>
      </c>
      <c r="Q236" s="14">
        <f ca="1">DATEDIF(FatmaUsf[[#This Row],[Hiring Date]],FatmaUsf[[#This Row],[current date]],"Y")</f>
        <v>14</v>
      </c>
      <c r="R236" s="15">
        <v>3134</v>
      </c>
      <c r="S236" s="53">
        <f>FatmaUsf[[#This Row],[Salary]]*0.1</f>
        <v>313.40000000000003</v>
      </c>
      <c r="T236" s="16">
        <f>FatmaUsf[[#This Row],[Salary]]*0.03</f>
        <v>94.02</v>
      </c>
      <c r="U236" s="48">
        <f>FatmaUsf[[#This Row],[Salary]]-FatmaUsf[[#This Row],[Tax 10%]]+FatmaUsf[[#This Row],[Bonus 3%]]</f>
        <v>2914.62</v>
      </c>
      <c r="V236" s="17" t="str">
        <f>IF(FatmaUsf[[#This Row],[Net Salary]]&gt;=6000,"Over","Normal")</f>
        <v>Normal</v>
      </c>
      <c r="W236" s="57">
        <f>VLOOKUP(FatmaUsf[[#This Row],[Net Salary]],$Z$10:$AA$14,2)</f>
        <v>0.08</v>
      </c>
    </row>
    <row r="237" spans="1:23" ht="15.75" customHeight="1">
      <c r="A237" s="24">
        <v>1236</v>
      </c>
      <c r="B237" s="10" t="s">
        <v>423</v>
      </c>
      <c r="C237" s="10" t="s">
        <v>530</v>
      </c>
      <c r="D237" s="41" t="str">
        <f>PROPER(TRIM(FatmaUsf[[#This Row],[Last Name]]&amp;" "&amp;FatmaUsf[[#This Row],[Last Name]]))</f>
        <v>Abuhamd Abuhamd</v>
      </c>
      <c r="E237" s="10" t="s">
        <v>99</v>
      </c>
      <c r="F237" s="10" t="s">
        <v>794</v>
      </c>
      <c r="G237" s="10" t="s">
        <v>17</v>
      </c>
      <c r="H237" s="11" t="s">
        <v>8</v>
      </c>
      <c r="I237" s="11" t="s">
        <v>25</v>
      </c>
      <c r="J237" s="12" t="s">
        <v>12</v>
      </c>
      <c r="K237" s="10" t="s">
        <v>1024</v>
      </c>
      <c r="L237" s="13">
        <v>11</v>
      </c>
      <c r="M237" s="14">
        <v>6</v>
      </c>
      <c r="N237" s="14">
        <v>2012</v>
      </c>
      <c r="O237" s="46">
        <f>DATE(FatmaUsf[[#This Row],[Hire Year]],FatmaUsf[[#This Row],[Hire Month]],FatmaUsf[[#This Row],[Hire Day]])</f>
        <v>41071</v>
      </c>
      <c r="P237" s="46">
        <f t="shared" ca="1" si="3"/>
        <v>46071</v>
      </c>
      <c r="Q237" s="14">
        <f ca="1">DATEDIF(FatmaUsf[[#This Row],[Hiring Date]],FatmaUsf[[#This Row],[current date]],"Y")</f>
        <v>13</v>
      </c>
      <c r="R237" s="15">
        <v>4921</v>
      </c>
      <c r="S237" s="53">
        <f>FatmaUsf[[#This Row],[Salary]]*0.1</f>
        <v>492.1</v>
      </c>
      <c r="T237" s="16">
        <f>FatmaUsf[[#This Row],[Salary]]*0.03</f>
        <v>147.63</v>
      </c>
      <c r="U237" s="48">
        <f>FatmaUsf[[#This Row],[Salary]]-FatmaUsf[[#This Row],[Tax 10%]]+FatmaUsf[[#This Row],[Bonus 3%]]</f>
        <v>4576.53</v>
      </c>
      <c r="V237" s="17" t="str">
        <f>IF(FatmaUsf[[#This Row],[Net Salary]]&gt;=6000,"Over","Normal")</f>
        <v>Normal</v>
      </c>
      <c r="W237" s="57">
        <f>VLOOKUP(FatmaUsf[[#This Row],[Net Salary]],$Z$10:$AA$14,2)</f>
        <v>0.05</v>
      </c>
    </row>
    <row r="238" spans="1:23" ht="15.75" customHeight="1">
      <c r="A238" s="24">
        <v>1237</v>
      </c>
      <c r="B238" s="10" t="s">
        <v>531</v>
      </c>
      <c r="C238" s="10" t="s">
        <v>532</v>
      </c>
      <c r="D238" s="41" t="str">
        <f>PROPER(TRIM(FatmaUsf[[#This Row],[Last Name]]&amp;" "&amp;FatmaUsf[[#This Row],[Last Name]]))</f>
        <v>Sharina Sharina</v>
      </c>
      <c r="E238" s="10" t="s">
        <v>100</v>
      </c>
      <c r="F238" s="10" t="s">
        <v>795</v>
      </c>
      <c r="G238" s="10" t="s">
        <v>17</v>
      </c>
      <c r="H238" s="11" t="s">
        <v>8</v>
      </c>
      <c r="I238" s="11" t="s">
        <v>264</v>
      </c>
      <c r="J238" s="12" t="s">
        <v>10</v>
      </c>
      <c r="K238" s="10" t="s">
        <v>1025</v>
      </c>
      <c r="L238" s="13">
        <v>22</v>
      </c>
      <c r="M238" s="14">
        <v>4</v>
      </c>
      <c r="N238" s="14">
        <v>2017</v>
      </c>
      <c r="O238" s="46">
        <f>DATE(FatmaUsf[[#This Row],[Hire Year]],FatmaUsf[[#This Row],[Hire Month]],FatmaUsf[[#This Row],[Hire Day]])</f>
        <v>42847</v>
      </c>
      <c r="P238" s="46">
        <f t="shared" ca="1" si="3"/>
        <v>46071</v>
      </c>
      <c r="Q238" s="14">
        <f ca="1">DATEDIF(FatmaUsf[[#This Row],[Hiring Date]],FatmaUsf[[#This Row],[current date]],"Y")</f>
        <v>8</v>
      </c>
      <c r="R238" s="15">
        <v>1948</v>
      </c>
      <c r="S238" s="53">
        <f>FatmaUsf[[#This Row],[Salary]]*0.1</f>
        <v>194.8</v>
      </c>
      <c r="T238" s="16">
        <f>FatmaUsf[[#This Row],[Salary]]*0.03</f>
        <v>58.44</v>
      </c>
      <c r="U238" s="48">
        <f>FatmaUsf[[#This Row],[Salary]]-FatmaUsf[[#This Row],[Tax 10%]]+FatmaUsf[[#This Row],[Bonus 3%]]</f>
        <v>1811.64</v>
      </c>
      <c r="V238" s="17" t="str">
        <f>IF(FatmaUsf[[#This Row],[Net Salary]]&gt;=6000,"Over","Normal")</f>
        <v>Normal</v>
      </c>
      <c r="W238" s="57">
        <f>VLOOKUP(FatmaUsf[[#This Row],[Net Salary]],$Z$10:$AA$14,2)</f>
        <v>0.08</v>
      </c>
    </row>
    <row r="239" spans="1:23" ht="15.75" customHeight="1">
      <c r="A239" s="24">
        <v>1238</v>
      </c>
      <c r="B239" s="10" t="s">
        <v>533</v>
      </c>
      <c r="C239" s="10" t="s">
        <v>534</v>
      </c>
      <c r="D239" s="41" t="str">
        <f>PROPER(TRIM(FatmaUsf[[#This Row],[Last Name]]&amp;" "&amp;FatmaUsf[[#This Row],[Last Name]]))</f>
        <v>Alsulayman Alsulayman</v>
      </c>
      <c r="E239" s="10" t="s">
        <v>99</v>
      </c>
      <c r="F239" s="10" t="s">
        <v>796</v>
      </c>
      <c r="G239" s="10" t="s">
        <v>19</v>
      </c>
      <c r="H239" s="11" t="s">
        <v>11</v>
      </c>
      <c r="I239" s="11" t="s">
        <v>25</v>
      </c>
      <c r="J239" s="12" t="s">
        <v>10</v>
      </c>
      <c r="K239" s="10" t="s">
        <v>1026</v>
      </c>
      <c r="L239" s="13">
        <v>28</v>
      </c>
      <c r="M239" s="14">
        <v>2</v>
      </c>
      <c r="N239" s="14">
        <v>1990</v>
      </c>
      <c r="O239" s="46">
        <f>DATE(FatmaUsf[[#This Row],[Hire Year]],FatmaUsf[[#This Row],[Hire Month]],FatmaUsf[[#This Row],[Hire Day]])</f>
        <v>32932</v>
      </c>
      <c r="P239" s="46">
        <f t="shared" ca="1" si="3"/>
        <v>46071</v>
      </c>
      <c r="Q239" s="14">
        <f ca="1">DATEDIF(FatmaUsf[[#This Row],[Hiring Date]],FatmaUsf[[#This Row],[current date]],"Y")</f>
        <v>35</v>
      </c>
      <c r="R239" s="15">
        <v>3294</v>
      </c>
      <c r="S239" s="53">
        <f>FatmaUsf[[#This Row],[Salary]]*0.1</f>
        <v>329.40000000000003</v>
      </c>
      <c r="T239" s="16">
        <f>FatmaUsf[[#This Row],[Salary]]*0.03</f>
        <v>98.82</v>
      </c>
      <c r="U239" s="48">
        <f>FatmaUsf[[#This Row],[Salary]]-FatmaUsf[[#This Row],[Tax 10%]]+FatmaUsf[[#This Row],[Bonus 3%]]</f>
        <v>3063.42</v>
      </c>
      <c r="V239" s="17" t="str">
        <f>IF(FatmaUsf[[#This Row],[Net Salary]]&gt;=6000,"Over","Normal")</f>
        <v>Normal</v>
      </c>
      <c r="W239" s="57">
        <f>VLOOKUP(FatmaUsf[[#This Row],[Net Salary]],$Z$10:$AA$14,2)</f>
        <v>0.05</v>
      </c>
    </row>
    <row r="240" spans="1:23" ht="15.75" customHeight="1">
      <c r="A240" s="24">
        <v>1239</v>
      </c>
      <c r="B240" s="10" t="s">
        <v>535</v>
      </c>
      <c r="C240" s="10" t="s">
        <v>536</v>
      </c>
      <c r="D240" s="41" t="str">
        <f>PROPER(TRIM(FatmaUsf[[#This Row],[Last Name]]&amp;" "&amp;FatmaUsf[[#This Row],[Last Name]]))</f>
        <v>Shiah Shiah</v>
      </c>
      <c r="E240" s="10" t="s">
        <v>99</v>
      </c>
      <c r="F240" s="10" t="s">
        <v>797</v>
      </c>
      <c r="G240" s="10" t="s">
        <v>1100</v>
      </c>
      <c r="H240" s="11" t="s">
        <v>8</v>
      </c>
      <c r="I240" s="11" t="s">
        <v>264</v>
      </c>
      <c r="J240" s="12" t="s">
        <v>23</v>
      </c>
      <c r="K240" s="10" t="s">
        <v>1027</v>
      </c>
      <c r="L240" s="13">
        <v>11</v>
      </c>
      <c r="M240" s="14">
        <v>6</v>
      </c>
      <c r="N240" s="14">
        <v>2002</v>
      </c>
      <c r="O240" s="46">
        <f>DATE(FatmaUsf[[#This Row],[Hire Year]],FatmaUsf[[#This Row],[Hire Month]],FatmaUsf[[#This Row],[Hire Day]])</f>
        <v>37418</v>
      </c>
      <c r="P240" s="46">
        <f t="shared" ca="1" si="3"/>
        <v>46071</v>
      </c>
      <c r="Q240" s="14">
        <f ca="1">DATEDIF(FatmaUsf[[#This Row],[Hiring Date]],FatmaUsf[[#This Row],[current date]],"Y")</f>
        <v>23</v>
      </c>
      <c r="R240" s="15">
        <v>7123</v>
      </c>
      <c r="S240" s="53">
        <f>FatmaUsf[[#This Row],[Salary]]*0.1</f>
        <v>712.30000000000007</v>
      </c>
      <c r="T240" s="16">
        <f>FatmaUsf[[#This Row],[Salary]]*0.03</f>
        <v>213.69</v>
      </c>
      <c r="U240" s="48">
        <f>FatmaUsf[[#This Row],[Salary]]-FatmaUsf[[#This Row],[Tax 10%]]+FatmaUsf[[#This Row],[Bonus 3%]]</f>
        <v>6624.3899999999994</v>
      </c>
      <c r="V240" s="17" t="str">
        <f>IF(FatmaUsf[[#This Row],[Net Salary]]&gt;=6000,"Over","Normal")</f>
        <v>Over</v>
      </c>
      <c r="W240" s="57">
        <f>VLOOKUP(FatmaUsf[[#This Row],[Net Salary]],$Z$10:$AA$14,2)</f>
        <v>0.02</v>
      </c>
    </row>
    <row r="241" spans="1:23" ht="15.75" customHeight="1">
      <c r="A241" s="24">
        <v>1240</v>
      </c>
      <c r="B241" s="10" t="s">
        <v>102</v>
      </c>
      <c r="C241" s="10" t="s">
        <v>537</v>
      </c>
      <c r="D241" s="41" t="str">
        <f>PROPER(TRIM(FatmaUsf[[#This Row],[Last Name]]&amp;" "&amp;FatmaUsf[[#This Row],[Last Name]]))</f>
        <v>Hamuwd Hamuwd</v>
      </c>
      <c r="E241" s="10" t="s">
        <v>100</v>
      </c>
      <c r="F241" s="10" t="s">
        <v>798</v>
      </c>
      <c r="G241" s="10" t="s">
        <v>13</v>
      </c>
      <c r="H241" s="11" t="s">
        <v>11</v>
      </c>
      <c r="I241" s="11" t="s">
        <v>25</v>
      </c>
      <c r="J241" s="12" t="s">
        <v>23</v>
      </c>
      <c r="K241" s="10" t="s">
        <v>1028</v>
      </c>
      <c r="L241" s="13">
        <v>22</v>
      </c>
      <c r="M241" s="14">
        <v>5</v>
      </c>
      <c r="N241" s="14">
        <v>2014</v>
      </c>
      <c r="O241" s="46">
        <f>DATE(FatmaUsf[[#This Row],[Hire Year]],FatmaUsf[[#This Row],[Hire Month]],FatmaUsf[[#This Row],[Hire Day]])</f>
        <v>41781</v>
      </c>
      <c r="P241" s="46">
        <f t="shared" ca="1" si="3"/>
        <v>46071</v>
      </c>
      <c r="Q241" s="14">
        <f ca="1">DATEDIF(FatmaUsf[[#This Row],[Hiring Date]],FatmaUsf[[#This Row],[current date]],"Y")</f>
        <v>11</v>
      </c>
      <c r="R241" s="15">
        <v>7236</v>
      </c>
      <c r="S241" s="53">
        <f>FatmaUsf[[#This Row],[Salary]]*0.1</f>
        <v>723.6</v>
      </c>
      <c r="T241" s="16">
        <f>FatmaUsf[[#This Row],[Salary]]*0.03</f>
        <v>217.07999999999998</v>
      </c>
      <c r="U241" s="48">
        <f>FatmaUsf[[#This Row],[Salary]]-FatmaUsf[[#This Row],[Tax 10%]]+FatmaUsf[[#This Row],[Bonus 3%]]</f>
        <v>6729.48</v>
      </c>
      <c r="V241" s="17" t="str">
        <f>IF(FatmaUsf[[#This Row],[Net Salary]]&gt;=6000,"Over","Normal")</f>
        <v>Over</v>
      </c>
      <c r="W241" s="57">
        <f>VLOOKUP(FatmaUsf[[#This Row],[Net Salary]],$Z$10:$AA$14,2)</f>
        <v>0.02</v>
      </c>
    </row>
    <row r="242" spans="1:23" ht="15.75" customHeight="1">
      <c r="A242" s="24">
        <v>1241</v>
      </c>
      <c r="B242" s="10" t="s">
        <v>538</v>
      </c>
      <c r="C242" s="10" t="s">
        <v>539</v>
      </c>
      <c r="D242" s="41" t="str">
        <f>PROPER(TRIM(FatmaUsf[[#This Row],[Last Name]]&amp;" "&amp;FatmaUsf[[#This Row],[Last Name]]))</f>
        <v>Hazruma Hazruma</v>
      </c>
      <c r="E242" s="10" t="s">
        <v>100</v>
      </c>
      <c r="F242" s="10" t="s">
        <v>799</v>
      </c>
      <c r="G242" s="10" t="s">
        <v>1100</v>
      </c>
      <c r="H242" s="11" t="s">
        <v>11</v>
      </c>
      <c r="I242" s="11" t="s">
        <v>25</v>
      </c>
      <c r="J242" s="12" t="s">
        <v>20</v>
      </c>
      <c r="K242" s="10" t="s">
        <v>1029</v>
      </c>
      <c r="L242" s="13">
        <v>10</v>
      </c>
      <c r="M242" s="14">
        <v>12</v>
      </c>
      <c r="N242" s="14">
        <v>1991</v>
      </c>
      <c r="O242" s="46">
        <f>DATE(FatmaUsf[[#This Row],[Hire Year]],FatmaUsf[[#This Row],[Hire Month]],FatmaUsf[[#This Row],[Hire Day]])</f>
        <v>33582</v>
      </c>
      <c r="P242" s="46">
        <f t="shared" ca="1" si="3"/>
        <v>46071</v>
      </c>
      <c r="Q242" s="14">
        <f ca="1">DATEDIF(FatmaUsf[[#This Row],[Hiring Date]],FatmaUsf[[#This Row],[current date]],"Y")</f>
        <v>34</v>
      </c>
      <c r="R242" s="15">
        <v>6843</v>
      </c>
      <c r="S242" s="53">
        <f>FatmaUsf[[#This Row],[Salary]]*0.1</f>
        <v>684.30000000000007</v>
      </c>
      <c r="T242" s="16">
        <f>FatmaUsf[[#This Row],[Salary]]*0.03</f>
        <v>205.29</v>
      </c>
      <c r="U242" s="48">
        <f>FatmaUsf[[#This Row],[Salary]]-FatmaUsf[[#This Row],[Tax 10%]]+FatmaUsf[[#This Row],[Bonus 3%]]</f>
        <v>6363.99</v>
      </c>
      <c r="V242" s="17" t="str">
        <f>IF(FatmaUsf[[#This Row],[Net Salary]]&gt;=6000,"Over","Normal")</f>
        <v>Over</v>
      </c>
      <c r="W242" s="57">
        <f>VLOOKUP(FatmaUsf[[#This Row],[Net Salary]],$Z$10:$AA$14,2)</f>
        <v>0.02</v>
      </c>
    </row>
    <row r="243" spans="1:23" ht="15.75" customHeight="1">
      <c r="A243" s="24">
        <v>1242</v>
      </c>
      <c r="B243" s="10" t="s">
        <v>126</v>
      </c>
      <c r="C243" s="10" t="s">
        <v>540</v>
      </c>
      <c r="D243" s="41" t="str">
        <f>PROPER(TRIM(FatmaUsf[[#This Row],[Last Name]]&amp;" "&amp;FatmaUsf[[#This Row],[Last Name]]))</f>
        <v>Alhaj Ali Alhaj Ali</v>
      </c>
      <c r="E243" s="10" t="s">
        <v>100</v>
      </c>
      <c r="F243" s="10" t="s">
        <v>800</v>
      </c>
      <c r="G243" s="10" t="s">
        <v>1100</v>
      </c>
      <c r="H243" s="11" t="s">
        <v>8</v>
      </c>
      <c r="I243" s="11" t="s">
        <v>25</v>
      </c>
      <c r="J243" s="12" t="s">
        <v>10</v>
      </c>
      <c r="K243" s="10" t="s">
        <v>1030</v>
      </c>
      <c r="L243" s="13">
        <v>15</v>
      </c>
      <c r="M243" s="14">
        <v>9</v>
      </c>
      <c r="N243" s="14">
        <v>2022</v>
      </c>
      <c r="O243" s="46">
        <f>DATE(FatmaUsf[[#This Row],[Hire Year]],FatmaUsf[[#This Row],[Hire Month]],FatmaUsf[[#This Row],[Hire Day]])</f>
        <v>44819</v>
      </c>
      <c r="P243" s="46">
        <f t="shared" ca="1" si="3"/>
        <v>46071</v>
      </c>
      <c r="Q243" s="14">
        <f ca="1">DATEDIF(FatmaUsf[[#This Row],[Hiring Date]],FatmaUsf[[#This Row],[current date]],"Y")</f>
        <v>3</v>
      </c>
      <c r="R243" s="15">
        <v>1070</v>
      </c>
      <c r="S243" s="53">
        <f>FatmaUsf[[#This Row],[Salary]]*0.1</f>
        <v>107</v>
      </c>
      <c r="T243" s="16">
        <f>FatmaUsf[[#This Row],[Salary]]*0.03</f>
        <v>32.1</v>
      </c>
      <c r="U243" s="48">
        <f>FatmaUsf[[#This Row],[Salary]]-FatmaUsf[[#This Row],[Tax 10%]]+FatmaUsf[[#This Row],[Bonus 3%]]</f>
        <v>995.1</v>
      </c>
      <c r="V243" s="17" t="str">
        <f>IF(FatmaUsf[[#This Row],[Net Salary]]&gt;=6000,"Over","Normal")</f>
        <v>Normal</v>
      </c>
      <c r="W243" s="57">
        <f>VLOOKUP(FatmaUsf[[#This Row],[Net Salary]],$Z$10:$AA$14,2)</f>
        <v>0.1</v>
      </c>
    </row>
    <row r="244" spans="1:23" ht="15.75" customHeight="1">
      <c r="A244" s="24">
        <v>1243</v>
      </c>
      <c r="B244" s="10" t="s">
        <v>179</v>
      </c>
      <c r="C244" s="10" t="s">
        <v>488</v>
      </c>
      <c r="D244" s="41" t="str">
        <f>PROPER(TRIM(FatmaUsf[[#This Row],[Last Name]]&amp;" "&amp;FatmaUsf[[#This Row],[Last Name]]))</f>
        <v>Altibae Altibae</v>
      </c>
      <c r="E244" s="10" t="s">
        <v>100</v>
      </c>
      <c r="F244" s="10" t="s">
        <v>801</v>
      </c>
      <c r="G244" s="10" t="s">
        <v>13</v>
      </c>
      <c r="H244" s="11" t="s">
        <v>8</v>
      </c>
      <c r="I244" s="11" t="s">
        <v>25</v>
      </c>
      <c r="J244" s="12" t="s">
        <v>12</v>
      </c>
      <c r="K244" s="10" t="s">
        <v>992</v>
      </c>
      <c r="L244" s="13">
        <v>18</v>
      </c>
      <c r="M244" s="14">
        <v>12</v>
      </c>
      <c r="N244" s="14">
        <v>2017</v>
      </c>
      <c r="O244" s="46">
        <f>DATE(FatmaUsf[[#This Row],[Hire Year]],FatmaUsf[[#This Row],[Hire Month]],FatmaUsf[[#This Row],[Hire Day]])</f>
        <v>43087</v>
      </c>
      <c r="P244" s="46">
        <f t="shared" ca="1" si="3"/>
        <v>46071</v>
      </c>
      <c r="Q244" s="14">
        <f ca="1">DATEDIF(FatmaUsf[[#This Row],[Hiring Date]],FatmaUsf[[#This Row],[current date]],"Y")</f>
        <v>8</v>
      </c>
      <c r="R244" s="15">
        <v>1493</v>
      </c>
      <c r="S244" s="53">
        <f>FatmaUsf[[#This Row],[Salary]]*0.1</f>
        <v>149.30000000000001</v>
      </c>
      <c r="T244" s="16">
        <f>FatmaUsf[[#This Row],[Salary]]*0.03</f>
        <v>44.79</v>
      </c>
      <c r="U244" s="48">
        <f>FatmaUsf[[#This Row],[Salary]]-FatmaUsf[[#This Row],[Tax 10%]]+FatmaUsf[[#This Row],[Bonus 3%]]</f>
        <v>1388.49</v>
      </c>
      <c r="V244" s="17" t="str">
        <f>IF(FatmaUsf[[#This Row],[Net Salary]]&gt;=6000,"Over","Normal")</f>
        <v>Normal</v>
      </c>
      <c r="W244" s="57">
        <f>VLOOKUP(FatmaUsf[[#This Row],[Net Salary]],$Z$10:$AA$14,2)</f>
        <v>0.08</v>
      </c>
    </row>
    <row r="245" spans="1:23" ht="15.75" customHeight="1">
      <c r="A245" s="24">
        <v>1244</v>
      </c>
      <c r="B245" s="10" t="s">
        <v>541</v>
      </c>
      <c r="C245" s="10" t="s">
        <v>542</v>
      </c>
      <c r="D245" s="41" t="str">
        <f>PROPER(TRIM(FatmaUsf[[#This Row],[Last Name]]&amp;" "&amp;FatmaUsf[[#This Row],[Last Name]]))</f>
        <v>Aldubus Aldubus</v>
      </c>
      <c r="E245" s="10" t="s">
        <v>100</v>
      </c>
      <c r="F245" s="10" t="s">
        <v>802</v>
      </c>
      <c r="G245" s="10" t="s">
        <v>19</v>
      </c>
      <c r="H245" s="11" t="s">
        <v>11</v>
      </c>
      <c r="I245" s="11" t="s">
        <v>25</v>
      </c>
      <c r="J245" s="12" t="s">
        <v>23</v>
      </c>
      <c r="K245" s="10" t="s">
        <v>1031</v>
      </c>
      <c r="L245" s="13">
        <v>21</v>
      </c>
      <c r="M245" s="14">
        <v>7</v>
      </c>
      <c r="N245" s="14">
        <v>2000</v>
      </c>
      <c r="O245" s="46">
        <f>DATE(FatmaUsf[[#This Row],[Hire Year]],FatmaUsf[[#This Row],[Hire Month]],FatmaUsf[[#This Row],[Hire Day]])</f>
        <v>36728</v>
      </c>
      <c r="P245" s="46">
        <f t="shared" ca="1" si="3"/>
        <v>46071</v>
      </c>
      <c r="Q245" s="14">
        <f ca="1">DATEDIF(FatmaUsf[[#This Row],[Hiring Date]],FatmaUsf[[#This Row],[current date]],"Y")</f>
        <v>25</v>
      </c>
      <c r="R245" s="15">
        <v>5857</v>
      </c>
      <c r="S245" s="53">
        <f>FatmaUsf[[#This Row],[Salary]]*0.1</f>
        <v>585.70000000000005</v>
      </c>
      <c r="T245" s="16">
        <f>FatmaUsf[[#This Row],[Salary]]*0.03</f>
        <v>175.70999999999998</v>
      </c>
      <c r="U245" s="48">
        <f>FatmaUsf[[#This Row],[Salary]]-FatmaUsf[[#This Row],[Tax 10%]]+FatmaUsf[[#This Row],[Bonus 3%]]</f>
        <v>5447.01</v>
      </c>
      <c r="V245" s="17" t="str">
        <f>IF(FatmaUsf[[#This Row],[Net Salary]]&gt;=6000,"Over","Normal")</f>
        <v>Normal</v>
      </c>
      <c r="W245" s="57">
        <f>VLOOKUP(FatmaUsf[[#This Row],[Net Salary]],$Z$10:$AA$14,2)</f>
        <v>0.05</v>
      </c>
    </row>
    <row r="246" spans="1:23" ht="15.75" customHeight="1">
      <c r="A246" s="24">
        <v>1245</v>
      </c>
      <c r="B246" s="10" t="s">
        <v>474</v>
      </c>
      <c r="C246" s="10" t="s">
        <v>543</v>
      </c>
      <c r="D246" s="41" t="str">
        <f>PROPER(TRIM(FatmaUsf[[#This Row],[Last Name]]&amp;" "&amp;FatmaUsf[[#This Row],[Last Name]]))</f>
        <v>Alhijar Alhijar</v>
      </c>
      <c r="E246" s="10" t="s">
        <v>100</v>
      </c>
      <c r="F246" s="10" t="s">
        <v>803</v>
      </c>
      <c r="G246" s="10" t="s">
        <v>19</v>
      </c>
      <c r="H246" s="11" t="s">
        <v>8</v>
      </c>
      <c r="I246" s="11" t="s">
        <v>264</v>
      </c>
      <c r="J246" s="12" t="s">
        <v>20</v>
      </c>
      <c r="K246" s="10" t="s">
        <v>1032</v>
      </c>
      <c r="L246" s="13">
        <v>3</v>
      </c>
      <c r="M246" s="14">
        <v>12</v>
      </c>
      <c r="N246" s="14">
        <v>2002</v>
      </c>
      <c r="O246" s="46">
        <f>DATE(FatmaUsf[[#This Row],[Hire Year]],FatmaUsf[[#This Row],[Hire Month]],FatmaUsf[[#This Row],[Hire Day]])</f>
        <v>37593</v>
      </c>
      <c r="P246" s="46">
        <f t="shared" ca="1" si="3"/>
        <v>46071</v>
      </c>
      <c r="Q246" s="14">
        <f ca="1">DATEDIF(FatmaUsf[[#This Row],[Hiring Date]],FatmaUsf[[#This Row],[current date]],"Y")</f>
        <v>23</v>
      </c>
      <c r="R246" s="15">
        <v>5278</v>
      </c>
      <c r="S246" s="53">
        <f>FatmaUsf[[#This Row],[Salary]]*0.1</f>
        <v>527.80000000000007</v>
      </c>
      <c r="T246" s="16">
        <f>FatmaUsf[[#This Row],[Salary]]*0.03</f>
        <v>158.34</v>
      </c>
      <c r="U246" s="48">
        <f>FatmaUsf[[#This Row],[Salary]]-FatmaUsf[[#This Row],[Tax 10%]]+FatmaUsf[[#This Row],[Bonus 3%]]</f>
        <v>4908.54</v>
      </c>
      <c r="V246" s="17" t="str">
        <f>IF(FatmaUsf[[#This Row],[Net Salary]]&gt;=6000,"Over","Normal")</f>
        <v>Normal</v>
      </c>
      <c r="W246" s="57">
        <f>VLOOKUP(FatmaUsf[[#This Row],[Net Salary]],$Z$10:$AA$14,2)</f>
        <v>0.05</v>
      </c>
    </row>
    <row r="247" spans="1:23" ht="15.75" customHeight="1">
      <c r="A247" s="24">
        <v>1246</v>
      </c>
      <c r="B247" s="10" t="s">
        <v>544</v>
      </c>
      <c r="C247" s="10" t="s">
        <v>545</v>
      </c>
      <c r="D247" s="41" t="str">
        <f>PROPER(TRIM(FatmaUsf[[#This Row],[Last Name]]&amp;" "&amp;FatmaUsf[[#This Row],[Last Name]]))</f>
        <v>Alkhayran Alkhayran</v>
      </c>
      <c r="E247" s="10" t="s">
        <v>100</v>
      </c>
      <c r="F247" s="10" t="s">
        <v>804</v>
      </c>
      <c r="G247" s="10" t="s">
        <v>1100</v>
      </c>
      <c r="H247" s="11" t="s">
        <v>11</v>
      </c>
      <c r="I247" s="11" t="s">
        <v>26</v>
      </c>
      <c r="J247" s="12" t="s">
        <v>12</v>
      </c>
      <c r="K247" s="10" t="s">
        <v>1033</v>
      </c>
      <c r="L247" s="13">
        <v>14</v>
      </c>
      <c r="M247" s="14">
        <v>6</v>
      </c>
      <c r="N247" s="14">
        <v>1994</v>
      </c>
      <c r="O247" s="46">
        <f>DATE(FatmaUsf[[#This Row],[Hire Year]],FatmaUsf[[#This Row],[Hire Month]],FatmaUsf[[#This Row],[Hire Day]])</f>
        <v>34499</v>
      </c>
      <c r="P247" s="46">
        <f t="shared" ca="1" si="3"/>
        <v>46071</v>
      </c>
      <c r="Q247" s="14">
        <f ca="1">DATEDIF(FatmaUsf[[#This Row],[Hiring Date]],FatmaUsf[[#This Row],[current date]],"Y")</f>
        <v>31</v>
      </c>
      <c r="R247" s="15">
        <v>5710</v>
      </c>
      <c r="S247" s="53">
        <f>FatmaUsf[[#This Row],[Salary]]*0.1</f>
        <v>571</v>
      </c>
      <c r="T247" s="16">
        <f>FatmaUsf[[#This Row],[Salary]]*0.03</f>
        <v>171.29999999999998</v>
      </c>
      <c r="U247" s="48">
        <f>FatmaUsf[[#This Row],[Salary]]-FatmaUsf[[#This Row],[Tax 10%]]+FatmaUsf[[#This Row],[Bonus 3%]]</f>
        <v>5310.3</v>
      </c>
      <c r="V247" s="17" t="str">
        <f>IF(FatmaUsf[[#This Row],[Net Salary]]&gt;=6000,"Over","Normal")</f>
        <v>Normal</v>
      </c>
      <c r="W247" s="57">
        <f>VLOOKUP(FatmaUsf[[#This Row],[Net Salary]],$Z$10:$AA$14,2)</f>
        <v>0.05</v>
      </c>
    </row>
    <row r="248" spans="1:23" ht="15.75" customHeight="1">
      <c r="A248" s="24">
        <v>1247</v>
      </c>
      <c r="B248" s="10" t="s">
        <v>546</v>
      </c>
      <c r="C248" s="10" t="s">
        <v>547</v>
      </c>
      <c r="D248" s="41" t="str">
        <f>PROPER(TRIM(FatmaUsf[[#This Row],[Last Name]]&amp;" "&amp;FatmaUsf[[#This Row],[Last Name]]))</f>
        <v>Alddahir Alddahir</v>
      </c>
      <c r="E248" s="10" t="s">
        <v>99</v>
      </c>
      <c r="F248" s="10" t="s">
        <v>805</v>
      </c>
      <c r="G248" s="10" t="s">
        <v>13</v>
      </c>
      <c r="H248" s="11" t="s">
        <v>8</v>
      </c>
      <c r="I248" s="11" t="s">
        <v>15</v>
      </c>
      <c r="J248" s="12" t="s">
        <v>12</v>
      </c>
      <c r="K248" s="10" t="s">
        <v>1034</v>
      </c>
      <c r="L248" s="13">
        <v>25</v>
      </c>
      <c r="M248" s="14">
        <v>7</v>
      </c>
      <c r="N248" s="14">
        <v>2022</v>
      </c>
      <c r="O248" s="46">
        <f>DATE(FatmaUsf[[#This Row],[Hire Year]],FatmaUsf[[#This Row],[Hire Month]],FatmaUsf[[#This Row],[Hire Day]])</f>
        <v>44767</v>
      </c>
      <c r="P248" s="46">
        <f t="shared" ca="1" si="3"/>
        <v>46071</v>
      </c>
      <c r="Q248" s="14">
        <f ca="1">DATEDIF(FatmaUsf[[#This Row],[Hiring Date]],FatmaUsf[[#This Row],[current date]],"Y")</f>
        <v>3</v>
      </c>
      <c r="R248" s="15">
        <v>6145</v>
      </c>
      <c r="S248" s="53">
        <f>FatmaUsf[[#This Row],[Salary]]*0.1</f>
        <v>614.5</v>
      </c>
      <c r="T248" s="16">
        <f>FatmaUsf[[#This Row],[Salary]]*0.03</f>
        <v>184.35</v>
      </c>
      <c r="U248" s="48">
        <f>FatmaUsf[[#This Row],[Salary]]-FatmaUsf[[#This Row],[Tax 10%]]+FatmaUsf[[#This Row],[Bonus 3%]]</f>
        <v>5714.85</v>
      </c>
      <c r="V248" s="17" t="str">
        <f>IF(FatmaUsf[[#This Row],[Net Salary]]&gt;=6000,"Over","Normal")</f>
        <v>Normal</v>
      </c>
      <c r="W248" s="57">
        <f>VLOOKUP(FatmaUsf[[#This Row],[Net Salary]],$Z$10:$AA$14,2)</f>
        <v>0.05</v>
      </c>
    </row>
    <row r="249" spans="1:23" ht="15.75" customHeight="1">
      <c r="A249" s="24">
        <v>1248</v>
      </c>
      <c r="B249" s="10" t="s">
        <v>548</v>
      </c>
      <c r="C249" s="10" t="s">
        <v>549</v>
      </c>
      <c r="D249" s="41" t="str">
        <f>PROPER(TRIM(FatmaUsf[[#This Row],[Last Name]]&amp;" "&amp;FatmaUsf[[#This Row],[Last Name]]))</f>
        <v>Eabuwd Eabuwd</v>
      </c>
      <c r="E249" s="10" t="s">
        <v>99</v>
      </c>
      <c r="F249" s="10" t="s">
        <v>806</v>
      </c>
      <c r="G249" s="10" t="s">
        <v>17</v>
      </c>
      <c r="H249" s="11" t="s">
        <v>14</v>
      </c>
      <c r="I249" s="11" t="s">
        <v>26</v>
      </c>
      <c r="J249" s="12" t="s">
        <v>12</v>
      </c>
      <c r="K249" s="10" t="s">
        <v>1035</v>
      </c>
      <c r="L249" s="13">
        <v>4</v>
      </c>
      <c r="M249" s="14">
        <v>6</v>
      </c>
      <c r="N249" s="14">
        <v>2003</v>
      </c>
      <c r="O249" s="46">
        <f>DATE(FatmaUsf[[#This Row],[Hire Year]],FatmaUsf[[#This Row],[Hire Month]],FatmaUsf[[#This Row],[Hire Day]])</f>
        <v>37776</v>
      </c>
      <c r="P249" s="46">
        <f t="shared" ca="1" si="3"/>
        <v>46071</v>
      </c>
      <c r="Q249" s="14">
        <f ca="1">DATEDIF(FatmaUsf[[#This Row],[Hiring Date]],FatmaUsf[[#This Row],[current date]],"Y")</f>
        <v>22</v>
      </c>
      <c r="R249" s="15">
        <v>5278</v>
      </c>
      <c r="S249" s="53">
        <f>FatmaUsf[[#This Row],[Salary]]*0.1</f>
        <v>527.80000000000007</v>
      </c>
      <c r="T249" s="16">
        <f>FatmaUsf[[#This Row],[Salary]]*0.03</f>
        <v>158.34</v>
      </c>
      <c r="U249" s="48">
        <f>FatmaUsf[[#This Row],[Salary]]-FatmaUsf[[#This Row],[Tax 10%]]+FatmaUsf[[#This Row],[Bonus 3%]]</f>
        <v>4908.54</v>
      </c>
      <c r="V249" s="17" t="str">
        <f>IF(FatmaUsf[[#This Row],[Net Salary]]&gt;=6000,"Over","Normal")</f>
        <v>Normal</v>
      </c>
      <c r="W249" s="57">
        <f>VLOOKUP(FatmaUsf[[#This Row],[Net Salary]],$Z$10:$AA$14,2)</f>
        <v>0.05</v>
      </c>
    </row>
    <row r="250" spans="1:23" ht="15.75" customHeight="1">
      <c r="A250" s="24">
        <v>1249</v>
      </c>
      <c r="B250" s="10" t="s">
        <v>105</v>
      </c>
      <c r="C250" s="10" t="s">
        <v>550</v>
      </c>
      <c r="D250" s="41" t="str">
        <f>PROPER(TRIM(FatmaUsf[[#This Row],[Last Name]]&amp;" "&amp;FatmaUsf[[#This Row],[Last Name]]))</f>
        <v>Bitahish Bitahish</v>
      </c>
      <c r="E250" s="10" t="s">
        <v>99</v>
      </c>
      <c r="F250" s="10" t="s">
        <v>807</v>
      </c>
      <c r="G250" s="10" t="s">
        <v>1100</v>
      </c>
      <c r="H250" s="11" t="s">
        <v>11</v>
      </c>
      <c r="I250" s="11" t="s">
        <v>9</v>
      </c>
      <c r="J250" s="12" t="s">
        <v>10</v>
      </c>
      <c r="K250" s="10" t="s">
        <v>1036</v>
      </c>
      <c r="L250" s="13">
        <v>15</v>
      </c>
      <c r="M250" s="14">
        <v>7</v>
      </c>
      <c r="N250" s="14">
        <v>2002</v>
      </c>
      <c r="O250" s="46">
        <f>DATE(FatmaUsf[[#This Row],[Hire Year]],FatmaUsf[[#This Row],[Hire Month]],FatmaUsf[[#This Row],[Hire Day]])</f>
        <v>37452</v>
      </c>
      <c r="P250" s="46">
        <f t="shared" ca="1" si="3"/>
        <v>46071</v>
      </c>
      <c r="Q250" s="14">
        <f ca="1">DATEDIF(FatmaUsf[[#This Row],[Hiring Date]],FatmaUsf[[#This Row],[current date]],"Y")</f>
        <v>23</v>
      </c>
      <c r="R250" s="15">
        <v>6548</v>
      </c>
      <c r="S250" s="53">
        <f>FatmaUsf[[#This Row],[Salary]]*0.1</f>
        <v>654.80000000000007</v>
      </c>
      <c r="T250" s="16">
        <f>FatmaUsf[[#This Row],[Salary]]*0.03</f>
        <v>196.44</v>
      </c>
      <c r="U250" s="48">
        <f>FatmaUsf[[#This Row],[Salary]]-FatmaUsf[[#This Row],[Tax 10%]]+FatmaUsf[[#This Row],[Bonus 3%]]</f>
        <v>6089.6399999999994</v>
      </c>
      <c r="V250" s="17" t="str">
        <f>IF(FatmaUsf[[#This Row],[Net Salary]]&gt;=6000,"Over","Normal")</f>
        <v>Over</v>
      </c>
      <c r="W250" s="57">
        <f>VLOOKUP(FatmaUsf[[#This Row],[Net Salary]],$Z$10:$AA$14,2)</f>
        <v>0.02</v>
      </c>
    </row>
    <row r="251" spans="1:23" ht="15.75" customHeight="1">
      <c r="A251" s="24">
        <v>1250</v>
      </c>
      <c r="B251" s="10" t="s">
        <v>105</v>
      </c>
      <c r="C251" s="10" t="s">
        <v>551</v>
      </c>
      <c r="D251" s="41" t="str">
        <f>PROPER(TRIM(FatmaUsf[[#This Row],[Last Name]]&amp;" "&amp;FatmaUsf[[#This Row],[Last Name]]))</f>
        <v>Murad Murad</v>
      </c>
      <c r="E251" s="10" t="s">
        <v>99</v>
      </c>
      <c r="F251" s="10" t="s">
        <v>808</v>
      </c>
      <c r="G251" s="10" t="s">
        <v>7</v>
      </c>
      <c r="H251" s="11" t="s">
        <v>8</v>
      </c>
      <c r="I251" s="11" t="s">
        <v>25</v>
      </c>
      <c r="J251" s="12" t="s">
        <v>23</v>
      </c>
      <c r="K251" s="10" t="s">
        <v>1037</v>
      </c>
      <c r="L251" s="13">
        <v>26</v>
      </c>
      <c r="M251" s="14">
        <v>10</v>
      </c>
      <c r="N251" s="14">
        <v>2012</v>
      </c>
      <c r="O251" s="46">
        <f>DATE(FatmaUsf[[#This Row],[Hire Year]],FatmaUsf[[#This Row],[Hire Month]],FatmaUsf[[#This Row],[Hire Day]])</f>
        <v>41208</v>
      </c>
      <c r="P251" s="46">
        <f t="shared" ca="1" si="3"/>
        <v>46071</v>
      </c>
      <c r="Q251" s="14">
        <f ca="1">DATEDIF(FatmaUsf[[#This Row],[Hiring Date]],FatmaUsf[[#This Row],[current date]],"Y")</f>
        <v>13</v>
      </c>
      <c r="R251" s="15">
        <v>7175</v>
      </c>
      <c r="S251" s="53">
        <f>FatmaUsf[[#This Row],[Salary]]*0.1</f>
        <v>717.5</v>
      </c>
      <c r="T251" s="16">
        <f>FatmaUsf[[#This Row],[Salary]]*0.03</f>
        <v>215.25</v>
      </c>
      <c r="U251" s="48">
        <f>FatmaUsf[[#This Row],[Salary]]-FatmaUsf[[#This Row],[Tax 10%]]+FatmaUsf[[#This Row],[Bonus 3%]]</f>
        <v>6672.75</v>
      </c>
      <c r="V251" s="17" t="str">
        <f>IF(FatmaUsf[[#This Row],[Net Salary]]&gt;=6000,"Over","Normal")</f>
        <v>Over</v>
      </c>
      <c r="W251" s="57">
        <f>VLOOKUP(FatmaUsf[[#This Row],[Net Salary]],$Z$10:$AA$14,2)</f>
        <v>0.02</v>
      </c>
    </row>
    <row r="252" spans="1:23" ht="15.75" customHeight="1">
      <c r="A252" s="24">
        <v>1251</v>
      </c>
      <c r="B252" s="10" t="s">
        <v>552</v>
      </c>
      <c r="C252" s="10" t="s">
        <v>553</v>
      </c>
      <c r="D252" s="41" t="str">
        <f>PROPER(TRIM(FatmaUsf[[#This Row],[Last Name]]&amp;" "&amp;FatmaUsf[[#This Row],[Last Name]]))</f>
        <v>Dahna Dahna</v>
      </c>
      <c r="E252" s="10" t="s">
        <v>100</v>
      </c>
      <c r="F252" s="10" t="s">
        <v>809</v>
      </c>
      <c r="G252" s="10" t="s">
        <v>13</v>
      </c>
      <c r="H252" s="11" t="s">
        <v>11</v>
      </c>
      <c r="I252" s="11" t="s">
        <v>9</v>
      </c>
      <c r="J252" s="12" t="s">
        <v>12</v>
      </c>
      <c r="K252" s="10" t="s">
        <v>1038</v>
      </c>
      <c r="L252" s="13">
        <v>2</v>
      </c>
      <c r="M252" s="14">
        <v>1</v>
      </c>
      <c r="N252" s="14">
        <v>2008</v>
      </c>
      <c r="O252" s="46">
        <f>DATE(FatmaUsf[[#This Row],[Hire Year]],FatmaUsf[[#This Row],[Hire Month]],FatmaUsf[[#This Row],[Hire Day]])</f>
        <v>39449</v>
      </c>
      <c r="P252" s="46">
        <f t="shared" ca="1" si="3"/>
        <v>46071</v>
      </c>
      <c r="Q252" s="14">
        <f ca="1">DATEDIF(FatmaUsf[[#This Row],[Hiring Date]],FatmaUsf[[#This Row],[current date]],"Y")</f>
        <v>18</v>
      </c>
      <c r="R252" s="15">
        <v>4070</v>
      </c>
      <c r="S252" s="53">
        <f>FatmaUsf[[#This Row],[Salary]]*0.1</f>
        <v>407</v>
      </c>
      <c r="T252" s="16">
        <f>FatmaUsf[[#This Row],[Salary]]*0.03</f>
        <v>122.1</v>
      </c>
      <c r="U252" s="48">
        <f>FatmaUsf[[#This Row],[Salary]]-FatmaUsf[[#This Row],[Tax 10%]]+FatmaUsf[[#This Row],[Bonus 3%]]</f>
        <v>3785.1</v>
      </c>
      <c r="V252" s="17" t="str">
        <f>IF(FatmaUsf[[#This Row],[Net Salary]]&gt;=6000,"Over","Normal")</f>
        <v>Normal</v>
      </c>
      <c r="W252" s="57">
        <f>VLOOKUP(FatmaUsf[[#This Row],[Net Salary]],$Z$10:$AA$14,2)</f>
        <v>0.05</v>
      </c>
    </row>
    <row r="253" spans="1:23" ht="15.75" customHeight="1">
      <c r="A253" s="24">
        <v>1252</v>
      </c>
      <c r="B253" s="10" t="s">
        <v>554</v>
      </c>
      <c r="C253" s="10" t="s">
        <v>555</v>
      </c>
      <c r="D253" s="41" t="str">
        <f>PROPER(TRIM(FatmaUsf[[#This Row],[Last Name]]&amp;" "&amp;FatmaUsf[[#This Row],[Last Name]]))</f>
        <v>Tqi Aldiyn Tqi Aldiyn</v>
      </c>
      <c r="E253" s="10" t="s">
        <v>99</v>
      </c>
      <c r="F253" s="10" t="s">
        <v>810</v>
      </c>
      <c r="G253" s="10" t="s">
        <v>1100</v>
      </c>
      <c r="H253" s="11" t="s">
        <v>14</v>
      </c>
      <c r="I253" s="11" t="s">
        <v>15</v>
      </c>
      <c r="J253" s="12" t="s">
        <v>10</v>
      </c>
      <c r="K253" s="10" t="s">
        <v>1039</v>
      </c>
      <c r="L253" s="13">
        <v>16</v>
      </c>
      <c r="M253" s="14">
        <v>1</v>
      </c>
      <c r="N253" s="14">
        <v>2008</v>
      </c>
      <c r="O253" s="46">
        <f>DATE(FatmaUsf[[#This Row],[Hire Year]],FatmaUsf[[#This Row],[Hire Month]],FatmaUsf[[#This Row],[Hire Day]])</f>
        <v>39463</v>
      </c>
      <c r="P253" s="46">
        <f t="shared" ca="1" si="3"/>
        <v>46071</v>
      </c>
      <c r="Q253" s="14">
        <f ca="1">DATEDIF(FatmaUsf[[#This Row],[Hiring Date]],FatmaUsf[[#This Row],[current date]],"Y")</f>
        <v>18</v>
      </c>
      <c r="R253" s="15">
        <v>1906</v>
      </c>
      <c r="S253" s="53">
        <f>FatmaUsf[[#This Row],[Salary]]*0.1</f>
        <v>190.60000000000002</v>
      </c>
      <c r="T253" s="16">
        <f>FatmaUsf[[#This Row],[Salary]]*0.03</f>
        <v>57.18</v>
      </c>
      <c r="U253" s="48">
        <f>FatmaUsf[[#This Row],[Salary]]-FatmaUsf[[#This Row],[Tax 10%]]+FatmaUsf[[#This Row],[Bonus 3%]]</f>
        <v>1772.5800000000002</v>
      </c>
      <c r="V253" s="17" t="str">
        <f>IF(FatmaUsf[[#This Row],[Net Salary]]&gt;=6000,"Over","Normal")</f>
        <v>Normal</v>
      </c>
      <c r="W253" s="57">
        <f>VLOOKUP(FatmaUsf[[#This Row],[Net Salary]],$Z$10:$AA$14,2)</f>
        <v>0.08</v>
      </c>
    </row>
    <row r="254" spans="1:23" ht="15.75" customHeight="1">
      <c r="A254" s="24">
        <v>1253</v>
      </c>
      <c r="B254" s="10" t="s">
        <v>556</v>
      </c>
      <c r="C254" s="10" t="s">
        <v>557</v>
      </c>
      <c r="D254" s="41" t="str">
        <f>PROPER(TRIM(FatmaUsf[[#This Row],[Last Name]]&amp;" "&amp;FatmaUsf[[#This Row],[Last Name]]))</f>
        <v>Jdwe Jdwe</v>
      </c>
      <c r="E254" s="10" t="s">
        <v>100</v>
      </c>
      <c r="F254" s="10" t="s">
        <v>811</v>
      </c>
      <c r="G254" s="10" t="s">
        <v>17</v>
      </c>
      <c r="H254" s="11" t="s">
        <v>22</v>
      </c>
      <c r="I254" s="11" t="s">
        <v>15</v>
      </c>
      <c r="J254" s="12" t="s">
        <v>12</v>
      </c>
      <c r="K254" s="10" t="s">
        <v>1040</v>
      </c>
      <c r="L254" s="13">
        <v>12</v>
      </c>
      <c r="M254" s="14">
        <v>3</v>
      </c>
      <c r="N254" s="14">
        <v>1991</v>
      </c>
      <c r="O254" s="46">
        <f>DATE(FatmaUsf[[#This Row],[Hire Year]],FatmaUsf[[#This Row],[Hire Month]],FatmaUsf[[#This Row],[Hire Day]])</f>
        <v>33309</v>
      </c>
      <c r="P254" s="46">
        <f t="shared" ca="1" si="3"/>
        <v>46071</v>
      </c>
      <c r="Q254" s="14">
        <f ca="1">DATEDIF(FatmaUsf[[#This Row],[Hiring Date]],FatmaUsf[[#This Row],[current date]],"Y")</f>
        <v>34</v>
      </c>
      <c r="R254" s="15">
        <v>2600</v>
      </c>
      <c r="S254" s="53">
        <f>FatmaUsf[[#This Row],[Salary]]*0.1</f>
        <v>260</v>
      </c>
      <c r="T254" s="16">
        <f>FatmaUsf[[#This Row],[Salary]]*0.03</f>
        <v>78</v>
      </c>
      <c r="U254" s="48">
        <f>FatmaUsf[[#This Row],[Salary]]-FatmaUsf[[#This Row],[Tax 10%]]+FatmaUsf[[#This Row],[Bonus 3%]]</f>
        <v>2418</v>
      </c>
      <c r="V254" s="17" t="str">
        <f>IF(FatmaUsf[[#This Row],[Net Salary]]&gt;=6000,"Over","Normal")</f>
        <v>Normal</v>
      </c>
      <c r="W254" s="57">
        <f>VLOOKUP(FatmaUsf[[#This Row],[Net Salary]],$Z$10:$AA$14,2)</f>
        <v>0.08</v>
      </c>
    </row>
    <row r="255" spans="1:23" ht="15.75" customHeight="1">
      <c r="A255" s="24">
        <v>1254</v>
      </c>
      <c r="B255" s="10" t="s">
        <v>138</v>
      </c>
      <c r="C255" s="10" t="s">
        <v>558</v>
      </c>
      <c r="D255" s="41" t="str">
        <f>PROPER(TRIM(FatmaUsf[[#This Row],[Last Name]]&amp;" "&amp;FatmaUsf[[#This Row],[Last Name]]))</f>
        <v>Wayly Wayly</v>
      </c>
      <c r="E255" s="10" t="s">
        <v>99</v>
      </c>
      <c r="F255" s="10" t="s">
        <v>812</v>
      </c>
      <c r="G255" s="10" t="s">
        <v>13</v>
      </c>
      <c r="H255" s="11" t="s">
        <v>11</v>
      </c>
      <c r="I255" s="11" t="s">
        <v>18</v>
      </c>
      <c r="J255" s="12" t="s">
        <v>10</v>
      </c>
      <c r="K255" s="10" t="s">
        <v>1041</v>
      </c>
      <c r="L255" s="13">
        <v>9</v>
      </c>
      <c r="M255" s="14">
        <v>6</v>
      </c>
      <c r="N255" s="14">
        <v>2015</v>
      </c>
      <c r="O255" s="46">
        <f>DATE(FatmaUsf[[#This Row],[Hire Year]],FatmaUsf[[#This Row],[Hire Month]],FatmaUsf[[#This Row],[Hire Day]])</f>
        <v>42164</v>
      </c>
      <c r="P255" s="46">
        <f t="shared" ca="1" si="3"/>
        <v>46071</v>
      </c>
      <c r="Q255" s="14">
        <f ca="1">DATEDIF(FatmaUsf[[#This Row],[Hiring Date]],FatmaUsf[[#This Row],[current date]],"Y")</f>
        <v>10</v>
      </c>
      <c r="R255" s="15">
        <v>3753</v>
      </c>
      <c r="S255" s="53">
        <f>FatmaUsf[[#This Row],[Salary]]*0.1</f>
        <v>375.3</v>
      </c>
      <c r="T255" s="16">
        <f>FatmaUsf[[#This Row],[Salary]]*0.03</f>
        <v>112.58999999999999</v>
      </c>
      <c r="U255" s="48">
        <f>FatmaUsf[[#This Row],[Salary]]-FatmaUsf[[#This Row],[Tax 10%]]+FatmaUsf[[#This Row],[Bonus 3%]]</f>
        <v>3490.29</v>
      </c>
      <c r="V255" s="17" t="str">
        <f>IF(FatmaUsf[[#This Row],[Net Salary]]&gt;=6000,"Over","Normal")</f>
        <v>Normal</v>
      </c>
      <c r="W255" s="57">
        <f>VLOOKUP(FatmaUsf[[#This Row],[Net Salary]],$Z$10:$AA$14,2)</f>
        <v>0.05</v>
      </c>
    </row>
    <row r="256" spans="1:23" ht="15.75" customHeight="1">
      <c r="A256" s="24">
        <v>1255</v>
      </c>
      <c r="B256" s="10" t="s">
        <v>96</v>
      </c>
      <c r="C256" s="10" t="s">
        <v>559</v>
      </c>
      <c r="D256" s="41" t="str">
        <f>PROPER(TRIM(FatmaUsf[[#This Row],[Last Name]]&amp;" "&amp;FatmaUsf[[#This Row],[Last Name]]))</f>
        <v>Alsiraj Alsiraj</v>
      </c>
      <c r="E256" s="10" t="s">
        <v>99</v>
      </c>
      <c r="F256" s="10" t="s">
        <v>813</v>
      </c>
      <c r="G256" s="10" t="s">
        <v>19</v>
      </c>
      <c r="H256" s="11" t="s">
        <v>8</v>
      </c>
      <c r="I256" s="11" t="s">
        <v>264</v>
      </c>
      <c r="J256" s="12" t="s">
        <v>20</v>
      </c>
      <c r="K256" s="10" t="s">
        <v>1042</v>
      </c>
      <c r="L256" s="13">
        <v>24</v>
      </c>
      <c r="M256" s="14">
        <v>4</v>
      </c>
      <c r="N256" s="14">
        <v>1991</v>
      </c>
      <c r="O256" s="46">
        <f>DATE(FatmaUsf[[#This Row],[Hire Year]],FatmaUsf[[#This Row],[Hire Month]],FatmaUsf[[#This Row],[Hire Day]])</f>
        <v>33352</v>
      </c>
      <c r="P256" s="46">
        <f t="shared" ca="1" si="3"/>
        <v>46071</v>
      </c>
      <c r="Q256" s="14">
        <f ca="1">DATEDIF(FatmaUsf[[#This Row],[Hiring Date]],FatmaUsf[[#This Row],[current date]],"Y")</f>
        <v>34</v>
      </c>
      <c r="R256" s="15">
        <v>5086</v>
      </c>
      <c r="S256" s="53">
        <f>FatmaUsf[[#This Row],[Salary]]*0.1</f>
        <v>508.6</v>
      </c>
      <c r="T256" s="16">
        <f>FatmaUsf[[#This Row],[Salary]]*0.03</f>
        <v>152.57999999999998</v>
      </c>
      <c r="U256" s="48">
        <f>FatmaUsf[[#This Row],[Salary]]-FatmaUsf[[#This Row],[Tax 10%]]+FatmaUsf[[#This Row],[Bonus 3%]]</f>
        <v>4729.9799999999996</v>
      </c>
      <c r="V256" s="17" t="str">
        <f>IF(FatmaUsf[[#This Row],[Net Salary]]&gt;=6000,"Over","Normal")</f>
        <v>Normal</v>
      </c>
      <c r="W256" s="57">
        <f>VLOOKUP(FatmaUsf[[#This Row],[Net Salary]],$Z$10:$AA$14,2)</f>
        <v>0.05</v>
      </c>
    </row>
    <row r="257" spans="1:23" ht="15.75" customHeight="1">
      <c r="A257" s="24">
        <v>1256</v>
      </c>
      <c r="B257" s="10" t="s">
        <v>560</v>
      </c>
      <c r="C257" s="10" t="s">
        <v>561</v>
      </c>
      <c r="D257" s="41" t="str">
        <f>PROPER(TRIM(FatmaUsf[[#This Row],[Last Name]]&amp;" "&amp;FatmaUsf[[#This Row],[Last Name]]))</f>
        <v>Nadaf Nadaf</v>
      </c>
      <c r="E257" s="10" t="s">
        <v>100</v>
      </c>
      <c r="F257" s="10" t="s">
        <v>814</v>
      </c>
      <c r="G257" s="10" t="s">
        <v>13</v>
      </c>
      <c r="H257" s="11" t="s">
        <v>8</v>
      </c>
      <c r="I257" s="11" t="s">
        <v>9</v>
      </c>
      <c r="J257" s="12" t="s">
        <v>10</v>
      </c>
      <c r="K257" s="10" t="s">
        <v>1043</v>
      </c>
      <c r="L257" s="13">
        <v>22</v>
      </c>
      <c r="M257" s="14">
        <v>5</v>
      </c>
      <c r="N257" s="14">
        <v>2006</v>
      </c>
      <c r="O257" s="46">
        <f>DATE(FatmaUsf[[#This Row],[Hire Year]],FatmaUsf[[#This Row],[Hire Month]],FatmaUsf[[#This Row],[Hire Day]])</f>
        <v>38859</v>
      </c>
      <c r="P257" s="46">
        <f t="shared" ca="1" si="3"/>
        <v>46071</v>
      </c>
      <c r="Q257" s="14">
        <f ca="1">DATEDIF(FatmaUsf[[#This Row],[Hiring Date]],FatmaUsf[[#This Row],[current date]],"Y")</f>
        <v>19</v>
      </c>
      <c r="R257" s="15">
        <v>2431</v>
      </c>
      <c r="S257" s="53">
        <f>FatmaUsf[[#This Row],[Salary]]*0.1</f>
        <v>243.10000000000002</v>
      </c>
      <c r="T257" s="16">
        <f>FatmaUsf[[#This Row],[Salary]]*0.03</f>
        <v>72.929999999999993</v>
      </c>
      <c r="U257" s="48">
        <f>FatmaUsf[[#This Row],[Salary]]-FatmaUsf[[#This Row],[Tax 10%]]+FatmaUsf[[#This Row],[Bonus 3%]]</f>
        <v>2260.83</v>
      </c>
      <c r="V257" s="17" t="str">
        <f>IF(FatmaUsf[[#This Row],[Net Salary]]&gt;=6000,"Over","Normal")</f>
        <v>Normal</v>
      </c>
      <c r="W257" s="57">
        <f>VLOOKUP(FatmaUsf[[#This Row],[Net Salary]],$Z$10:$AA$14,2)</f>
        <v>0.08</v>
      </c>
    </row>
    <row r="258" spans="1:23" ht="15.75" customHeight="1">
      <c r="A258" s="24">
        <v>1257</v>
      </c>
      <c r="B258" s="10" t="s">
        <v>562</v>
      </c>
      <c r="C258" s="10" t="s">
        <v>563</v>
      </c>
      <c r="D258" s="41" t="str">
        <f>PROPER(TRIM(FatmaUsf[[#This Row],[Last Name]]&amp;" "&amp;FatmaUsf[[#This Row],[Last Name]]))</f>
        <v>Barghuth Barghuth</v>
      </c>
      <c r="E258" s="10" t="s">
        <v>99</v>
      </c>
      <c r="F258" s="10" t="s">
        <v>815</v>
      </c>
      <c r="G258" s="10" t="s">
        <v>17</v>
      </c>
      <c r="H258" s="11" t="s">
        <v>22</v>
      </c>
      <c r="I258" s="11" t="s">
        <v>9</v>
      </c>
      <c r="J258" s="12" t="s">
        <v>23</v>
      </c>
      <c r="K258" s="10" t="s">
        <v>1044</v>
      </c>
      <c r="L258" s="13">
        <v>9</v>
      </c>
      <c r="M258" s="14">
        <v>10</v>
      </c>
      <c r="N258" s="14">
        <v>1992</v>
      </c>
      <c r="O258" s="46">
        <f>DATE(FatmaUsf[[#This Row],[Hire Year]],FatmaUsf[[#This Row],[Hire Month]],FatmaUsf[[#This Row],[Hire Day]])</f>
        <v>33886</v>
      </c>
      <c r="P258" s="46">
        <f t="shared" ref="P258:P301" ca="1" si="4">TODAY()</f>
        <v>46071</v>
      </c>
      <c r="Q258" s="14">
        <f ca="1">DATEDIF(FatmaUsf[[#This Row],[Hiring Date]],FatmaUsf[[#This Row],[current date]],"Y")</f>
        <v>33</v>
      </c>
      <c r="R258" s="15">
        <v>2955</v>
      </c>
      <c r="S258" s="53">
        <f>FatmaUsf[[#This Row],[Salary]]*0.1</f>
        <v>295.5</v>
      </c>
      <c r="T258" s="16">
        <f>FatmaUsf[[#This Row],[Salary]]*0.03</f>
        <v>88.649999999999991</v>
      </c>
      <c r="U258" s="48">
        <f>FatmaUsf[[#This Row],[Salary]]-FatmaUsf[[#This Row],[Tax 10%]]+FatmaUsf[[#This Row],[Bonus 3%]]</f>
        <v>2748.15</v>
      </c>
      <c r="V258" s="17" t="str">
        <f>IF(FatmaUsf[[#This Row],[Net Salary]]&gt;=6000,"Over","Normal")</f>
        <v>Normal</v>
      </c>
      <c r="W258" s="57">
        <f>VLOOKUP(FatmaUsf[[#This Row],[Net Salary]],$Z$10:$AA$14,2)</f>
        <v>0.08</v>
      </c>
    </row>
    <row r="259" spans="1:23" ht="15.75" customHeight="1">
      <c r="A259" s="24">
        <v>1258</v>
      </c>
      <c r="B259" s="10" t="s">
        <v>531</v>
      </c>
      <c r="C259" s="10" t="s">
        <v>564</v>
      </c>
      <c r="D259" s="41" t="str">
        <f>PROPER(TRIM(FatmaUsf[[#This Row],[Last Name]]&amp;" "&amp;FatmaUsf[[#This Row],[Last Name]]))</f>
        <v>Jazar Jazar</v>
      </c>
      <c r="E259" s="10" t="s">
        <v>100</v>
      </c>
      <c r="F259" s="10" t="s">
        <v>816</v>
      </c>
      <c r="G259" s="10" t="s">
        <v>17</v>
      </c>
      <c r="H259" s="11" t="s">
        <v>8</v>
      </c>
      <c r="I259" s="11" t="s">
        <v>264</v>
      </c>
      <c r="J259" s="12" t="s">
        <v>12</v>
      </c>
      <c r="K259" s="10" t="s">
        <v>1045</v>
      </c>
      <c r="L259" s="13">
        <v>25</v>
      </c>
      <c r="M259" s="14">
        <v>11</v>
      </c>
      <c r="N259" s="14">
        <v>2020</v>
      </c>
      <c r="O259" s="46">
        <f>DATE(FatmaUsf[[#This Row],[Hire Year]],FatmaUsf[[#This Row],[Hire Month]],FatmaUsf[[#This Row],[Hire Day]])</f>
        <v>44160</v>
      </c>
      <c r="P259" s="46">
        <f t="shared" ca="1" si="4"/>
        <v>46071</v>
      </c>
      <c r="Q259" s="14">
        <f ca="1">DATEDIF(FatmaUsf[[#This Row],[Hiring Date]],FatmaUsf[[#This Row],[current date]],"Y")</f>
        <v>5</v>
      </c>
      <c r="R259" s="15">
        <v>1948</v>
      </c>
      <c r="S259" s="53">
        <f>FatmaUsf[[#This Row],[Salary]]*0.1</f>
        <v>194.8</v>
      </c>
      <c r="T259" s="16">
        <f>FatmaUsf[[#This Row],[Salary]]*0.03</f>
        <v>58.44</v>
      </c>
      <c r="U259" s="48">
        <f>FatmaUsf[[#This Row],[Salary]]-FatmaUsf[[#This Row],[Tax 10%]]+FatmaUsf[[#This Row],[Bonus 3%]]</f>
        <v>1811.64</v>
      </c>
      <c r="V259" s="17" t="str">
        <f>IF(FatmaUsf[[#This Row],[Net Salary]]&gt;=6000,"Over","Normal")</f>
        <v>Normal</v>
      </c>
      <c r="W259" s="57">
        <f>VLOOKUP(FatmaUsf[[#This Row],[Net Salary]],$Z$10:$AA$14,2)</f>
        <v>0.08</v>
      </c>
    </row>
    <row r="260" spans="1:23" ht="15.75" customHeight="1">
      <c r="A260" s="24">
        <v>1259</v>
      </c>
      <c r="B260" s="10" t="s">
        <v>565</v>
      </c>
      <c r="C260" s="10" t="s">
        <v>566</v>
      </c>
      <c r="D260" s="41" t="str">
        <f>PROPER(TRIM(FatmaUsf[[#This Row],[Last Name]]&amp;" "&amp;FatmaUsf[[#This Row],[Last Name]]))</f>
        <v>Eusqul Eusqul</v>
      </c>
      <c r="E260" s="10" t="s">
        <v>100</v>
      </c>
      <c r="F260" s="10" t="s">
        <v>817</v>
      </c>
      <c r="G260" s="10" t="s">
        <v>19</v>
      </c>
      <c r="H260" s="11" t="s">
        <v>22</v>
      </c>
      <c r="I260" s="11" t="s">
        <v>25</v>
      </c>
      <c r="J260" s="12" t="s">
        <v>10</v>
      </c>
      <c r="K260" s="10" t="s">
        <v>1046</v>
      </c>
      <c r="L260" s="13">
        <v>10</v>
      </c>
      <c r="M260" s="14">
        <v>7</v>
      </c>
      <c r="N260" s="14">
        <v>2011</v>
      </c>
      <c r="O260" s="46">
        <f>DATE(FatmaUsf[[#This Row],[Hire Year]],FatmaUsf[[#This Row],[Hire Month]],FatmaUsf[[#This Row],[Hire Day]])</f>
        <v>40734</v>
      </c>
      <c r="P260" s="46">
        <f t="shared" ca="1" si="4"/>
        <v>46071</v>
      </c>
      <c r="Q260" s="14">
        <f ca="1">DATEDIF(FatmaUsf[[#This Row],[Hiring Date]],FatmaUsf[[#This Row],[current date]],"Y")</f>
        <v>14</v>
      </c>
      <c r="R260" s="15">
        <v>3294</v>
      </c>
      <c r="S260" s="53">
        <f>FatmaUsf[[#This Row],[Salary]]*0.1</f>
        <v>329.40000000000003</v>
      </c>
      <c r="T260" s="16">
        <f>FatmaUsf[[#This Row],[Salary]]*0.03</f>
        <v>98.82</v>
      </c>
      <c r="U260" s="48">
        <f>FatmaUsf[[#This Row],[Salary]]-FatmaUsf[[#This Row],[Tax 10%]]+FatmaUsf[[#This Row],[Bonus 3%]]</f>
        <v>3063.42</v>
      </c>
      <c r="V260" s="17" t="str">
        <f>IF(FatmaUsf[[#This Row],[Net Salary]]&gt;=6000,"Over","Normal")</f>
        <v>Normal</v>
      </c>
      <c r="W260" s="57">
        <f>VLOOKUP(FatmaUsf[[#This Row],[Net Salary]],$Z$10:$AA$14,2)</f>
        <v>0.05</v>
      </c>
    </row>
    <row r="261" spans="1:23" ht="15.75" customHeight="1">
      <c r="A261" s="24">
        <v>1260</v>
      </c>
      <c r="B261" s="10" t="s">
        <v>567</v>
      </c>
      <c r="C261" s="10" t="s">
        <v>568</v>
      </c>
      <c r="D261" s="41" t="str">
        <f>PROPER(TRIM(FatmaUsf[[#This Row],[Last Name]]&amp;" "&amp;FatmaUsf[[#This Row],[Last Name]]))</f>
        <v>Iybw Iybw</v>
      </c>
      <c r="E261" s="10" t="s">
        <v>99</v>
      </c>
      <c r="F261" s="10" t="s">
        <v>818</v>
      </c>
      <c r="G261" s="10" t="s">
        <v>1100</v>
      </c>
      <c r="H261" s="11" t="s">
        <v>11</v>
      </c>
      <c r="I261" s="11" t="s">
        <v>264</v>
      </c>
      <c r="J261" s="12" t="s">
        <v>20</v>
      </c>
      <c r="K261" s="10" t="s">
        <v>1047</v>
      </c>
      <c r="L261" s="13">
        <v>12</v>
      </c>
      <c r="M261" s="14">
        <v>5</v>
      </c>
      <c r="N261" s="14">
        <v>2013</v>
      </c>
      <c r="O261" s="46">
        <f>DATE(FatmaUsf[[#This Row],[Hire Year]],FatmaUsf[[#This Row],[Hire Month]],FatmaUsf[[#This Row],[Hire Day]])</f>
        <v>41406</v>
      </c>
      <c r="P261" s="46">
        <f t="shared" ca="1" si="4"/>
        <v>46071</v>
      </c>
      <c r="Q261" s="14">
        <f ca="1">DATEDIF(FatmaUsf[[#This Row],[Hiring Date]],FatmaUsf[[#This Row],[current date]],"Y")</f>
        <v>12</v>
      </c>
      <c r="R261" s="15">
        <v>7123</v>
      </c>
      <c r="S261" s="53">
        <f>FatmaUsf[[#This Row],[Salary]]*0.1</f>
        <v>712.30000000000007</v>
      </c>
      <c r="T261" s="16">
        <f>FatmaUsf[[#This Row],[Salary]]*0.03</f>
        <v>213.69</v>
      </c>
      <c r="U261" s="48">
        <f>FatmaUsf[[#This Row],[Salary]]-FatmaUsf[[#This Row],[Tax 10%]]+FatmaUsf[[#This Row],[Bonus 3%]]</f>
        <v>6624.3899999999994</v>
      </c>
      <c r="V261" s="17" t="str">
        <f>IF(FatmaUsf[[#This Row],[Net Salary]]&gt;=6000,"Over","Normal")</f>
        <v>Over</v>
      </c>
      <c r="W261" s="57">
        <f>VLOOKUP(FatmaUsf[[#This Row],[Net Salary]],$Z$10:$AA$14,2)</f>
        <v>0.02</v>
      </c>
    </row>
    <row r="262" spans="1:23" ht="15.75" customHeight="1">
      <c r="A262" s="24">
        <v>1261</v>
      </c>
      <c r="B262" s="10" t="s">
        <v>569</v>
      </c>
      <c r="C262" s="10" t="s">
        <v>570</v>
      </c>
      <c r="D262" s="41" t="str">
        <f>PROPER(TRIM(FatmaUsf[[#This Row],[Last Name]]&amp;" "&amp;FatmaUsf[[#This Row],[Last Name]]))</f>
        <v>Ghabur Ghabur</v>
      </c>
      <c r="E262" s="10" t="s">
        <v>100</v>
      </c>
      <c r="F262" s="10" t="s">
        <v>819</v>
      </c>
      <c r="G262" s="10" t="s">
        <v>13</v>
      </c>
      <c r="H262" s="11" t="s">
        <v>11</v>
      </c>
      <c r="I262" s="11" t="s">
        <v>25</v>
      </c>
      <c r="J262" s="12" t="s">
        <v>12</v>
      </c>
      <c r="K262" s="10" t="s">
        <v>1048</v>
      </c>
      <c r="L262" s="13">
        <v>5</v>
      </c>
      <c r="M262" s="14">
        <v>9</v>
      </c>
      <c r="N262" s="14">
        <v>2003</v>
      </c>
      <c r="O262" s="46">
        <f>DATE(FatmaUsf[[#This Row],[Hire Year]],FatmaUsf[[#This Row],[Hire Month]],FatmaUsf[[#This Row],[Hire Day]])</f>
        <v>37869</v>
      </c>
      <c r="P262" s="46">
        <f t="shared" ca="1" si="4"/>
        <v>46071</v>
      </c>
      <c r="Q262" s="14">
        <f ca="1">DATEDIF(FatmaUsf[[#This Row],[Hiring Date]],FatmaUsf[[#This Row],[current date]],"Y")</f>
        <v>22</v>
      </c>
      <c r="R262" s="15">
        <v>7236</v>
      </c>
      <c r="S262" s="53">
        <f>FatmaUsf[[#This Row],[Salary]]*0.1</f>
        <v>723.6</v>
      </c>
      <c r="T262" s="16">
        <f>FatmaUsf[[#This Row],[Salary]]*0.03</f>
        <v>217.07999999999998</v>
      </c>
      <c r="U262" s="48">
        <f>FatmaUsf[[#This Row],[Salary]]-FatmaUsf[[#This Row],[Tax 10%]]+FatmaUsf[[#This Row],[Bonus 3%]]</f>
        <v>6729.48</v>
      </c>
      <c r="V262" s="17" t="str">
        <f>IF(FatmaUsf[[#This Row],[Net Salary]]&gt;=6000,"Over","Normal")</f>
        <v>Over</v>
      </c>
      <c r="W262" s="57">
        <f>VLOOKUP(FatmaUsf[[#This Row],[Net Salary]],$Z$10:$AA$14,2)</f>
        <v>0.02</v>
      </c>
    </row>
    <row r="263" spans="1:23" ht="15.75" customHeight="1">
      <c r="A263" s="24">
        <v>1262</v>
      </c>
      <c r="B263" s="10" t="s">
        <v>118</v>
      </c>
      <c r="C263" s="10" t="s">
        <v>474</v>
      </c>
      <c r="D263" s="41" t="str">
        <f>PROPER(TRIM(FatmaUsf[[#This Row],[Last Name]]&amp;" "&amp;FatmaUsf[[#This Row],[Last Name]]))</f>
        <v>Sultan Sultan</v>
      </c>
      <c r="E263" s="10" t="s">
        <v>99</v>
      </c>
      <c r="F263" s="10" t="s">
        <v>820</v>
      </c>
      <c r="G263" s="10" t="s">
        <v>1100</v>
      </c>
      <c r="H263" s="11" t="s">
        <v>22</v>
      </c>
      <c r="I263" s="11" t="s">
        <v>25</v>
      </c>
      <c r="J263" s="12" t="s">
        <v>10</v>
      </c>
      <c r="K263" s="10" t="s">
        <v>1049</v>
      </c>
      <c r="L263" s="13">
        <v>4</v>
      </c>
      <c r="M263" s="14">
        <v>9</v>
      </c>
      <c r="N263" s="14">
        <v>2009</v>
      </c>
      <c r="O263" s="46">
        <f>DATE(FatmaUsf[[#This Row],[Hire Year]],FatmaUsf[[#This Row],[Hire Month]],FatmaUsf[[#This Row],[Hire Day]])</f>
        <v>40060</v>
      </c>
      <c r="P263" s="46">
        <f t="shared" ca="1" si="4"/>
        <v>46071</v>
      </c>
      <c r="Q263" s="14">
        <f ca="1">DATEDIF(FatmaUsf[[#This Row],[Hiring Date]],FatmaUsf[[#This Row],[current date]],"Y")</f>
        <v>16</v>
      </c>
      <c r="R263" s="15">
        <v>6843</v>
      </c>
      <c r="S263" s="53">
        <f>FatmaUsf[[#This Row],[Salary]]*0.1</f>
        <v>684.30000000000007</v>
      </c>
      <c r="T263" s="16">
        <f>FatmaUsf[[#This Row],[Salary]]*0.03</f>
        <v>205.29</v>
      </c>
      <c r="U263" s="48">
        <f>FatmaUsf[[#This Row],[Salary]]-FatmaUsf[[#This Row],[Tax 10%]]+FatmaUsf[[#This Row],[Bonus 3%]]</f>
        <v>6363.99</v>
      </c>
      <c r="V263" s="17" t="str">
        <f>IF(FatmaUsf[[#This Row],[Net Salary]]&gt;=6000,"Over","Normal")</f>
        <v>Over</v>
      </c>
      <c r="W263" s="57">
        <f>VLOOKUP(FatmaUsf[[#This Row],[Net Salary]],$Z$10:$AA$14,2)</f>
        <v>0.02</v>
      </c>
    </row>
    <row r="264" spans="1:23" ht="15.75" customHeight="1">
      <c r="A264" s="24">
        <v>1263</v>
      </c>
      <c r="B264" s="10" t="s">
        <v>571</v>
      </c>
      <c r="C264" s="10" t="s">
        <v>331</v>
      </c>
      <c r="D264" s="41" t="str">
        <f>PROPER(TRIM(FatmaUsf[[#This Row],[Last Name]]&amp;" "&amp;FatmaUsf[[#This Row],[Last Name]]))</f>
        <v>Salih Salih</v>
      </c>
      <c r="E264" s="10" t="s">
        <v>100</v>
      </c>
      <c r="F264" s="10" t="s">
        <v>821</v>
      </c>
      <c r="G264" s="10" t="s">
        <v>1100</v>
      </c>
      <c r="H264" s="11" t="s">
        <v>14</v>
      </c>
      <c r="I264" s="11" t="s">
        <v>25</v>
      </c>
      <c r="J264" s="12" t="s">
        <v>12</v>
      </c>
      <c r="K264" s="10" t="s">
        <v>1050</v>
      </c>
      <c r="L264" s="13">
        <v>18</v>
      </c>
      <c r="M264" s="14">
        <v>10</v>
      </c>
      <c r="N264" s="14">
        <v>2007</v>
      </c>
      <c r="O264" s="46">
        <f>DATE(FatmaUsf[[#This Row],[Hire Year]],FatmaUsf[[#This Row],[Hire Month]],FatmaUsf[[#This Row],[Hire Day]])</f>
        <v>39373</v>
      </c>
      <c r="P264" s="46">
        <f t="shared" ca="1" si="4"/>
        <v>46071</v>
      </c>
      <c r="Q264" s="14">
        <f ca="1">DATEDIF(FatmaUsf[[#This Row],[Hiring Date]],FatmaUsf[[#This Row],[current date]],"Y")</f>
        <v>18</v>
      </c>
      <c r="R264" s="15">
        <v>1070</v>
      </c>
      <c r="S264" s="53">
        <f>FatmaUsf[[#This Row],[Salary]]*0.1</f>
        <v>107</v>
      </c>
      <c r="T264" s="16">
        <f>FatmaUsf[[#This Row],[Salary]]*0.03</f>
        <v>32.1</v>
      </c>
      <c r="U264" s="48">
        <f>FatmaUsf[[#This Row],[Salary]]-FatmaUsf[[#This Row],[Tax 10%]]+FatmaUsf[[#This Row],[Bonus 3%]]</f>
        <v>995.1</v>
      </c>
      <c r="V264" s="17" t="str">
        <f>IF(FatmaUsf[[#This Row],[Net Salary]]&gt;=6000,"Over","Normal")</f>
        <v>Normal</v>
      </c>
      <c r="W264" s="57">
        <f>VLOOKUP(FatmaUsf[[#This Row],[Net Salary]],$Z$10:$AA$14,2)</f>
        <v>0.1</v>
      </c>
    </row>
    <row r="265" spans="1:23" ht="15.75" customHeight="1">
      <c r="A265" s="24">
        <v>1264</v>
      </c>
      <c r="B265" s="10" t="s">
        <v>572</v>
      </c>
      <c r="C265" s="10" t="s">
        <v>573</v>
      </c>
      <c r="D265" s="41" t="str">
        <f>PROPER(TRIM(FatmaUsf[[#This Row],[Last Name]]&amp;" "&amp;FatmaUsf[[#This Row],[Last Name]]))</f>
        <v>Aljazayiriu Aljazayiriu</v>
      </c>
      <c r="E265" s="10" t="s">
        <v>100</v>
      </c>
      <c r="F265" s="10" t="s">
        <v>822</v>
      </c>
      <c r="G265" s="10" t="s">
        <v>13</v>
      </c>
      <c r="H265" s="11" t="s">
        <v>11</v>
      </c>
      <c r="I265" s="11" t="s">
        <v>25</v>
      </c>
      <c r="J265" s="12" t="s">
        <v>12</v>
      </c>
      <c r="K265" s="10" t="s">
        <v>1051</v>
      </c>
      <c r="L265" s="13">
        <v>5</v>
      </c>
      <c r="M265" s="14">
        <v>2</v>
      </c>
      <c r="N265" s="14">
        <v>2000</v>
      </c>
      <c r="O265" s="46">
        <f>DATE(FatmaUsf[[#This Row],[Hire Year]],FatmaUsf[[#This Row],[Hire Month]],FatmaUsf[[#This Row],[Hire Day]])</f>
        <v>36561</v>
      </c>
      <c r="P265" s="46">
        <f t="shared" ca="1" si="4"/>
        <v>46071</v>
      </c>
      <c r="Q265" s="14">
        <f ca="1">DATEDIF(FatmaUsf[[#This Row],[Hiring Date]],FatmaUsf[[#This Row],[current date]],"Y")</f>
        <v>26</v>
      </c>
      <c r="R265" s="15">
        <v>1493</v>
      </c>
      <c r="S265" s="53">
        <f>FatmaUsf[[#This Row],[Salary]]*0.1</f>
        <v>149.30000000000001</v>
      </c>
      <c r="T265" s="16">
        <f>FatmaUsf[[#This Row],[Salary]]*0.03</f>
        <v>44.79</v>
      </c>
      <c r="U265" s="48">
        <f>FatmaUsf[[#This Row],[Salary]]-FatmaUsf[[#This Row],[Tax 10%]]+FatmaUsf[[#This Row],[Bonus 3%]]</f>
        <v>1388.49</v>
      </c>
      <c r="V265" s="17" t="str">
        <f>IF(FatmaUsf[[#This Row],[Net Salary]]&gt;=6000,"Over","Normal")</f>
        <v>Normal</v>
      </c>
      <c r="W265" s="57">
        <f>VLOOKUP(FatmaUsf[[#This Row],[Net Salary]],$Z$10:$AA$14,2)</f>
        <v>0.08</v>
      </c>
    </row>
    <row r="266" spans="1:23" ht="15.75" customHeight="1">
      <c r="A266" s="24">
        <v>1265</v>
      </c>
      <c r="B266" s="10" t="s">
        <v>574</v>
      </c>
      <c r="C266" s="10" t="s">
        <v>421</v>
      </c>
      <c r="D266" s="41" t="str">
        <f>PROPER(TRIM(FatmaUsf[[#This Row],[Last Name]]&amp;" "&amp;FatmaUsf[[#This Row],[Last Name]]))</f>
        <v>Ghazal Ghazal</v>
      </c>
      <c r="E266" s="10" t="s">
        <v>100</v>
      </c>
      <c r="F266" s="10" t="s">
        <v>823</v>
      </c>
      <c r="G266" s="10" t="s">
        <v>19</v>
      </c>
      <c r="H266" s="11" t="s">
        <v>11</v>
      </c>
      <c r="I266" s="11" t="s">
        <v>25</v>
      </c>
      <c r="J266" s="12" t="s">
        <v>10</v>
      </c>
      <c r="K266" s="10" t="s">
        <v>1052</v>
      </c>
      <c r="L266" s="13">
        <v>21</v>
      </c>
      <c r="M266" s="14">
        <v>8</v>
      </c>
      <c r="N266" s="14">
        <v>1992</v>
      </c>
      <c r="O266" s="46">
        <f>DATE(FatmaUsf[[#This Row],[Hire Year]],FatmaUsf[[#This Row],[Hire Month]],FatmaUsf[[#This Row],[Hire Day]])</f>
        <v>33837</v>
      </c>
      <c r="P266" s="46">
        <f t="shared" ca="1" si="4"/>
        <v>46071</v>
      </c>
      <c r="Q266" s="14">
        <f ca="1">DATEDIF(FatmaUsf[[#This Row],[Hiring Date]],FatmaUsf[[#This Row],[current date]],"Y")</f>
        <v>33</v>
      </c>
      <c r="R266" s="15">
        <v>5857</v>
      </c>
      <c r="S266" s="53">
        <f>FatmaUsf[[#This Row],[Salary]]*0.1</f>
        <v>585.70000000000005</v>
      </c>
      <c r="T266" s="16">
        <f>FatmaUsf[[#This Row],[Salary]]*0.03</f>
        <v>175.70999999999998</v>
      </c>
      <c r="U266" s="48">
        <f>FatmaUsf[[#This Row],[Salary]]-FatmaUsf[[#This Row],[Tax 10%]]+FatmaUsf[[#This Row],[Bonus 3%]]</f>
        <v>5447.01</v>
      </c>
      <c r="V266" s="17" t="str">
        <f>IF(FatmaUsf[[#This Row],[Net Salary]]&gt;=6000,"Over","Normal")</f>
        <v>Normal</v>
      </c>
      <c r="W266" s="57">
        <f>VLOOKUP(FatmaUsf[[#This Row],[Net Salary]],$Z$10:$AA$14,2)</f>
        <v>0.05</v>
      </c>
    </row>
    <row r="267" spans="1:23" ht="15.75" customHeight="1">
      <c r="A267" s="24">
        <v>1266</v>
      </c>
      <c r="B267" s="10" t="s">
        <v>531</v>
      </c>
      <c r="C267" s="10" t="s">
        <v>575</v>
      </c>
      <c r="D267" s="41" t="str">
        <f>PROPER(TRIM(FatmaUsf[[#This Row],[Last Name]]&amp;" "&amp;FatmaUsf[[#This Row],[Last Name]]))</f>
        <v>Dakhal Dakhal</v>
      </c>
      <c r="E267" s="10" t="s">
        <v>100</v>
      </c>
      <c r="F267" s="10" t="s">
        <v>824</v>
      </c>
      <c r="G267" s="10" t="s">
        <v>19</v>
      </c>
      <c r="H267" s="11" t="s">
        <v>14</v>
      </c>
      <c r="I267" s="11" t="s">
        <v>264</v>
      </c>
      <c r="J267" s="12" t="s">
        <v>10</v>
      </c>
      <c r="K267" s="10" t="s">
        <v>1053</v>
      </c>
      <c r="L267" s="13">
        <v>3</v>
      </c>
      <c r="M267" s="14">
        <v>9</v>
      </c>
      <c r="N267" s="14">
        <v>2001</v>
      </c>
      <c r="O267" s="46">
        <f>DATE(FatmaUsf[[#This Row],[Hire Year]],FatmaUsf[[#This Row],[Hire Month]],FatmaUsf[[#This Row],[Hire Day]])</f>
        <v>37137</v>
      </c>
      <c r="P267" s="46">
        <f t="shared" ca="1" si="4"/>
        <v>46071</v>
      </c>
      <c r="Q267" s="14">
        <f ca="1">DATEDIF(FatmaUsf[[#This Row],[Hiring Date]],FatmaUsf[[#This Row],[current date]],"Y")</f>
        <v>24</v>
      </c>
      <c r="R267" s="15">
        <v>5278</v>
      </c>
      <c r="S267" s="53">
        <f>FatmaUsf[[#This Row],[Salary]]*0.1</f>
        <v>527.80000000000007</v>
      </c>
      <c r="T267" s="16">
        <f>FatmaUsf[[#This Row],[Salary]]*0.03</f>
        <v>158.34</v>
      </c>
      <c r="U267" s="48">
        <f>FatmaUsf[[#This Row],[Salary]]-FatmaUsf[[#This Row],[Tax 10%]]+FatmaUsf[[#This Row],[Bonus 3%]]</f>
        <v>4908.54</v>
      </c>
      <c r="V267" s="17" t="str">
        <f>IF(FatmaUsf[[#This Row],[Net Salary]]&gt;=6000,"Over","Normal")</f>
        <v>Normal</v>
      </c>
      <c r="W267" s="57">
        <f>VLOOKUP(FatmaUsf[[#This Row],[Net Salary]],$Z$10:$AA$14,2)</f>
        <v>0.05</v>
      </c>
    </row>
    <row r="268" spans="1:23" ht="15.75" customHeight="1">
      <c r="A268" s="24">
        <v>1267</v>
      </c>
      <c r="B268" s="10" t="s">
        <v>576</v>
      </c>
      <c r="C268" s="10" t="s">
        <v>577</v>
      </c>
      <c r="D268" s="41" t="str">
        <f>PROPER(TRIM(FatmaUsf[[#This Row],[Last Name]]&amp;" "&amp;FatmaUsf[[#This Row],[Last Name]]))</f>
        <v>Dulul Dulul</v>
      </c>
      <c r="E268" s="10" t="s">
        <v>100</v>
      </c>
      <c r="F268" s="10" t="s">
        <v>825</v>
      </c>
      <c r="G268" s="10" t="s">
        <v>1100</v>
      </c>
      <c r="H268" s="11" t="s">
        <v>22</v>
      </c>
      <c r="I268" s="11" t="s">
        <v>26</v>
      </c>
      <c r="J268" s="12" t="s">
        <v>10</v>
      </c>
      <c r="K268" s="10" t="s">
        <v>1054</v>
      </c>
      <c r="L268" s="13">
        <v>25</v>
      </c>
      <c r="M268" s="14">
        <v>9</v>
      </c>
      <c r="N268" s="14">
        <v>2012</v>
      </c>
      <c r="O268" s="46">
        <f>DATE(FatmaUsf[[#This Row],[Hire Year]],FatmaUsf[[#This Row],[Hire Month]],FatmaUsf[[#This Row],[Hire Day]])</f>
        <v>41177</v>
      </c>
      <c r="P268" s="46">
        <f t="shared" ca="1" si="4"/>
        <v>46071</v>
      </c>
      <c r="Q268" s="14">
        <f ca="1">DATEDIF(FatmaUsf[[#This Row],[Hiring Date]],FatmaUsf[[#This Row],[current date]],"Y")</f>
        <v>13</v>
      </c>
      <c r="R268" s="15">
        <v>5710</v>
      </c>
      <c r="S268" s="53">
        <f>FatmaUsf[[#This Row],[Salary]]*0.1</f>
        <v>571</v>
      </c>
      <c r="T268" s="16">
        <f>FatmaUsf[[#This Row],[Salary]]*0.03</f>
        <v>171.29999999999998</v>
      </c>
      <c r="U268" s="48">
        <f>FatmaUsf[[#This Row],[Salary]]-FatmaUsf[[#This Row],[Tax 10%]]+FatmaUsf[[#This Row],[Bonus 3%]]</f>
        <v>5310.3</v>
      </c>
      <c r="V268" s="17" t="str">
        <f>IF(FatmaUsf[[#This Row],[Net Salary]]&gt;=6000,"Over","Normal")</f>
        <v>Normal</v>
      </c>
      <c r="W268" s="57">
        <f>VLOOKUP(FatmaUsf[[#This Row],[Net Salary]],$Z$10:$AA$14,2)</f>
        <v>0.05</v>
      </c>
    </row>
    <row r="269" spans="1:23" ht="15.75" customHeight="1">
      <c r="A269" s="24">
        <v>1268</v>
      </c>
      <c r="B269" s="10" t="s">
        <v>578</v>
      </c>
      <c r="C269" s="10" t="s">
        <v>579</v>
      </c>
      <c r="D269" s="41" t="str">
        <f>PROPER(TRIM(FatmaUsf[[#This Row],[Last Name]]&amp;" "&amp;FatmaUsf[[#This Row],[Last Name]]))</f>
        <v>Aleaqqad Aleaqqad</v>
      </c>
      <c r="E269" s="10" t="s">
        <v>99</v>
      </c>
      <c r="F269" s="10" t="s">
        <v>826</v>
      </c>
      <c r="G269" s="10" t="s">
        <v>13</v>
      </c>
      <c r="H269" s="11" t="s">
        <v>11</v>
      </c>
      <c r="I269" s="11" t="s">
        <v>15</v>
      </c>
      <c r="J269" s="12" t="s">
        <v>20</v>
      </c>
      <c r="K269" s="10" t="s">
        <v>1055</v>
      </c>
      <c r="L269" s="13">
        <v>24</v>
      </c>
      <c r="M269" s="14">
        <v>9</v>
      </c>
      <c r="N269" s="14">
        <v>2010</v>
      </c>
      <c r="O269" s="46">
        <f>DATE(FatmaUsf[[#This Row],[Hire Year]],FatmaUsf[[#This Row],[Hire Month]],FatmaUsf[[#This Row],[Hire Day]])</f>
        <v>40445</v>
      </c>
      <c r="P269" s="46">
        <f t="shared" ca="1" si="4"/>
        <v>46071</v>
      </c>
      <c r="Q269" s="14">
        <f ca="1">DATEDIF(FatmaUsf[[#This Row],[Hiring Date]],FatmaUsf[[#This Row],[current date]],"Y")</f>
        <v>15</v>
      </c>
      <c r="R269" s="15">
        <v>6145</v>
      </c>
      <c r="S269" s="53">
        <f>FatmaUsf[[#This Row],[Salary]]*0.1</f>
        <v>614.5</v>
      </c>
      <c r="T269" s="16">
        <f>FatmaUsf[[#This Row],[Salary]]*0.03</f>
        <v>184.35</v>
      </c>
      <c r="U269" s="48">
        <f>FatmaUsf[[#This Row],[Salary]]-FatmaUsf[[#This Row],[Tax 10%]]+FatmaUsf[[#This Row],[Bonus 3%]]</f>
        <v>5714.85</v>
      </c>
      <c r="V269" s="17" t="str">
        <f>IF(FatmaUsf[[#This Row],[Net Salary]]&gt;=6000,"Over","Normal")</f>
        <v>Normal</v>
      </c>
      <c r="W269" s="57">
        <f>VLOOKUP(FatmaUsf[[#This Row],[Net Salary]],$Z$10:$AA$14,2)</f>
        <v>0.05</v>
      </c>
    </row>
    <row r="270" spans="1:23" ht="15.75" customHeight="1">
      <c r="A270" s="24">
        <v>1269</v>
      </c>
      <c r="B270" s="10" t="s">
        <v>580</v>
      </c>
      <c r="C270" s="10" t="s">
        <v>581</v>
      </c>
      <c r="D270" s="41" t="str">
        <f>PROPER(TRIM(FatmaUsf[[#This Row],[Last Name]]&amp;" "&amp;FatmaUsf[[#This Row],[Last Name]]))</f>
        <v>Byd Byd</v>
      </c>
      <c r="E270" s="10" t="s">
        <v>99</v>
      </c>
      <c r="F270" s="10" t="s">
        <v>827</v>
      </c>
      <c r="G270" s="10" t="s">
        <v>17</v>
      </c>
      <c r="H270" s="11" t="s">
        <v>8</v>
      </c>
      <c r="I270" s="11" t="s">
        <v>26</v>
      </c>
      <c r="J270" s="12" t="s">
        <v>20</v>
      </c>
      <c r="K270" s="10" t="s">
        <v>1056</v>
      </c>
      <c r="L270" s="13">
        <v>24</v>
      </c>
      <c r="M270" s="14">
        <v>1</v>
      </c>
      <c r="N270" s="14">
        <v>1993</v>
      </c>
      <c r="O270" s="46">
        <f>DATE(FatmaUsf[[#This Row],[Hire Year]],FatmaUsf[[#This Row],[Hire Month]],FatmaUsf[[#This Row],[Hire Day]])</f>
        <v>33993</v>
      </c>
      <c r="P270" s="46">
        <f t="shared" ca="1" si="4"/>
        <v>46071</v>
      </c>
      <c r="Q270" s="14">
        <f ca="1">DATEDIF(FatmaUsf[[#This Row],[Hiring Date]],FatmaUsf[[#This Row],[current date]],"Y")</f>
        <v>33</v>
      </c>
      <c r="R270" s="15">
        <v>5278</v>
      </c>
      <c r="S270" s="53">
        <f>FatmaUsf[[#This Row],[Salary]]*0.1</f>
        <v>527.80000000000007</v>
      </c>
      <c r="T270" s="16">
        <f>FatmaUsf[[#This Row],[Salary]]*0.03</f>
        <v>158.34</v>
      </c>
      <c r="U270" s="48">
        <f>FatmaUsf[[#This Row],[Salary]]-FatmaUsf[[#This Row],[Tax 10%]]+FatmaUsf[[#This Row],[Bonus 3%]]</f>
        <v>4908.54</v>
      </c>
      <c r="V270" s="17" t="str">
        <f>IF(FatmaUsf[[#This Row],[Net Salary]]&gt;=6000,"Over","Normal")</f>
        <v>Normal</v>
      </c>
      <c r="W270" s="57">
        <f>VLOOKUP(FatmaUsf[[#This Row],[Net Salary]],$Z$10:$AA$14,2)</f>
        <v>0.05</v>
      </c>
    </row>
    <row r="271" spans="1:23" ht="15.75" customHeight="1">
      <c r="A271" s="24">
        <v>1270</v>
      </c>
      <c r="B271" s="10" t="s">
        <v>102</v>
      </c>
      <c r="C271" s="10" t="s">
        <v>582</v>
      </c>
      <c r="D271" s="41" t="str">
        <f>PROPER(TRIM(FatmaUsf[[#This Row],[Last Name]]&amp;" "&amp;FatmaUsf[[#This Row],[Last Name]]))</f>
        <v>Ahmid Ahmid</v>
      </c>
      <c r="E271" s="10" t="s">
        <v>100</v>
      </c>
      <c r="F271" s="10" t="s">
        <v>828</v>
      </c>
      <c r="G271" s="10" t="s">
        <v>17</v>
      </c>
      <c r="H271" s="11" t="s">
        <v>11</v>
      </c>
      <c r="I271" s="11" t="s">
        <v>9</v>
      </c>
      <c r="J271" s="12" t="s">
        <v>12</v>
      </c>
      <c r="K271" s="10" t="s">
        <v>1057</v>
      </c>
      <c r="L271" s="13">
        <v>21</v>
      </c>
      <c r="M271" s="14">
        <v>7</v>
      </c>
      <c r="N271" s="14">
        <v>2013</v>
      </c>
      <c r="O271" s="46">
        <f>DATE(FatmaUsf[[#This Row],[Hire Year]],FatmaUsf[[#This Row],[Hire Month]],FatmaUsf[[#This Row],[Hire Day]])</f>
        <v>41476</v>
      </c>
      <c r="P271" s="46">
        <f t="shared" ca="1" si="4"/>
        <v>46071</v>
      </c>
      <c r="Q271" s="14">
        <f ca="1">DATEDIF(FatmaUsf[[#This Row],[Hiring Date]],FatmaUsf[[#This Row],[current date]],"Y")</f>
        <v>12</v>
      </c>
      <c r="R271" s="15">
        <v>6409</v>
      </c>
      <c r="S271" s="53">
        <f>FatmaUsf[[#This Row],[Salary]]*0.1</f>
        <v>640.90000000000009</v>
      </c>
      <c r="T271" s="16">
        <f>FatmaUsf[[#This Row],[Salary]]*0.03</f>
        <v>192.26999999999998</v>
      </c>
      <c r="U271" s="48">
        <f>FatmaUsf[[#This Row],[Salary]]-FatmaUsf[[#This Row],[Tax 10%]]+FatmaUsf[[#This Row],[Bonus 3%]]</f>
        <v>5960.3700000000008</v>
      </c>
      <c r="V271" s="17" t="str">
        <f>IF(FatmaUsf[[#This Row],[Net Salary]]&gt;=6000,"Over","Normal")</f>
        <v>Normal</v>
      </c>
      <c r="W271" s="57">
        <f>VLOOKUP(FatmaUsf[[#This Row],[Net Salary]],$Z$10:$AA$14,2)</f>
        <v>0.05</v>
      </c>
    </row>
    <row r="272" spans="1:23" ht="15.75" customHeight="1">
      <c r="A272" s="24">
        <v>1271</v>
      </c>
      <c r="B272" s="10" t="s">
        <v>30</v>
      </c>
      <c r="C272" s="10" t="s">
        <v>583</v>
      </c>
      <c r="D272" s="41" t="str">
        <f>PROPER(TRIM(FatmaUsf[[#This Row],[Last Name]]&amp;" "&amp;FatmaUsf[[#This Row],[Last Name]]))</f>
        <v>Alqadri Alqadri</v>
      </c>
      <c r="E272" s="10" t="s">
        <v>100</v>
      </c>
      <c r="F272" s="10" t="s">
        <v>829</v>
      </c>
      <c r="G272" s="10" t="s">
        <v>13</v>
      </c>
      <c r="H272" s="11" t="s">
        <v>11</v>
      </c>
      <c r="I272" s="11" t="s">
        <v>9</v>
      </c>
      <c r="J272" s="12" t="s">
        <v>23</v>
      </c>
      <c r="K272" s="10" t="s">
        <v>1058</v>
      </c>
      <c r="L272" s="13">
        <v>8</v>
      </c>
      <c r="M272" s="14">
        <v>12</v>
      </c>
      <c r="N272" s="14">
        <v>1996</v>
      </c>
      <c r="O272" s="46">
        <f>DATE(FatmaUsf[[#This Row],[Hire Year]],FatmaUsf[[#This Row],[Hire Month]],FatmaUsf[[#This Row],[Hire Day]])</f>
        <v>35407</v>
      </c>
      <c r="P272" s="46">
        <f t="shared" ca="1" si="4"/>
        <v>46071</v>
      </c>
      <c r="Q272" s="14">
        <f ca="1">DATEDIF(FatmaUsf[[#This Row],[Hiring Date]],FatmaUsf[[#This Row],[current date]],"Y")</f>
        <v>29</v>
      </c>
      <c r="R272" s="15">
        <v>7478</v>
      </c>
      <c r="S272" s="53">
        <f>FatmaUsf[[#This Row],[Salary]]*0.1</f>
        <v>747.80000000000007</v>
      </c>
      <c r="T272" s="16">
        <f>FatmaUsf[[#This Row],[Salary]]*0.03</f>
        <v>224.34</v>
      </c>
      <c r="U272" s="48">
        <f>FatmaUsf[[#This Row],[Salary]]-FatmaUsf[[#This Row],[Tax 10%]]+FatmaUsf[[#This Row],[Bonus 3%]]</f>
        <v>6954.54</v>
      </c>
      <c r="V272" s="17" t="str">
        <f>IF(FatmaUsf[[#This Row],[Net Salary]]&gt;=6000,"Over","Normal")</f>
        <v>Over</v>
      </c>
      <c r="W272" s="57">
        <f>VLOOKUP(FatmaUsf[[#This Row],[Net Salary]],$Z$10:$AA$14,2)</f>
        <v>0.02</v>
      </c>
    </row>
    <row r="273" spans="1:23" ht="15.75" customHeight="1">
      <c r="A273" s="24">
        <v>1272</v>
      </c>
      <c r="B273" s="10" t="s">
        <v>584</v>
      </c>
      <c r="C273" s="10" t="s">
        <v>585</v>
      </c>
      <c r="D273" s="41" t="str">
        <f>PROPER(TRIM(FatmaUsf[[#This Row],[Last Name]]&amp;" "&amp;FatmaUsf[[#This Row],[Last Name]]))</f>
        <v>Suirkili Suirkili</v>
      </c>
      <c r="E273" s="10" t="s">
        <v>99</v>
      </c>
      <c r="F273" s="10" t="s">
        <v>830</v>
      </c>
      <c r="G273" s="10" t="s">
        <v>1100</v>
      </c>
      <c r="H273" s="11" t="s">
        <v>22</v>
      </c>
      <c r="I273" s="11" t="s">
        <v>9</v>
      </c>
      <c r="J273" s="12" t="s">
        <v>10</v>
      </c>
      <c r="K273" s="10" t="s">
        <v>1059</v>
      </c>
      <c r="L273" s="13">
        <v>10</v>
      </c>
      <c r="M273" s="14">
        <v>11</v>
      </c>
      <c r="N273" s="14">
        <v>2001</v>
      </c>
      <c r="O273" s="46">
        <f>DATE(FatmaUsf[[#This Row],[Hire Year]],FatmaUsf[[#This Row],[Hire Month]],FatmaUsf[[#This Row],[Hire Day]])</f>
        <v>37205</v>
      </c>
      <c r="P273" s="46">
        <f t="shared" ca="1" si="4"/>
        <v>46071</v>
      </c>
      <c r="Q273" s="14">
        <f ca="1">DATEDIF(FatmaUsf[[#This Row],[Hiring Date]],FatmaUsf[[#This Row],[current date]],"Y")</f>
        <v>24</v>
      </c>
      <c r="R273" s="15">
        <v>4621</v>
      </c>
      <c r="S273" s="53">
        <f>FatmaUsf[[#This Row],[Salary]]*0.1</f>
        <v>462.1</v>
      </c>
      <c r="T273" s="16">
        <f>FatmaUsf[[#This Row],[Salary]]*0.03</f>
        <v>138.63</v>
      </c>
      <c r="U273" s="48">
        <f>FatmaUsf[[#This Row],[Salary]]-FatmaUsf[[#This Row],[Tax 10%]]+FatmaUsf[[#This Row],[Bonus 3%]]</f>
        <v>4297.53</v>
      </c>
      <c r="V273" s="17" t="str">
        <f>IF(FatmaUsf[[#This Row],[Net Salary]]&gt;=6000,"Over","Normal")</f>
        <v>Normal</v>
      </c>
      <c r="W273" s="57">
        <f>VLOOKUP(FatmaUsf[[#This Row],[Net Salary]],$Z$10:$AA$14,2)</f>
        <v>0.05</v>
      </c>
    </row>
    <row r="274" spans="1:23" ht="15.75" customHeight="1">
      <c r="A274" s="24">
        <v>1273</v>
      </c>
      <c r="B274" s="10" t="s">
        <v>586</v>
      </c>
      <c r="C274" s="10" t="s">
        <v>587</v>
      </c>
      <c r="D274" s="41" t="str">
        <f>PROPER(TRIM(FatmaUsf[[#This Row],[Last Name]]&amp;" "&amp;FatmaUsf[[#This Row],[Last Name]]))</f>
        <v>Bihtiti Bihtiti</v>
      </c>
      <c r="E274" s="10" t="s">
        <v>100</v>
      </c>
      <c r="F274" s="10" t="s">
        <v>831</v>
      </c>
      <c r="G274" s="10" t="s">
        <v>17</v>
      </c>
      <c r="H274" s="11" t="s">
        <v>11</v>
      </c>
      <c r="I274" s="11" t="s">
        <v>27</v>
      </c>
      <c r="J274" s="12" t="s">
        <v>20</v>
      </c>
      <c r="K274" s="10" t="s">
        <v>1060</v>
      </c>
      <c r="L274" s="13">
        <v>11</v>
      </c>
      <c r="M274" s="14">
        <v>8</v>
      </c>
      <c r="N274" s="14">
        <v>2020</v>
      </c>
      <c r="O274" s="46">
        <f>DATE(FatmaUsf[[#This Row],[Hire Year]],FatmaUsf[[#This Row],[Hire Month]],FatmaUsf[[#This Row],[Hire Day]])</f>
        <v>44054</v>
      </c>
      <c r="P274" s="46">
        <f t="shared" ca="1" si="4"/>
        <v>46071</v>
      </c>
      <c r="Q274" s="14">
        <f ca="1">DATEDIF(FatmaUsf[[#This Row],[Hiring Date]],FatmaUsf[[#This Row],[current date]],"Y")</f>
        <v>5</v>
      </c>
      <c r="R274" s="15">
        <v>2093</v>
      </c>
      <c r="S274" s="53">
        <f>FatmaUsf[[#This Row],[Salary]]*0.1</f>
        <v>209.3</v>
      </c>
      <c r="T274" s="16">
        <f>FatmaUsf[[#This Row],[Salary]]*0.03</f>
        <v>62.79</v>
      </c>
      <c r="U274" s="48">
        <f>FatmaUsf[[#This Row],[Salary]]-FatmaUsf[[#This Row],[Tax 10%]]+FatmaUsf[[#This Row],[Bonus 3%]]</f>
        <v>1946.49</v>
      </c>
      <c r="V274" s="17" t="str">
        <f>IF(FatmaUsf[[#This Row],[Net Salary]]&gt;=6000,"Over","Normal")</f>
        <v>Normal</v>
      </c>
      <c r="W274" s="57">
        <f>VLOOKUP(FatmaUsf[[#This Row],[Net Salary]],$Z$10:$AA$14,2)</f>
        <v>0.08</v>
      </c>
    </row>
    <row r="275" spans="1:23" ht="15.75" customHeight="1">
      <c r="A275" s="24">
        <v>1274</v>
      </c>
      <c r="B275" s="10" t="s">
        <v>30</v>
      </c>
      <c r="C275" s="10" t="s">
        <v>588</v>
      </c>
      <c r="D275" s="41" t="str">
        <f>PROPER(TRIM(FatmaUsf[[#This Row],[Last Name]]&amp;" "&amp;FatmaUsf[[#This Row],[Last Name]]))</f>
        <v>Barghaly Barghaly</v>
      </c>
      <c r="E275" s="10" t="s">
        <v>100</v>
      </c>
      <c r="F275" s="10" t="s">
        <v>832</v>
      </c>
      <c r="G275" s="10" t="s">
        <v>1100</v>
      </c>
      <c r="H275" s="11" t="s">
        <v>22</v>
      </c>
      <c r="I275" s="11" t="s">
        <v>264</v>
      </c>
      <c r="J275" s="12" t="s">
        <v>12</v>
      </c>
      <c r="K275" s="10" t="s">
        <v>1061</v>
      </c>
      <c r="L275" s="13">
        <v>19</v>
      </c>
      <c r="M275" s="14">
        <v>5</v>
      </c>
      <c r="N275" s="14">
        <v>1993</v>
      </c>
      <c r="O275" s="46">
        <f>DATE(FatmaUsf[[#This Row],[Hire Year]],FatmaUsf[[#This Row],[Hire Month]],FatmaUsf[[#This Row],[Hire Day]])</f>
        <v>34108</v>
      </c>
      <c r="P275" s="46">
        <f t="shared" ca="1" si="4"/>
        <v>46071</v>
      </c>
      <c r="Q275" s="14">
        <f ca="1">DATEDIF(FatmaUsf[[#This Row],[Hiring Date]],FatmaUsf[[#This Row],[current date]],"Y")</f>
        <v>32</v>
      </c>
      <c r="R275" s="15">
        <v>7333</v>
      </c>
      <c r="S275" s="53">
        <f>FatmaUsf[[#This Row],[Salary]]*0.1</f>
        <v>733.30000000000007</v>
      </c>
      <c r="T275" s="16">
        <f>FatmaUsf[[#This Row],[Salary]]*0.03</f>
        <v>219.98999999999998</v>
      </c>
      <c r="U275" s="48">
        <f>FatmaUsf[[#This Row],[Salary]]-FatmaUsf[[#This Row],[Tax 10%]]+FatmaUsf[[#This Row],[Bonus 3%]]</f>
        <v>6819.69</v>
      </c>
      <c r="V275" s="17" t="str">
        <f>IF(FatmaUsf[[#This Row],[Net Salary]]&gt;=6000,"Over","Normal")</f>
        <v>Over</v>
      </c>
      <c r="W275" s="57">
        <f>VLOOKUP(FatmaUsf[[#This Row],[Net Salary]],$Z$10:$AA$14,2)</f>
        <v>0.02</v>
      </c>
    </row>
    <row r="276" spans="1:23" ht="15.75" customHeight="1">
      <c r="A276" s="24">
        <v>1275</v>
      </c>
      <c r="B276" s="10" t="s">
        <v>30</v>
      </c>
      <c r="C276" s="10" t="s">
        <v>589</v>
      </c>
      <c r="D276" s="41" t="str">
        <f>PROPER(TRIM(FatmaUsf[[#This Row],[Last Name]]&amp;" "&amp;FatmaUsf[[#This Row],[Last Name]]))</f>
        <v>Alshaykh Alshaykh</v>
      </c>
      <c r="E276" s="10" t="s">
        <v>100</v>
      </c>
      <c r="F276" s="10" t="s">
        <v>833</v>
      </c>
      <c r="G276" s="10" t="s">
        <v>17</v>
      </c>
      <c r="H276" s="11" t="s">
        <v>8</v>
      </c>
      <c r="I276" s="11" t="s">
        <v>15</v>
      </c>
      <c r="J276" s="12" t="s">
        <v>20</v>
      </c>
      <c r="K276" s="10" t="s">
        <v>1062</v>
      </c>
      <c r="L276" s="13">
        <v>9</v>
      </c>
      <c r="M276" s="14">
        <v>3</v>
      </c>
      <c r="N276" s="14">
        <v>2018</v>
      </c>
      <c r="O276" s="46">
        <f>DATE(FatmaUsf[[#This Row],[Hire Year]],FatmaUsf[[#This Row],[Hire Month]],FatmaUsf[[#This Row],[Hire Day]])</f>
        <v>43168</v>
      </c>
      <c r="P276" s="46">
        <f t="shared" ca="1" si="4"/>
        <v>46071</v>
      </c>
      <c r="Q276" s="14">
        <f ca="1">DATEDIF(FatmaUsf[[#This Row],[Hiring Date]],FatmaUsf[[#This Row],[current date]],"Y")</f>
        <v>7</v>
      </c>
      <c r="R276" s="15">
        <v>1194</v>
      </c>
      <c r="S276" s="53">
        <f>FatmaUsf[[#This Row],[Salary]]*0.1</f>
        <v>119.4</v>
      </c>
      <c r="T276" s="16">
        <f>FatmaUsf[[#This Row],[Salary]]*0.03</f>
        <v>35.82</v>
      </c>
      <c r="U276" s="48">
        <f>FatmaUsf[[#This Row],[Salary]]-FatmaUsf[[#This Row],[Tax 10%]]+FatmaUsf[[#This Row],[Bonus 3%]]</f>
        <v>1110.4199999999998</v>
      </c>
      <c r="V276" s="17" t="str">
        <f>IF(FatmaUsf[[#This Row],[Net Salary]]&gt;=6000,"Over","Normal")</f>
        <v>Normal</v>
      </c>
      <c r="W276" s="57">
        <f>VLOOKUP(FatmaUsf[[#This Row],[Net Salary]],$Z$10:$AA$14,2)</f>
        <v>0.08</v>
      </c>
    </row>
    <row r="277" spans="1:23" ht="15.75" customHeight="1">
      <c r="A277" s="24">
        <v>1276</v>
      </c>
      <c r="B277" s="10" t="s">
        <v>444</v>
      </c>
      <c r="C277" s="10" t="s">
        <v>590</v>
      </c>
      <c r="D277" s="41" t="str">
        <f>PROPER(TRIM(FatmaUsf[[#This Row],[Last Name]]&amp;" "&amp;FatmaUsf[[#This Row],[Last Name]]))</f>
        <v>Huquq Huquq</v>
      </c>
      <c r="E277" s="10" t="s">
        <v>99</v>
      </c>
      <c r="F277" s="10" t="s">
        <v>834</v>
      </c>
      <c r="G277" s="10" t="s">
        <v>7</v>
      </c>
      <c r="H277" s="11" t="s">
        <v>8</v>
      </c>
      <c r="I277" s="11" t="s">
        <v>15</v>
      </c>
      <c r="J277" s="12" t="s">
        <v>10</v>
      </c>
      <c r="K277" s="10" t="s">
        <v>1063</v>
      </c>
      <c r="L277" s="13">
        <v>24</v>
      </c>
      <c r="M277" s="14">
        <v>2</v>
      </c>
      <c r="N277" s="14">
        <v>1995</v>
      </c>
      <c r="O277" s="46">
        <f>DATE(FatmaUsf[[#This Row],[Hire Year]],FatmaUsf[[#This Row],[Hire Month]],FatmaUsf[[#This Row],[Hire Day]])</f>
        <v>34754</v>
      </c>
      <c r="P277" s="46">
        <f t="shared" ca="1" si="4"/>
        <v>46071</v>
      </c>
      <c r="Q277" s="14">
        <f ca="1">DATEDIF(FatmaUsf[[#This Row],[Hiring Date]],FatmaUsf[[#This Row],[current date]],"Y")</f>
        <v>30</v>
      </c>
      <c r="R277" s="15">
        <v>5118</v>
      </c>
      <c r="S277" s="53">
        <f>FatmaUsf[[#This Row],[Salary]]*0.1</f>
        <v>511.8</v>
      </c>
      <c r="T277" s="16">
        <f>FatmaUsf[[#This Row],[Salary]]*0.03</f>
        <v>153.54</v>
      </c>
      <c r="U277" s="48">
        <f>FatmaUsf[[#This Row],[Salary]]-FatmaUsf[[#This Row],[Tax 10%]]+FatmaUsf[[#This Row],[Bonus 3%]]</f>
        <v>4759.74</v>
      </c>
      <c r="V277" s="17" t="str">
        <f>IF(FatmaUsf[[#This Row],[Net Salary]]&gt;=6000,"Over","Normal")</f>
        <v>Normal</v>
      </c>
      <c r="W277" s="57">
        <f>VLOOKUP(FatmaUsf[[#This Row],[Net Salary]],$Z$10:$AA$14,2)</f>
        <v>0.05</v>
      </c>
    </row>
    <row r="278" spans="1:23" ht="15.75" customHeight="1">
      <c r="A278" s="24">
        <v>1277</v>
      </c>
      <c r="B278" s="10" t="s">
        <v>97</v>
      </c>
      <c r="C278" s="10" t="s">
        <v>591</v>
      </c>
      <c r="D278" s="41" t="str">
        <f>PROPER(TRIM(FatmaUsf[[#This Row],[Last Name]]&amp;" "&amp;FatmaUsf[[#This Row],[Last Name]]))</f>
        <v>Alqatish Alqatish</v>
      </c>
      <c r="E278" s="10" t="s">
        <v>100</v>
      </c>
      <c r="F278" s="10" t="s">
        <v>835</v>
      </c>
      <c r="G278" s="10" t="s">
        <v>17</v>
      </c>
      <c r="H278" s="11" t="s">
        <v>8</v>
      </c>
      <c r="I278" s="11" t="s">
        <v>28</v>
      </c>
      <c r="J278" s="12" t="s">
        <v>10</v>
      </c>
      <c r="K278" s="10" t="s">
        <v>1064</v>
      </c>
      <c r="L278" s="13">
        <v>26</v>
      </c>
      <c r="M278" s="14">
        <v>2</v>
      </c>
      <c r="N278" s="14">
        <v>2023</v>
      </c>
      <c r="O278" s="46">
        <f>DATE(FatmaUsf[[#This Row],[Hire Year]],FatmaUsf[[#This Row],[Hire Month]],FatmaUsf[[#This Row],[Hire Day]])</f>
        <v>44983</v>
      </c>
      <c r="P278" s="46">
        <f t="shared" ca="1" si="4"/>
        <v>46071</v>
      </c>
      <c r="Q278" s="14">
        <f ca="1">DATEDIF(FatmaUsf[[#This Row],[Hiring Date]],FatmaUsf[[#This Row],[current date]],"Y")</f>
        <v>2</v>
      </c>
      <c r="R278" s="15">
        <v>5373</v>
      </c>
      <c r="S278" s="53">
        <f>FatmaUsf[[#This Row],[Salary]]*0.1</f>
        <v>537.30000000000007</v>
      </c>
      <c r="T278" s="16">
        <f>FatmaUsf[[#This Row],[Salary]]*0.03</f>
        <v>161.19</v>
      </c>
      <c r="U278" s="48">
        <f>FatmaUsf[[#This Row],[Salary]]-FatmaUsf[[#This Row],[Tax 10%]]+FatmaUsf[[#This Row],[Bonus 3%]]</f>
        <v>4996.8899999999994</v>
      </c>
      <c r="V278" s="17" t="str">
        <f>IF(FatmaUsf[[#This Row],[Net Salary]]&gt;=6000,"Over","Normal")</f>
        <v>Normal</v>
      </c>
      <c r="W278" s="57">
        <f>VLOOKUP(FatmaUsf[[#This Row],[Net Salary]],$Z$10:$AA$14,2)</f>
        <v>0.05</v>
      </c>
    </row>
    <row r="279" spans="1:23" ht="15.75" customHeight="1">
      <c r="A279" s="24">
        <v>1278</v>
      </c>
      <c r="B279" s="10" t="s">
        <v>592</v>
      </c>
      <c r="C279" s="10" t="s">
        <v>593</v>
      </c>
      <c r="D279" s="41" t="str">
        <f>PROPER(TRIM(FatmaUsf[[#This Row],[Last Name]]&amp;" "&amp;FatmaUsf[[#This Row],[Last Name]]))</f>
        <v>Alealiu Alealiu</v>
      </c>
      <c r="E279" s="10" t="s">
        <v>100</v>
      </c>
      <c r="F279" s="10" t="s">
        <v>836</v>
      </c>
      <c r="G279" s="10" t="s">
        <v>17</v>
      </c>
      <c r="H279" s="11" t="s">
        <v>14</v>
      </c>
      <c r="I279" s="11" t="s">
        <v>29</v>
      </c>
      <c r="J279" s="12" t="s">
        <v>12</v>
      </c>
      <c r="K279" s="10" t="s">
        <v>1065</v>
      </c>
      <c r="L279" s="13">
        <v>28</v>
      </c>
      <c r="M279" s="14">
        <v>8</v>
      </c>
      <c r="N279" s="14">
        <v>2005</v>
      </c>
      <c r="O279" s="46">
        <f>DATE(FatmaUsf[[#This Row],[Hire Year]],FatmaUsf[[#This Row],[Hire Month]],FatmaUsf[[#This Row],[Hire Day]])</f>
        <v>38592</v>
      </c>
      <c r="P279" s="46">
        <f t="shared" ca="1" si="4"/>
        <v>46071</v>
      </c>
      <c r="Q279" s="14">
        <f ca="1">DATEDIF(FatmaUsf[[#This Row],[Hiring Date]],FatmaUsf[[#This Row],[current date]],"Y")</f>
        <v>20</v>
      </c>
      <c r="R279" s="15">
        <v>1708</v>
      </c>
      <c r="S279" s="53">
        <f>FatmaUsf[[#This Row],[Salary]]*0.1</f>
        <v>170.8</v>
      </c>
      <c r="T279" s="16">
        <f>FatmaUsf[[#This Row],[Salary]]*0.03</f>
        <v>51.239999999999995</v>
      </c>
      <c r="U279" s="48">
        <f>FatmaUsf[[#This Row],[Salary]]-FatmaUsf[[#This Row],[Tax 10%]]+FatmaUsf[[#This Row],[Bonus 3%]]</f>
        <v>1588.44</v>
      </c>
      <c r="V279" s="17" t="str">
        <f>IF(FatmaUsf[[#This Row],[Net Salary]]&gt;=6000,"Over","Normal")</f>
        <v>Normal</v>
      </c>
      <c r="W279" s="57">
        <f>VLOOKUP(FatmaUsf[[#This Row],[Net Salary]],$Z$10:$AA$14,2)</f>
        <v>0.08</v>
      </c>
    </row>
    <row r="280" spans="1:23" ht="15.75" customHeight="1">
      <c r="A280" s="24">
        <v>1279</v>
      </c>
      <c r="B280" s="10" t="s">
        <v>118</v>
      </c>
      <c r="C280" s="10" t="s">
        <v>110</v>
      </c>
      <c r="D280" s="41" t="str">
        <f>PROPER(TRIM(FatmaUsf[[#This Row],[Last Name]]&amp;" "&amp;FatmaUsf[[#This Row],[Last Name]]))</f>
        <v>Alrifaei Alrifaei</v>
      </c>
      <c r="E280" s="10" t="s">
        <v>99</v>
      </c>
      <c r="F280" s="10" t="s">
        <v>837</v>
      </c>
      <c r="G280" s="10" t="s">
        <v>19</v>
      </c>
      <c r="H280" s="11" t="s">
        <v>11</v>
      </c>
      <c r="I280" s="11" t="s">
        <v>264</v>
      </c>
      <c r="J280" s="12" t="s">
        <v>10</v>
      </c>
      <c r="K280" s="10" t="s">
        <v>1066</v>
      </c>
      <c r="L280" s="13">
        <v>6</v>
      </c>
      <c r="M280" s="14">
        <v>11</v>
      </c>
      <c r="N280" s="14">
        <v>1994</v>
      </c>
      <c r="O280" s="46">
        <f>DATE(FatmaUsf[[#This Row],[Hire Year]],FatmaUsf[[#This Row],[Hire Month]],FatmaUsf[[#This Row],[Hire Day]])</f>
        <v>34644</v>
      </c>
      <c r="P280" s="46">
        <f t="shared" ca="1" si="4"/>
        <v>46071</v>
      </c>
      <c r="Q280" s="14">
        <f ca="1">DATEDIF(FatmaUsf[[#This Row],[Hiring Date]],FatmaUsf[[#This Row],[current date]],"Y")</f>
        <v>31</v>
      </c>
      <c r="R280" s="15">
        <v>2898</v>
      </c>
      <c r="S280" s="53">
        <f>FatmaUsf[[#This Row],[Salary]]*0.1</f>
        <v>289.8</v>
      </c>
      <c r="T280" s="16">
        <f>FatmaUsf[[#This Row],[Salary]]*0.03</f>
        <v>86.94</v>
      </c>
      <c r="U280" s="48">
        <f>FatmaUsf[[#This Row],[Salary]]-FatmaUsf[[#This Row],[Tax 10%]]+FatmaUsf[[#This Row],[Bonus 3%]]</f>
        <v>2695.14</v>
      </c>
      <c r="V280" s="17" t="str">
        <f>IF(FatmaUsf[[#This Row],[Net Salary]]&gt;=6000,"Over","Normal")</f>
        <v>Normal</v>
      </c>
      <c r="W280" s="57">
        <f>VLOOKUP(FatmaUsf[[#This Row],[Net Salary]],$Z$10:$AA$14,2)</f>
        <v>0.08</v>
      </c>
    </row>
    <row r="281" spans="1:23" ht="15.75" customHeight="1">
      <c r="A281" s="24">
        <v>1280</v>
      </c>
      <c r="B281" s="10" t="s">
        <v>594</v>
      </c>
      <c r="C281" s="10" t="s">
        <v>110</v>
      </c>
      <c r="D281" s="41" t="str">
        <f>PROPER(TRIM(FatmaUsf[[#This Row],[Last Name]]&amp;" "&amp;FatmaUsf[[#This Row],[Last Name]]))</f>
        <v>Alrifaei Alrifaei</v>
      </c>
      <c r="E281" s="10" t="s">
        <v>99</v>
      </c>
      <c r="F281" s="10" t="s">
        <v>838</v>
      </c>
      <c r="G281" s="10" t="s">
        <v>7</v>
      </c>
      <c r="H281" s="11" t="s">
        <v>8</v>
      </c>
      <c r="I281" s="11" t="s">
        <v>26</v>
      </c>
      <c r="J281" s="12" t="s">
        <v>10</v>
      </c>
      <c r="K281" s="10" t="s">
        <v>1067</v>
      </c>
      <c r="L281" s="13">
        <v>25</v>
      </c>
      <c r="M281" s="14">
        <v>12</v>
      </c>
      <c r="N281" s="14">
        <v>2007</v>
      </c>
      <c r="O281" s="46">
        <f>DATE(FatmaUsf[[#This Row],[Hire Year]],FatmaUsf[[#This Row],[Hire Month]],FatmaUsf[[#This Row],[Hire Day]])</f>
        <v>39441</v>
      </c>
      <c r="P281" s="46">
        <f t="shared" ca="1" si="4"/>
        <v>46071</v>
      </c>
      <c r="Q281" s="14">
        <f ca="1">DATEDIF(FatmaUsf[[#This Row],[Hiring Date]],FatmaUsf[[#This Row],[current date]],"Y")</f>
        <v>18</v>
      </c>
      <c r="R281" s="15">
        <v>6211</v>
      </c>
      <c r="S281" s="53">
        <f>FatmaUsf[[#This Row],[Salary]]*0.1</f>
        <v>621.1</v>
      </c>
      <c r="T281" s="16">
        <f>FatmaUsf[[#This Row],[Salary]]*0.03</f>
        <v>186.32999999999998</v>
      </c>
      <c r="U281" s="48">
        <f>FatmaUsf[[#This Row],[Salary]]-FatmaUsf[[#This Row],[Tax 10%]]+FatmaUsf[[#This Row],[Bonus 3%]]</f>
        <v>5776.23</v>
      </c>
      <c r="V281" s="17" t="str">
        <f>IF(FatmaUsf[[#This Row],[Net Salary]]&gt;=6000,"Over","Normal")</f>
        <v>Normal</v>
      </c>
      <c r="W281" s="57">
        <f>VLOOKUP(FatmaUsf[[#This Row],[Net Salary]],$Z$10:$AA$14,2)</f>
        <v>0.05</v>
      </c>
    </row>
    <row r="282" spans="1:23" ht="15.75" customHeight="1">
      <c r="A282" s="24">
        <v>1281</v>
      </c>
      <c r="B282" s="10" t="s">
        <v>117</v>
      </c>
      <c r="C282" s="10" t="s">
        <v>595</v>
      </c>
      <c r="D282" s="41" t="str">
        <f>PROPER(TRIM(FatmaUsf[[#This Row],[Last Name]]&amp;" "&amp;FatmaUsf[[#This Row],[Last Name]]))</f>
        <v>Darbika Darbika</v>
      </c>
      <c r="E282" s="10" t="s">
        <v>99</v>
      </c>
      <c r="F282" s="10" t="s">
        <v>839</v>
      </c>
      <c r="G282" s="10" t="s">
        <v>19</v>
      </c>
      <c r="H282" s="11" t="s">
        <v>8</v>
      </c>
      <c r="I282" s="11" t="s">
        <v>9</v>
      </c>
      <c r="J282" s="12" t="s">
        <v>12</v>
      </c>
      <c r="K282" s="10" t="s">
        <v>1068</v>
      </c>
      <c r="L282" s="13">
        <v>25</v>
      </c>
      <c r="M282" s="14">
        <v>10</v>
      </c>
      <c r="N282" s="14">
        <v>2007</v>
      </c>
      <c r="O282" s="46">
        <f>DATE(FatmaUsf[[#This Row],[Hire Year]],FatmaUsf[[#This Row],[Hire Month]],FatmaUsf[[#This Row],[Hire Day]])</f>
        <v>39380</v>
      </c>
      <c r="P282" s="46">
        <f t="shared" ca="1" si="4"/>
        <v>46071</v>
      </c>
      <c r="Q282" s="14">
        <f ca="1">DATEDIF(FatmaUsf[[#This Row],[Hiring Date]],FatmaUsf[[#This Row],[current date]],"Y")</f>
        <v>18</v>
      </c>
      <c r="R282" s="15">
        <v>5976</v>
      </c>
      <c r="S282" s="53">
        <f>FatmaUsf[[#This Row],[Salary]]*0.1</f>
        <v>597.6</v>
      </c>
      <c r="T282" s="16">
        <f>FatmaUsf[[#This Row],[Salary]]*0.03</f>
        <v>179.28</v>
      </c>
      <c r="U282" s="48">
        <f>FatmaUsf[[#This Row],[Salary]]-FatmaUsf[[#This Row],[Tax 10%]]+FatmaUsf[[#This Row],[Bonus 3%]]</f>
        <v>5557.6799999999994</v>
      </c>
      <c r="V282" s="17" t="str">
        <f>IF(FatmaUsf[[#This Row],[Net Salary]]&gt;=6000,"Over","Normal")</f>
        <v>Normal</v>
      </c>
      <c r="W282" s="57">
        <f>VLOOKUP(FatmaUsf[[#This Row],[Net Salary]],$Z$10:$AA$14,2)</f>
        <v>0.05</v>
      </c>
    </row>
    <row r="283" spans="1:23" ht="15.75" customHeight="1">
      <c r="A283" s="24">
        <v>1282</v>
      </c>
      <c r="B283" s="10" t="s">
        <v>596</v>
      </c>
      <c r="C283" s="10" t="s">
        <v>597</v>
      </c>
      <c r="D283" s="41" t="str">
        <f>PROPER(TRIM(FatmaUsf[[#This Row],[Last Name]]&amp;" "&amp;FatmaUsf[[#This Row],[Last Name]]))</f>
        <v>Salahi Salahi</v>
      </c>
      <c r="E283" s="10" t="s">
        <v>99</v>
      </c>
      <c r="F283" s="10" t="s">
        <v>840</v>
      </c>
      <c r="G283" s="10" t="s">
        <v>19</v>
      </c>
      <c r="H283" s="11" t="s">
        <v>8</v>
      </c>
      <c r="I283" s="11" t="s">
        <v>9</v>
      </c>
      <c r="J283" s="12" t="s">
        <v>12</v>
      </c>
      <c r="K283" s="10" t="s">
        <v>1069</v>
      </c>
      <c r="L283" s="13">
        <v>5</v>
      </c>
      <c r="M283" s="14">
        <v>11</v>
      </c>
      <c r="N283" s="14">
        <v>2015</v>
      </c>
      <c r="O283" s="46">
        <f>DATE(FatmaUsf[[#This Row],[Hire Year]],FatmaUsf[[#This Row],[Hire Month]],FatmaUsf[[#This Row],[Hire Day]])</f>
        <v>42313</v>
      </c>
      <c r="P283" s="46">
        <f t="shared" ca="1" si="4"/>
        <v>46071</v>
      </c>
      <c r="Q283" s="14">
        <f ca="1">DATEDIF(FatmaUsf[[#This Row],[Hiring Date]],FatmaUsf[[#This Row],[current date]],"Y")</f>
        <v>10</v>
      </c>
      <c r="R283" s="15">
        <v>742</v>
      </c>
      <c r="S283" s="53">
        <f>FatmaUsf[[#This Row],[Salary]]*0.1</f>
        <v>74.2</v>
      </c>
      <c r="T283" s="16">
        <f>FatmaUsf[[#This Row],[Salary]]*0.03</f>
        <v>22.259999999999998</v>
      </c>
      <c r="U283" s="48">
        <f>FatmaUsf[[#This Row],[Salary]]-FatmaUsf[[#This Row],[Tax 10%]]+FatmaUsf[[#This Row],[Bonus 3%]]</f>
        <v>690.06</v>
      </c>
      <c r="V283" s="17" t="str">
        <f>IF(FatmaUsf[[#This Row],[Net Salary]]&gt;=6000,"Over","Normal")</f>
        <v>Normal</v>
      </c>
      <c r="W283" s="57">
        <f>VLOOKUP(FatmaUsf[[#This Row],[Net Salary]],$Z$10:$AA$14,2)</f>
        <v>0.1</v>
      </c>
    </row>
    <row r="284" spans="1:23" ht="15.75" customHeight="1">
      <c r="A284" s="24">
        <v>1283</v>
      </c>
      <c r="B284" s="10" t="s">
        <v>410</v>
      </c>
      <c r="C284" s="10" t="s">
        <v>598</v>
      </c>
      <c r="D284" s="41" t="str">
        <f>PROPER(TRIM(FatmaUsf[[#This Row],[Last Name]]&amp;" "&amp;FatmaUsf[[#This Row],[Last Name]]))</f>
        <v>Aldhahabi Aldhahabi</v>
      </c>
      <c r="E284" s="10" t="s">
        <v>100</v>
      </c>
      <c r="F284" s="10" t="s">
        <v>841</v>
      </c>
      <c r="G284" s="10" t="s">
        <v>13</v>
      </c>
      <c r="H284" s="11" t="s">
        <v>8</v>
      </c>
      <c r="I284" s="11" t="s">
        <v>27</v>
      </c>
      <c r="J284" s="12" t="s">
        <v>12</v>
      </c>
      <c r="K284" s="10" t="s">
        <v>1070</v>
      </c>
      <c r="L284" s="13">
        <v>5</v>
      </c>
      <c r="M284" s="14">
        <v>7</v>
      </c>
      <c r="N284" s="14">
        <v>2008</v>
      </c>
      <c r="O284" s="46">
        <f>DATE(FatmaUsf[[#This Row],[Hire Year]],FatmaUsf[[#This Row],[Hire Month]],FatmaUsf[[#This Row],[Hire Day]])</f>
        <v>39634</v>
      </c>
      <c r="P284" s="46">
        <f t="shared" ca="1" si="4"/>
        <v>46071</v>
      </c>
      <c r="Q284" s="14">
        <f ca="1">DATEDIF(FatmaUsf[[#This Row],[Hiring Date]],FatmaUsf[[#This Row],[current date]],"Y")</f>
        <v>17</v>
      </c>
      <c r="R284" s="15">
        <v>5918</v>
      </c>
      <c r="S284" s="53">
        <f>FatmaUsf[[#This Row],[Salary]]*0.1</f>
        <v>591.80000000000007</v>
      </c>
      <c r="T284" s="16">
        <f>FatmaUsf[[#This Row],[Salary]]*0.03</f>
        <v>177.54</v>
      </c>
      <c r="U284" s="48">
        <f>FatmaUsf[[#This Row],[Salary]]-FatmaUsf[[#This Row],[Tax 10%]]+FatmaUsf[[#This Row],[Bonus 3%]]</f>
        <v>5503.74</v>
      </c>
      <c r="V284" s="17" t="str">
        <f>IF(FatmaUsf[[#This Row],[Net Salary]]&gt;=6000,"Over","Normal")</f>
        <v>Normal</v>
      </c>
      <c r="W284" s="57">
        <f>VLOOKUP(FatmaUsf[[#This Row],[Net Salary]],$Z$10:$AA$14,2)</f>
        <v>0.05</v>
      </c>
    </row>
    <row r="285" spans="1:23" ht="15.75" customHeight="1">
      <c r="A285" s="24">
        <v>1284</v>
      </c>
      <c r="B285" s="10" t="s">
        <v>95</v>
      </c>
      <c r="C285" s="10" t="s">
        <v>599</v>
      </c>
      <c r="D285" s="41" t="str">
        <f>PROPER(TRIM(FatmaUsf[[#This Row],[Last Name]]&amp;" "&amp;FatmaUsf[[#This Row],[Last Name]]))</f>
        <v>Drwysh Drwysh</v>
      </c>
      <c r="E285" s="10" t="s">
        <v>99</v>
      </c>
      <c r="F285" s="10" t="s">
        <v>842</v>
      </c>
      <c r="G285" s="10" t="s">
        <v>13</v>
      </c>
      <c r="H285" s="11" t="s">
        <v>11</v>
      </c>
      <c r="I285" s="11" t="s">
        <v>15</v>
      </c>
      <c r="J285" s="12" t="s">
        <v>20</v>
      </c>
      <c r="K285" s="10" t="s">
        <v>1071</v>
      </c>
      <c r="L285" s="13">
        <v>14</v>
      </c>
      <c r="M285" s="14">
        <v>1</v>
      </c>
      <c r="N285" s="14">
        <v>2016</v>
      </c>
      <c r="O285" s="46">
        <f>DATE(FatmaUsf[[#This Row],[Hire Year]],FatmaUsf[[#This Row],[Hire Month]],FatmaUsf[[#This Row],[Hire Day]])</f>
        <v>42383</v>
      </c>
      <c r="P285" s="46">
        <f t="shared" ca="1" si="4"/>
        <v>46071</v>
      </c>
      <c r="Q285" s="14">
        <f ca="1">DATEDIF(FatmaUsf[[#This Row],[Hiring Date]],FatmaUsf[[#This Row],[current date]],"Y")</f>
        <v>10</v>
      </c>
      <c r="R285" s="15">
        <v>3074</v>
      </c>
      <c r="S285" s="53">
        <f>FatmaUsf[[#This Row],[Salary]]*0.1</f>
        <v>307.40000000000003</v>
      </c>
      <c r="T285" s="16">
        <f>FatmaUsf[[#This Row],[Salary]]*0.03</f>
        <v>92.22</v>
      </c>
      <c r="U285" s="48">
        <f>FatmaUsf[[#This Row],[Salary]]-FatmaUsf[[#This Row],[Tax 10%]]+FatmaUsf[[#This Row],[Bonus 3%]]</f>
        <v>2858.8199999999997</v>
      </c>
      <c r="V285" s="17" t="str">
        <f>IF(FatmaUsf[[#This Row],[Net Salary]]&gt;=6000,"Over","Normal")</f>
        <v>Normal</v>
      </c>
      <c r="W285" s="57">
        <f>VLOOKUP(FatmaUsf[[#This Row],[Net Salary]],$Z$10:$AA$14,2)</f>
        <v>0.08</v>
      </c>
    </row>
    <row r="286" spans="1:23" ht="15.75" customHeight="1">
      <c r="A286" s="24">
        <v>1285</v>
      </c>
      <c r="B286" s="10" t="s">
        <v>531</v>
      </c>
      <c r="C286" s="10" t="s">
        <v>600</v>
      </c>
      <c r="D286" s="41" t="str">
        <f>PROPER(TRIM(FatmaUsf[[#This Row],[Last Name]]&amp;" "&amp;FatmaUsf[[#This Row],[Last Name]]))</f>
        <v>Filyun Filyun</v>
      </c>
      <c r="E286" s="10" t="s">
        <v>100</v>
      </c>
      <c r="F286" s="10" t="s">
        <v>843</v>
      </c>
      <c r="G286" s="10" t="s">
        <v>19</v>
      </c>
      <c r="H286" s="11" t="s">
        <v>22</v>
      </c>
      <c r="I286" s="11" t="s">
        <v>9</v>
      </c>
      <c r="J286" s="12" t="s">
        <v>10</v>
      </c>
      <c r="K286" s="10" t="s">
        <v>1072</v>
      </c>
      <c r="L286" s="13">
        <v>19</v>
      </c>
      <c r="M286" s="14">
        <v>5</v>
      </c>
      <c r="N286" s="14">
        <v>1994</v>
      </c>
      <c r="O286" s="46">
        <f>DATE(FatmaUsf[[#This Row],[Hire Year]],FatmaUsf[[#This Row],[Hire Month]],FatmaUsf[[#This Row],[Hire Day]])</f>
        <v>34473</v>
      </c>
      <c r="P286" s="46">
        <f t="shared" ca="1" si="4"/>
        <v>46071</v>
      </c>
      <c r="Q286" s="14">
        <f ca="1">DATEDIF(FatmaUsf[[#This Row],[Hiring Date]],FatmaUsf[[#This Row],[current date]],"Y")</f>
        <v>31</v>
      </c>
      <c r="R286" s="15">
        <v>5688</v>
      </c>
      <c r="S286" s="53">
        <f>FatmaUsf[[#This Row],[Salary]]*0.1</f>
        <v>568.80000000000007</v>
      </c>
      <c r="T286" s="16">
        <f>FatmaUsf[[#This Row],[Salary]]*0.03</f>
        <v>170.64</v>
      </c>
      <c r="U286" s="48">
        <f>FatmaUsf[[#This Row],[Salary]]-FatmaUsf[[#This Row],[Tax 10%]]+FatmaUsf[[#This Row],[Bonus 3%]]</f>
        <v>5289.84</v>
      </c>
      <c r="V286" s="17" t="str">
        <f>IF(FatmaUsf[[#This Row],[Net Salary]]&gt;=6000,"Over","Normal")</f>
        <v>Normal</v>
      </c>
      <c r="W286" s="57">
        <f>VLOOKUP(FatmaUsf[[#This Row],[Net Salary]],$Z$10:$AA$14,2)</f>
        <v>0.05</v>
      </c>
    </row>
    <row r="287" spans="1:23" ht="15.75" customHeight="1">
      <c r="A287" s="24">
        <v>1286</v>
      </c>
      <c r="B287" s="10" t="s">
        <v>334</v>
      </c>
      <c r="C287" s="10" t="s">
        <v>601</v>
      </c>
      <c r="D287" s="41" t="str">
        <f>PROPER(TRIM(FatmaUsf[[#This Row],[Last Name]]&amp;" "&amp;FatmaUsf[[#This Row],[Last Name]]))</f>
        <v>Alshahadat Alshahadat</v>
      </c>
      <c r="E287" s="10" t="s">
        <v>99</v>
      </c>
      <c r="F287" s="10" t="s">
        <v>844</v>
      </c>
      <c r="G287" s="10" t="s">
        <v>13</v>
      </c>
      <c r="H287" s="11" t="s">
        <v>14</v>
      </c>
      <c r="I287" s="11" t="s">
        <v>9</v>
      </c>
      <c r="J287" s="12" t="s">
        <v>10</v>
      </c>
      <c r="K287" s="10" t="s">
        <v>1073</v>
      </c>
      <c r="L287" s="13">
        <v>8</v>
      </c>
      <c r="M287" s="14">
        <v>4</v>
      </c>
      <c r="N287" s="14">
        <v>2022</v>
      </c>
      <c r="O287" s="46">
        <f>DATE(FatmaUsf[[#This Row],[Hire Year]],FatmaUsf[[#This Row],[Hire Month]],FatmaUsf[[#This Row],[Hire Day]])</f>
        <v>44659</v>
      </c>
      <c r="P287" s="46">
        <f t="shared" ca="1" si="4"/>
        <v>46071</v>
      </c>
      <c r="Q287" s="14">
        <f ca="1">DATEDIF(FatmaUsf[[#This Row],[Hiring Date]],FatmaUsf[[#This Row],[current date]],"Y")</f>
        <v>3</v>
      </c>
      <c r="R287" s="15">
        <v>3362</v>
      </c>
      <c r="S287" s="53">
        <f>FatmaUsf[[#This Row],[Salary]]*0.1</f>
        <v>336.20000000000005</v>
      </c>
      <c r="T287" s="16">
        <f>FatmaUsf[[#This Row],[Salary]]*0.03</f>
        <v>100.86</v>
      </c>
      <c r="U287" s="48">
        <f>FatmaUsf[[#This Row],[Salary]]-FatmaUsf[[#This Row],[Tax 10%]]+FatmaUsf[[#This Row],[Bonus 3%]]</f>
        <v>3126.6600000000003</v>
      </c>
      <c r="V287" s="17" t="str">
        <f>IF(FatmaUsf[[#This Row],[Net Salary]]&gt;=6000,"Over","Normal")</f>
        <v>Normal</v>
      </c>
      <c r="W287" s="57">
        <f>VLOOKUP(FatmaUsf[[#This Row],[Net Salary]],$Z$10:$AA$14,2)</f>
        <v>0.05</v>
      </c>
    </row>
    <row r="288" spans="1:23" ht="15.75" customHeight="1">
      <c r="A288" s="24">
        <v>1287</v>
      </c>
      <c r="B288" s="10" t="s">
        <v>602</v>
      </c>
      <c r="C288" s="10" t="s">
        <v>603</v>
      </c>
      <c r="D288" s="41" t="str">
        <f>PROPER(TRIM(FatmaUsf[[#This Row],[Last Name]]&amp;" "&amp;FatmaUsf[[#This Row],[Last Name]]))</f>
        <v>Bahriin Bahriin</v>
      </c>
      <c r="E288" s="10" t="s">
        <v>100</v>
      </c>
      <c r="F288" s="10" t="s">
        <v>845</v>
      </c>
      <c r="G288" s="10" t="s">
        <v>17</v>
      </c>
      <c r="H288" s="11" t="s">
        <v>11</v>
      </c>
      <c r="I288" s="11" t="s">
        <v>9</v>
      </c>
      <c r="J288" s="12" t="s">
        <v>10</v>
      </c>
      <c r="K288" s="10" t="s">
        <v>1074</v>
      </c>
      <c r="L288" s="13">
        <v>16</v>
      </c>
      <c r="M288" s="14">
        <v>5</v>
      </c>
      <c r="N288" s="14">
        <v>2000</v>
      </c>
      <c r="O288" s="46">
        <f>DATE(FatmaUsf[[#This Row],[Hire Year]],FatmaUsf[[#This Row],[Hire Month]],FatmaUsf[[#This Row],[Hire Day]])</f>
        <v>36662</v>
      </c>
      <c r="P288" s="46">
        <f t="shared" ca="1" si="4"/>
        <v>46071</v>
      </c>
      <c r="Q288" s="14">
        <f ca="1">DATEDIF(FatmaUsf[[#This Row],[Hiring Date]],FatmaUsf[[#This Row],[current date]],"Y")</f>
        <v>25</v>
      </c>
      <c r="R288" s="15">
        <v>6043</v>
      </c>
      <c r="S288" s="53">
        <f>FatmaUsf[[#This Row],[Salary]]*0.1</f>
        <v>604.30000000000007</v>
      </c>
      <c r="T288" s="16">
        <f>FatmaUsf[[#This Row],[Salary]]*0.03</f>
        <v>181.29</v>
      </c>
      <c r="U288" s="48">
        <f>FatmaUsf[[#This Row],[Salary]]-FatmaUsf[[#This Row],[Tax 10%]]+FatmaUsf[[#This Row],[Bonus 3%]]</f>
        <v>5619.99</v>
      </c>
      <c r="V288" s="17" t="str">
        <f>IF(FatmaUsf[[#This Row],[Net Salary]]&gt;=6000,"Over","Normal")</f>
        <v>Normal</v>
      </c>
      <c r="W288" s="57">
        <f>VLOOKUP(FatmaUsf[[#This Row],[Net Salary]],$Z$10:$AA$14,2)</f>
        <v>0.05</v>
      </c>
    </row>
    <row r="289" spans="1:23" ht="15.75" customHeight="1">
      <c r="A289" s="24">
        <v>1288</v>
      </c>
      <c r="B289" s="10" t="s">
        <v>124</v>
      </c>
      <c r="C289" s="10" t="s">
        <v>604</v>
      </c>
      <c r="D289" s="41" t="str">
        <f>PROPER(TRIM(FatmaUsf[[#This Row],[Last Name]]&amp;" "&amp;FatmaUsf[[#This Row],[Last Name]]))</f>
        <v>Alqadi Alqadi</v>
      </c>
      <c r="E289" s="10" t="s">
        <v>100</v>
      </c>
      <c r="F289" s="10" t="s">
        <v>846</v>
      </c>
      <c r="G289" s="10" t="s">
        <v>17</v>
      </c>
      <c r="H289" s="11" t="s">
        <v>8</v>
      </c>
      <c r="I289" s="11" t="s">
        <v>9</v>
      </c>
      <c r="J289" s="12" t="s">
        <v>20</v>
      </c>
      <c r="K289" s="10" t="s">
        <v>1075</v>
      </c>
      <c r="L289" s="13">
        <v>1</v>
      </c>
      <c r="M289" s="14">
        <v>4</v>
      </c>
      <c r="N289" s="14">
        <v>2002</v>
      </c>
      <c r="O289" s="46">
        <f>DATE(FatmaUsf[[#This Row],[Hire Year]],FatmaUsf[[#This Row],[Hire Month]],FatmaUsf[[#This Row],[Hire Day]])</f>
        <v>37347</v>
      </c>
      <c r="P289" s="46">
        <f t="shared" ca="1" si="4"/>
        <v>46071</v>
      </c>
      <c r="Q289" s="14">
        <f ca="1">DATEDIF(FatmaUsf[[#This Row],[Hiring Date]],FatmaUsf[[#This Row],[current date]],"Y")</f>
        <v>23</v>
      </c>
      <c r="R289" s="15">
        <v>6260</v>
      </c>
      <c r="S289" s="53">
        <f>FatmaUsf[[#This Row],[Salary]]*0.1</f>
        <v>626</v>
      </c>
      <c r="T289" s="16">
        <f>FatmaUsf[[#This Row],[Salary]]*0.03</f>
        <v>187.79999999999998</v>
      </c>
      <c r="U289" s="48">
        <f>FatmaUsf[[#This Row],[Salary]]-FatmaUsf[[#This Row],[Tax 10%]]+FatmaUsf[[#This Row],[Bonus 3%]]</f>
        <v>5821.8</v>
      </c>
      <c r="V289" s="17" t="str">
        <f>IF(FatmaUsf[[#This Row],[Net Salary]]&gt;=6000,"Over","Normal")</f>
        <v>Normal</v>
      </c>
      <c r="W289" s="57">
        <f>VLOOKUP(FatmaUsf[[#This Row],[Net Salary]],$Z$10:$AA$14,2)</f>
        <v>0.05</v>
      </c>
    </row>
    <row r="290" spans="1:23" ht="15.75" customHeight="1">
      <c r="A290" s="24">
        <v>1289</v>
      </c>
      <c r="B290" s="10" t="s">
        <v>605</v>
      </c>
      <c r="C290" s="10" t="s">
        <v>606</v>
      </c>
      <c r="D290" s="41" t="str">
        <f>PROPER(TRIM(FatmaUsf[[#This Row],[Last Name]]&amp;" "&amp;FatmaUsf[[#This Row],[Last Name]]))</f>
        <v>Bwfaeur Bwfaeur</v>
      </c>
      <c r="E290" s="10" t="s">
        <v>100</v>
      </c>
      <c r="F290" s="10" t="s">
        <v>847</v>
      </c>
      <c r="G290" s="10" t="s">
        <v>17</v>
      </c>
      <c r="H290" s="11" t="s">
        <v>22</v>
      </c>
      <c r="I290" s="11" t="s">
        <v>9</v>
      </c>
      <c r="J290" s="12" t="s">
        <v>10</v>
      </c>
      <c r="K290" s="10" t="s">
        <v>1076</v>
      </c>
      <c r="L290" s="13">
        <v>15</v>
      </c>
      <c r="M290" s="14">
        <v>4</v>
      </c>
      <c r="N290" s="14">
        <v>2000</v>
      </c>
      <c r="O290" s="46">
        <f>DATE(FatmaUsf[[#This Row],[Hire Year]],FatmaUsf[[#This Row],[Hire Month]],FatmaUsf[[#This Row],[Hire Day]])</f>
        <v>36631</v>
      </c>
      <c r="P290" s="46">
        <f t="shared" ca="1" si="4"/>
        <v>46071</v>
      </c>
      <c r="Q290" s="14">
        <f ca="1">DATEDIF(FatmaUsf[[#This Row],[Hiring Date]],FatmaUsf[[#This Row],[current date]],"Y")</f>
        <v>25</v>
      </c>
      <c r="R290" s="15">
        <v>3754</v>
      </c>
      <c r="S290" s="53">
        <f>FatmaUsf[[#This Row],[Salary]]*0.1</f>
        <v>375.40000000000003</v>
      </c>
      <c r="T290" s="16">
        <f>FatmaUsf[[#This Row],[Salary]]*0.03</f>
        <v>112.61999999999999</v>
      </c>
      <c r="U290" s="48">
        <f>FatmaUsf[[#This Row],[Salary]]-FatmaUsf[[#This Row],[Tax 10%]]+FatmaUsf[[#This Row],[Bonus 3%]]</f>
        <v>3491.22</v>
      </c>
      <c r="V290" s="17" t="str">
        <f>IF(FatmaUsf[[#This Row],[Net Salary]]&gt;=6000,"Over","Normal")</f>
        <v>Normal</v>
      </c>
      <c r="W290" s="57">
        <f>VLOOKUP(FatmaUsf[[#This Row],[Net Salary]],$Z$10:$AA$14,2)</f>
        <v>0.05</v>
      </c>
    </row>
    <row r="291" spans="1:23" ht="15.75" customHeight="1">
      <c r="A291" s="24">
        <v>1290</v>
      </c>
      <c r="B291" s="10" t="s">
        <v>586</v>
      </c>
      <c r="C291" s="10" t="s">
        <v>176</v>
      </c>
      <c r="D291" s="41" t="str">
        <f>PROPER(TRIM(FatmaUsf[[#This Row],[Last Name]]&amp;" "&amp;FatmaUsf[[#This Row],[Last Name]]))</f>
        <v>Eubayd Eubayd</v>
      </c>
      <c r="E291" s="10" t="s">
        <v>100</v>
      </c>
      <c r="F291" s="10" t="s">
        <v>848</v>
      </c>
      <c r="G291" s="10" t="s">
        <v>13</v>
      </c>
      <c r="H291" s="11" t="s">
        <v>8</v>
      </c>
      <c r="I291" s="11" t="s">
        <v>25</v>
      </c>
      <c r="J291" s="12" t="s">
        <v>12</v>
      </c>
      <c r="K291" s="10" t="s">
        <v>1077</v>
      </c>
      <c r="L291" s="13">
        <v>26</v>
      </c>
      <c r="M291" s="14">
        <v>10</v>
      </c>
      <c r="N291" s="14">
        <v>2003</v>
      </c>
      <c r="O291" s="46">
        <f>DATE(FatmaUsf[[#This Row],[Hire Year]],FatmaUsf[[#This Row],[Hire Month]],FatmaUsf[[#This Row],[Hire Day]])</f>
        <v>37920</v>
      </c>
      <c r="P291" s="46">
        <f t="shared" ca="1" si="4"/>
        <v>46071</v>
      </c>
      <c r="Q291" s="14">
        <f ca="1">DATEDIF(FatmaUsf[[#This Row],[Hiring Date]],FatmaUsf[[#This Row],[current date]],"Y")</f>
        <v>22</v>
      </c>
      <c r="R291" s="15">
        <v>6579</v>
      </c>
      <c r="S291" s="53">
        <f>FatmaUsf[[#This Row],[Salary]]*0.1</f>
        <v>657.90000000000009</v>
      </c>
      <c r="T291" s="16">
        <f>FatmaUsf[[#This Row],[Salary]]*0.03</f>
        <v>197.37</v>
      </c>
      <c r="U291" s="48">
        <f>FatmaUsf[[#This Row],[Salary]]-FatmaUsf[[#This Row],[Tax 10%]]+FatmaUsf[[#This Row],[Bonus 3%]]</f>
        <v>6118.47</v>
      </c>
      <c r="V291" s="17" t="str">
        <f>IF(FatmaUsf[[#This Row],[Net Salary]]&gt;=6000,"Over","Normal")</f>
        <v>Over</v>
      </c>
      <c r="W291" s="57">
        <f>VLOOKUP(FatmaUsf[[#This Row],[Net Salary]],$Z$10:$AA$14,2)</f>
        <v>0.02</v>
      </c>
    </row>
    <row r="292" spans="1:23" ht="15.75" customHeight="1">
      <c r="A292" s="24">
        <v>1291</v>
      </c>
      <c r="B292" s="10" t="s">
        <v>607</v>
      </c>
      <c r="C292" s="10" t="s">
        <v>608</v>
      </c>
      <c r="D292" s="41" t="str">
        <f>PROPER(TRIM(FatmaUsf[[#This Row],[Last Name]]&amp;" "&amp;FatmaUsf[[#This Row],[Last Name]]))</f>
        <v>Nieamah Nieamah</v>
      </c>
      <c r="E292" s="10" t="s">
        <v>99</v>
      </c>
      <c r="F292" s="10" t="s">
        <v>849</v>
      </c>
      <c r="G292" s="10" t="s">
        <v>17</v>
      </c>
      <c r="H292" s="11" t="s">
        <v>11</v>
      </c>
      <c r="I292" s="11" t="s">
        <v>18</v>
      </c>
      <c r="J292" s="12" t="s">
        <v>10</v>
      </c>
      <c r="K292" s="10" t="s">
        <v>1078</v>
      </c>
      <c r="L292" s="13">
        <v>8</v>
      </c>
      <c r="M292" s="14">
        <v>12</v>
      </c>
      <c r="N292" s="14">
        <v>2021</v>
      </c>
      <c r="O292" s="46">
        <f>DATE(FatmaUsf[[#This Row],[Hire Year]],FatmaUsf[[#This Row],[Hire Month]],FatmaUsf[[#This Row],[Hire Day]])</f>
        <v>44538</v>
      </c>
      <c r="P292" s="46">
        <f t="shared" ca="1" si="4"/>
        <v>46071</v>
      </c>
      <c r="Q292" s="14">
        <f ca="1">DATEDIF(FatmaUsf[[#This Row],[Hiring Date]],FatmaUsf[[#This Row],[current date]],"Y")</f>
        <v>4</v>
      </c>
      <c r="R292" s="15">
        <v>5373</v>
      </c>
      <c r="S292" s="53">
        <f>FatmaUsf[[#This Row],[Salary]]*0.1</f>
        <v>537.30000000000007</v>
      </c>
      <c r="T292" s="16">
        <f>FatmaUsf[[#This Row],[Salary]]*0.03</f>
        <v>161.19</v>
      </c>
      <c r="U292" s="48">
        <f>FatmaUsf[[#This Row],[Salary]]-FatmaUsf[[#This Row],[Tax 10%]]+FatmaUsf[[#This Row],[Bonus 3%]]</f>
        <v>4996.8899999999994</v>
      </c>
      <c r="V292" s="17" t="str">
        <f>IF(FatmaUsf[[#This Row],[Net Salary]]&gt;=6000,"Over","Normal")</f>
        <v>Normal</v>
      </c>
      <c r="W292" s="57">
        <f>VLOOKUP(FatmaUsf[[#This Row],[Net Salary]],$Z$10:$AA$14,2)</f>
        <v>0.05</v>
      </c>
    </row>
    <row r="293" spans="1:23" ht="15.75" customHeight="1">
      <c r="A293" s="24">
        <v>1292</v>
      </c>
      <c r="B293" s="10" t="s">
        <v>30</v>
      </c>
      <c r="C293" s="10" t="s">
        <v>609</v>
      </c>
      <c r="D293" s="41" t="str">
        <f>PROPER(TRIM(FatmaUsf[[#This Row],[Last Name]]&amp;" "&amp;FatmaUsf[[#This Row],[Last Name]]))</f>
        <v>Nhl Nhl</v>
      </c>
      <c r="E293" s="10" t="s">
        <v>100</v>
      </c>
      <c r="F293" s="10" t="s">
        <v>850</v>
      </c>
      <c r="G293" s="10" t="s">
        <v>13</v>
      </c>
      <c r="H293" s="11" t="s">
        <v>11</v>
      </c>
      <c r="I293" s="11" t="s">
        <v>15</v>
      </c>
      <c r="J293" s="12" t="s">
        <v>12</v>
      </c>
      <c r="K293" s="10" t="s">
        <v>1079</v>
      </c>
      <c r="L293" s="13">
        <v>7</v>
      </c>
      <c r="M293" s="14">
        <v>11</v>
      </c>
      <c r="N293" s="14">
        <v>1997</v>
      </c>
      <c r="O293" s="46">
        <f>DATE(FatmaUsf[[#This Row],[Hire Year]],FatmaUsf[[#This Row],[Hire Month]],FatmaUsf[[#This Row],[Hire Day]])</f>
        <v>35741</v>
      </c>
      <c r="P293" s="46">
        <f t="shared" ca="1" si="4"/>
        <v>46071</v>
      </c>
      <c r="Q293" s="14">
        <f ca="1">DATEDIF(FatmaUsf[[#This Row],[Hiring Date]],FatmaUsf[[#This Row],[current date]],"Y")</f>
        <v>28</v>
      </c>
      <c r="R293" s="15">
        <v>1391</v>
      </c>
      <c r="S293" s="53">
        <f>FatmaUsf[[#This Row],[Salary]]*0.1</f>
        <v>139.1</v>
      </c>
      <c r="T293" s="16">
        <f>FatmaUsf[[#This Row],[Salary]]*0.03</f>
        <v>41.73</v>
      </c>
      <c r="U293" s="48">
        <f>FatmaUsf[[#This Row],[Salary]]-FatmaUsf[[#This Row],[Tax 10%]]+FatmaUsf[[#This Row],[Bonus 3%]]</f>
        <v>1293.6300000000001</v>
      </c>
      <c r="V293" s="17" t="str">
        <f>IF(FatmaUsf[[#This Row],[Net Salary]]&gt;=6000,"Over","Normal")</f>
        <v>Normal</v>
      </c>
      <c r="W293" s="57">
        <f>VLOOKUP(FatmaUsf[[#This Row],[Net Salary]],$Z$10:$AA$14,2)</f>
        <v>0.08</v>
      </c>
    </row>
    <row r="294" spans="1:23" ht="15.75" customHeight="1">
      <c r="A294" s="24">
        <v>1293</v>
      </c>
      <c r="B294" s="10" t="s">
        <v>610</v>
      </c>
      <c r="C294" s="10" t="s">
        <v>611</v>
      </c>
      <c r="D294" s="41" t="str">
        <f>PROPER(TRIM(FatmaUsf[[#This Row],[Last Name]]&amp;" "&amp;FatmaUsf[[#This Row],[Last Name]]))</f>
        <v>Iismaeil Iismaeil</v>
      </c>
      <c r="E294" s="10" t="s">
        <v>100</v>
      </c>
      <c r="F294" s="10" t="s">
        <v>851</v>
      </c>
      <c r="G294" s="10" t="s">
        <v>17</v>
      </c>
      <c r="H294" s="11" t="s">
        <v>14</v>
      </c>
      <c r="I294" s="11" t="s">
        <v>264</v>
      </c>
      <c r="J294" s="12" t="s">
        <v>23</v>
      </c>
      <c r="K294" s="10" t="s">
        <v>1080</v>
      </c>
      <c r="L294" s="13">
        <v>28</v>
      </c>
      <c r="M294" s="14">
        <v>7</v>
      </c>
      <c r="N294" s="14">
        <v>1993</v>
      </c>
      <c r="O294" s="46">
        <f>DATE(FatmaUsf[[#This Row],[Hire Year]],FatmaUsf[[#This Row],[Hire Month]],FatmaUsf[[#This Row],[Hire Day]])</f>
        <v>34178</v>
      </c>
      <c r="P294" s="46">
        <f t="shared" ca="1" si="4"/>
        <v>46071</v>
      </c>
      <c r="Q294" s="14">
        <f ca="1">DATEDIF(FatmaUsf[[#This Row],[Hiring Date]],FatmaUsf[[#This Row],[current date]],"Y")</f>
        <v>32</v>
      </c>
      <c r="R294" s="15">
        <v>2528</v>
      </c>
      <c r="S294" s="53">
        <f>FatmaUsf[[#This Row],[Salary]]*0.1</f>
        <v>252.8</v>
      </c>
      <c r="T294" s="16">
        <f>FatmaUsf[[#This Row],[Salary]]*0.03</f>
        <v>75.84</v>
      </c>
      <c r="U294" s="48">
        <f>FatmaUsf[[#This Row],[Salary]]-FatmaUsf[[#This Row],[Tax 10%]]+FatmaUsf[[#This Row],[Bonus 3%]]</f>
        <v>2351.04</v>
      </c>
      <c r="V294" s="17" t="str">
        <f>IF(FatmaUsf[[#This Row],[Net Salary]]&gt;=6000,"Over","Normal")</f>
        <v>Normal</v>
      </c>
      <c r="W294" s="57">
        <f>VLOOKUP(FatmaUsf[[#This Row],[Net Salary]],$Z$10:$AA$14,2)</f>
        <v>0.08</v>
      </c>
    </row>
    <row r="295" spans="1:23" ht="15.75" customHeight="1">
      <c r="A295" s="24">
        <v>1294</v>
      </c>
      <c r="B295" s="10" t="s">
        <v>612</v>
      </c>
      <c r="C295" s="10" t="s">
        <v>613</v>
      </c>
      <c r="D295" s="41" t="str">
        <f>PROPER(TRIM(FatmaUsf[[#This Row],[Last Name]]&amp;" "&amp;FatmaUsf[[#This Row],[Last Name]]))</f>
        <v>Mansur Mansur</v>
      </c>
      <c r="E295" s="10" t="s">
        <v>100</v>
      </c>
      <c r="F295" s="10" t="s">
        <v>852</v>
      </c>
      <c r="G295" s="10" t="s">
        <v>17</v>
      </c>
      <c r="H295" s="11" t="s">
        <v>11</v>
      </c>
      <c r="I295" s="11" t="s">
        <v>29</v>
      </c>
      <c r="J295" s="12" t="s">
        <v>12</v>
      </c>
      <c r="K295" s="10" t="s">
        <v>1081</v>
      </c>
      <c r="L295" s="13">
        <v>28</v>
      </c>
      <c r="M295" s="14">
        <v>4</v>
      </c>
      <c r="N295" s="14">
        <v>1992</v>
      </c>
      <c r="O295" s="46">
        <f>DATE(FatmaUsf[[#This Row],[Hire Year]],FatmaUsf[[#This Row],[Hire Month]],FatmaUsf[[#This Row],[Hire Day]])</f>
        <v>33722</v>
      </c>
      <c r="P295" s="46">
        <f t="shared" ca="1" si="4"/>
        <v>46071</v>
      </c>
      <c r="Q295" s="14">
        <f ca="1">DATEDIF(FatmaUsf[[#This Row],[Hiring Date]],FatmaUsf[[#This Row],[current date]],"Y")</f>
        <v>33</v>
      </c>
      <c r="R295" s="15">
        <v>6040</v>
      </c>
      <c r="S295" s="53">
        <f>FatmaUsf[[#This Row],[Salary]]*0.1</f>
        <v>604</v>
      </c>
      <c r="T295" s="16">
        <f>FatmaUsf[[#This Row],[Salary]]*0.03</f>
        <v>181.2</v>
      </c>
      <c r="U295" s="48">
        <f>FatmaUsf[[#This Row],[Salary]]-FatmaUsf[[#This Row],[Tax 10%]]+FatmaUsf[[#This Row],[Bonus 3%]]</f>
        <v>5617.2</v>
      </c>
      <c r="V295" s="17" t="str">
        <f>IF(FatmaUsf[[#This Row],[Net Salary]]&gt;=6000,"Over","Normal")</f>
        <v>Normal</v>
      </c>
      <c r="W295" s="57">
        <f>VLOOKUP(FatmaUsf[[#This Row],[Net Salary]],$Z$10:$AA$14,2)</f>
        <v>0.05</v>
      </c>
    </row>
    <row r="296" spans="1:23" ht="15.75" customHeight="1">
      <c r="A296" s="24">
        <v>1295</v>
      </c>
      <c r="B296" s="10" t="s">
        <v>586</v>
      </c>
      <c r="C296" s="10" t="s">
        <v>614</v>
      </c>
      <c r="D296" s="41" t="str">
        <f>PROPER(TRIM(FatmaUsf[[#This Row],[Last Name]]&amp;" "&amp;FatmaUsf[[#This Row],[Last Name]]))</f>
        <v>Zawal Zawal</v>
      </c>
      <c r="E296" s="10" t="s">
        <v>100</v>
      </c>
      <c r="F296" s="10" t="s">
        <v>853</v>
      </c>
      <c r="G296" s="10" t="s">
        <v>1100</v>
      </c>
      <c r="H296" s="11" t="s">
        <v>22</v>
      </c>
      <c r="I296" s="11" t="s">
        <v>18</v>
      </c>
      <c r="J296" s="12" t="s">
        <v>12</v>
      </c>
      <c r="K296" s="10" t="s">
        <v>1082</v>
      </c>
      <c r="L296" s="13">
        <v>13</v>
      </c>
      <c r="M296" s="14">
        <v>8</v>
      </c>
      <c r="N296" s="14">
        <v>2015</v>
      </c>
      <c r="O296" s="46">
        <f>DATE(FatmaUsf[[#This Row],[Hire Year]],FatmaUsf[[#This Row],[Hire Month]],FatmaUsf[[#This Row],[Hire Day]])</f>
        <v>42229</v>
      </c>
      <c r="P296" s="46">
        <f t="shared" ca="1" si="4"/>
        <v>46071</v>
      </c>
      <c r="Q296" s="14">
        <f ca="1">DATEDIF(FatmaUsf[[#This Row],[Hiring Date]],FatmaUsf[[#This Row],[current date]],"Y")</f>
        <v>10</v>
      </c>
      <c r="R296" s="15">
        <v>3842</v>
      </c>
      <c r="S296" s="53">
        <f>FatmaUsf[[#This Row],[Salary]]*0.1</f>
        <v>384.20000000000005</v>
      </c>
      <c r="T296" s="16">
        <f>FatmaUsf[[#This Row],[Salary]]*0.03</f>
        <v>115.25999999999999</v>
      </c>
      <c r="U296" s="48">
        <f>FatmaUsf[[#This Row],[Salary]]-FatmaUsf[[#This Row],[Tax 10%]]+FatmaUsf[[#This Row],[Bonus 3%]]</f>
        <v>3573.0600000000004</v>
      </c>
      <c r="V296" s="17" t="str">
        <f>IF(FatmaUsf[[#This Row],[Net Salary]]&gt;=6000,"Over","Normal")</f>
        <v>Normal</v>
      </c>
      <c r="W296" s="57">
        <f>VLOOKUP(FatmaUsf[[#This Row],[Net Salary]],$Z$10:$AA$14,2)</f>
        <v>0.05</v>
      </c>
    </row>
    <row r="297" spans="1:23" ht="15.75" customHeight="1">
      <c r="A297" s="24">
        <v>1296</v>
      </c>
      <c r="B297" s="10" t="s">
        <v>313</v>
      </c>
      <c r="C297" s="10" t="s">
        <v>615</v>
      </c>
      <c r="D297" s="41" t="str">
        <f>PROPER(TRIM(FatmaUsf[[#This Row],[Last Name]]&amp;" "&amp;FatmaUsf[[#This Row],[Last Name]]))</f>
        <v>Almala Almala</v>
      </c>
      <c r="E297" s="10" t="s">
        <v>99</v>
      </c>
      <c r="F297" s="10" t="s">
        <v>854</v>
      </c>
      <c r="G297" s="10" t="s">
        <v>17</v>
      </c>
      <c r="H297" s="11" t="s">
        <v>11</v>
      </c>
      <c r="I297" s="11" t="s">
        <v>264</v>
      </c>
      <c r="J297" s="12" t="s">
        <v>10</v>
      </c>
      <c r="K297" s="10" t="s">
        <v>1083</v>
      </c>
      <c r="L297" s="13">
        <v>9</v>
      </c>
      <c r="M297" s="14">
        <v>11</v>
      </c>
      <c r="N297" s="14">
        <v>1992</v>
      </c>
      <c r="O297" s="46">
        <f>DATE(FatmaUsf[[#This Row],[Hire Year]],FatmaUsf[[#This Row],[Hire Month]],FatmaUsf[[#This Row],[Hire Day]])</f>
        <v>33917</v>
      </c>
      <c r="P297" s="46">
        <f t="shared" ca="1" si="4"/>
        <v>46071</v>
      </c>
      <c r="Q297" s="14">
        <f ca="1">DATEDIF(FatmaUsf[[#This Row],[Hiring Date]],FatmaUsf[[#This Row],[current date]],"Y")</f>
        <v>33</v>
      </c>
      <c r="R297" s="15">
        <v>1542</v>
      </c>
      <c r="S297" s="53">
        <f>FatmaUsf[[#This Row],[Salary]]*0.1</f>
        <v>154.20000000000002</v>
      </c>
      <c r="T297" s="16">
        <f>FatmaUsf[[#This Row],[Salary]]*0.03</f>
        <v>46.26</v>
      </c>
      <c r="U297" s="48">
        <f>FatmaUsf[[#This Row],[Salary]]-FatmaUsf[[#This Row],[Tax 10%]]+FatmaUsf[[#This Row],[Bonus 3%]]</f>
        <v>1434.06</v>
      </c>
      <c r="V297" s="17" t="str">
        <f>IF(FatmaUsf[[#This Row],[Net Salary]]&gt;=6000,"Over","Normal")</f>
        <v>Normal</v>
      </c>
      <c r="W297" s="57">
        <f>VLOOKUP(FatmaUsf[[#This Row],[Net Salary]],$Z$10:$AA$14,2)</f>
        <v>0.08</v>
      </c>
    </row>
    <row r="298" spans="1:23" ht="15.75" customHeight="1">
      <c r="A298" s="24">
        <v>1297</v>
      </c>
      <c r="B298" s="10" t="s">
        <v>616</v>
      </c>
      <c r="C298" s="10" t="s">
        <v>617</v>
      </c>
      <c r="D298" s="41" t="str">
        <f>PROPER(TRIM(FatmaUsf[[#This Row],[Last Name]]&amp;" "&amp;FatmaUsf[[#This Row],[Last Name]]))</f>
        <v>Alriys Alriys</v>
      </c>
      <c r="E298" s="10" t="s">
        <v>100</v>
      </c>
      <c r="F298" s="10" t="s">
        <v>855</v>
      </c>
      <c r="G298" s="10" t="s">
        <v>17</v>
      </c>
      <c r="H298" s="11" t="s">
        <v>14</v>
      </c>
      <c r="I298" s="11" t="s">
        <v>9</v>
      </c>
      <c r="J298" s="12" t="s">
        <v>12</v>
      </c>
      <c r="K298" s="10" t="s">
        <v>1084</v>
      </c>
      <c r="L298" s="13">
        <v>10</v>
      </c>
      <c r="M298" s="14">
        <v>4</v>
      </c>
      <c r="N298" s="14">
        <v>2001</v>
      </c>
      <c r="O298" s="46">
        <f>DATE(FatmaUsf[[#This Row],[Hire Year]],FatmaUsf[[#This Row],[Hire Month]],FatmaUsf[[#This Row],[Hire Day]])</f>
        <v>36991</v>
      </c>
      <c r="P298" s="46">
        <f t="shared" ca="1" si="4"/>
        <v>46071</v>
      </c>
      <c r="Q298" s="14">
        <f ca="1">DATEDIF(FatmaUsf[[#This Row],[Hiring Date]],FatmaUsf[[#This Row],[current date]],"Y")</f>
        <v>24</v>
      </c>
      <c r="R298" s="15">
        <v>3134</v>
      </c>
      <c r="S298" s="53">
        <f>FatmaUsf[[#This Row],[Salary]]*0.1</f>
        <v>313.40000000000003</v>
      </c>
      <c r="T298" s="16">
        <f>FatmaUsf[[#This Row],[Salary]]*0.03</f>
        <v>94.02</v>
      </c>
      <c r="U298" s="48">
        <f>FatmaUsf[[#This Row],[Salary]]-FatmaUsf[[#This Row],[Tax 10%]]+FatmaUsf[[#This Row],[Bonus 3%]]</f>
        <v>2914.62</v>
      </c>
      <c r="V298" s="17" t="str">
        <f>IF(FatmaUsf[[#This Row],[Net Salary]]&gt;=6000,"Over","Normal")</f>
        <v>Normal</v>
      </c>
      <c r="W298" s="57">
        <f>VLOOKUP(FatmaUsf[[#This Row],[Net Salary]],$Z$10:$AA$14,2)</f>
        <v>0.08</v>
      </c>
    </row>
    <row r="299" spans="1:23" ht="15.75" customHeight="1">
      <c r="A299" s="24">
        <v>1298</v>
      </c>
      <c r="B299" s="10" t="s">
        <v>321</v>
      </c>
      <c r="C299" s="10" t="s">
        <v>276</v>
      </c>
      <c r="D299" s="41" t="str">
        <f>PROPER(TRIM(FatmaUsf[[#This Row],[Last Name]]&amp;" "&amp;FatmaUsf[[#This Row],[Last Name]]))</f>
        <v>Alkhatib Alkhatib</v>
      </c>
      <c r="E299" s="10" t="s">
        <v>100</v>
      </c>
      <c r="F299" s="10" t="s">
        <v>856</v>
      </c>
      <c r="G299" s="10" t="s">
        <v>17</v>
      </c>
      <c r="H299" s="11" t="s">
        <v>14</v>
      </c>
      <c r="I299" s="11" t="s">
        <v>25</v>
      </c>
      <c r="J299" s="12" t="s">
        <v>23</v>
      </c>
      <c r="K299" s="10" t="s">
        <v>1085</v>
      </c>
      <c r="L299" s="13">
        <v>21</v>
      </c>
      <c r="M299" s="14">
        <v>1</v>
      </c>
      <c r="N299" s="14">
        <v>2010</v>
      </c>
      <c r="O299" s="46">
        <f>DATE(FatmaUsf[[#This Row],[Hire Year]],FatmaUsf[[#This Row],[Hire Month]],FatmaUsf[[#This Row],[Hire Day]])</f>
        <v>40199</v>
      </c>
      <c r="P299" s="46">
        <f t="shared" ca="1" si="4"/>
        <v>46071</v>
      </c>
      <c r="Q299" s="14">
        <f ca="1">DATEDIF(FatmaUsf[[#This Row],[Hiring Date]],FatmaUsf[[#This Row],[current date]],"Y")</f>
        <v>16</v>
      </c>
      <c r="R299" s="15">
        <v>4921</v>
      </c>
      <c r="S299" s="53">
        <f>FatmaUsf[[#This Row],[Salary]]*0.1</f>
        <v>492.1</v>
      </c>
      <c r="T299" s="16">
        <f>FatmaUsf[[#This Row],[Salary]]*0.03</f>
        <v>147.63</v>
      </c>
      <c r="U299" s="48">
        <f>FatmaUsf[[#This Row],[Salary]]-FatmaUsf[[#This Row],[Tax 10%]]+FatmaUsf[[#This Row],[Bonus 3%]]</f>
        <v>4576.53</v>
      </c>
      <c r="V299" s="17" t="str">
        <f>IF(FatmaUsf[[#This Row],[Net Salary]]&gt;=6000,"Over","Normal")</f>
        <v>Normal</v>
      </c>
      <c r="W299" s="57">
        <f>VLOOKUP(FatmaUsf[[#This Row],[Net Salary]],$Z$10:$AA$14,2)</f>
        <v>0.05</v>
      </c>
    </row>
    <row r="300" spans="1:23" ht="15.75" customHeight="1">
      <c r="A300" s="24">
        <v>1299</v>
      </c>
      <c r="B300" s="10" t="s">
        <v>618</v>
      </c>
      <c r="C300" s="10" t="s">
        <v>619</v>
      </c>
      <c r="D300" s="41" t="str">
        <f>PROPER(TRIM(FatmaUsf[[#This Row],[Last Name]]&amp;" "&amp;FatmaUsf[[#This Row],[Last Name]]))</f>
        <v>Alhizae Alhizae</v>
      </c>
      <c r="E300" s="10" t="s">
        <v>99</v>
      </c>
      <c r="F300" s="10" t="s">
        <v>857</v>
      </c>
      <c r="G300" s="10" t="s">
        <v>17</v>
      </c>
      <c r="H300" s="11" t="s">
        <v>11</v>
      </c>
      <c r="I300" s="11" t="s">
        <v>264</v>
      </c>
      <c r="J300" s="12" t="s">
        <v>20</v>
      </c>
      <c r="K300" s="10" t="s">
        <v>1086</v>
      </c>
      <c r="L300" s="13">
        <v>13</v>
      </c>
      <c r="M300" s="14">
        <v>7</v>
      </c>
      <c r="N300" s="14">
        <v>2001</v>
      </c>
      <c r="O300" s="46">
        <f>DATE(FatmaUsf[[#This Row],[Hire Year]],FatmaUsf[[#This Row],[Hire Month]],FatmaUsf[[#This Row],[Hire Day]])</f>
        <v>37085</v>
      </c>
      <c r="P300" s="46">
        <f t="shared" ca="1" si="4"/>
        <v>46071</v>
      </c>
      <c r="Q300" s="14">
        <f ca="1">DATEDIF(FatmaUsf[[#This Row],[Hiring Date]],FatmaUsf[[#This Row],[current date]],"Y")</f>
        <v>24</v>
      </c>
      <c r="R300" s="15">
        <v>1948</v>
      </c>
      <c r="S300" s="53">
        <f>FatmaUsf[[#This Row],[Salary]]*0.1</f>
        <v>194.8</v>
      </c>
      <c r="T300" s="16">
        <f>FatmaUsf[[#This Row],[Salary]]*0.03</f>
        <v>58.44</v>
      </c>
      <c r="U300" s="48">
        <f>FatmaUsf[[#This Row],[Salary]]-FatmaUsf[[#This Row],[Tax 10%]]+FatmaUsf[[#This Row],[Bonus 3%]]</f>
        <v>1811.64</v>
      </c>
      <c r="V300" s="17" t="str">
        <f>IF(FatmaUsf[[#This Row],[Net Salary]]&gt;=6000,"Over","Normal")</f>
        <v>Normal</v>
      </c>
      <c r="W300" s="57">
        <f>VLOOKUP(FatmaUsf[[#This Row],[Net Salary]],$Z$10:$AA$14,2)</f>
        <v>0.08</v>
      </c>
    </row>
    <row r="301" spans="1:23" ht="15.75" customHeight="1">
      <c r="A301" s="32">
        <v>1300</v>
      </c>
      <c r="B301" s="33" t="s">
        <v>102</v>
      </c>
      <c r="C301" s="33" t="s">
        <v>620</v>
      </c>
      <c r="D301" s="42" t="str">
        <f>PROPER(TRIM(FatmaUsf[[#This Row],[Last Name]]&amp;" "&amp;FatmaUsf[[#This Row],[Last Name]]))</f>
        <v>Qadimati Qadimati</v>
      </c>
      <c r="E301" s="33" t="s">
        <v>100</v>
      </c>
      <c r="F301" s="33" t="s">
        <v>858</v>
      </c>
      <c r="G301" s="33" t="s">
        <v>19</v>
      </c>
      <c r="H301" s="34" t="s">
        <v>8</v>
      </c>
      <c r="I301" s="34" t="s">
        <v>25</v>
      </c>
      <c r="J301" s="35" t="s">
        <v>23</v>
      </c>
      <c r="K301" s="33" t="s">
        <v>1087</v>
      </c>
      <c r="L301" s="36">
        <v>8</v>
      </c>
      <c r="M301" s="37">
        <v>3</v>
      </c>
      <c r="N301" s="37">
        <v>2015</v>
      </c>
      <c r="O301" s="47">
        <f>DATE(FatmaUsf[[#This Row],[Hire Year]],FatmaUsf[[#This Row],[Hire Month]],FatmaUsf[[#This Row],[Hire Day]])</f>
        <v>42071</v>
      </c>
      <c r="P301" s="47">
        <f t="shared" ca="1" si="4"/>
        <v>46071</v>
      </c>
      <c r="Q301" s="14">
        <f ca="1">DATEDIF(FatmaUsf[[#This Row],[Hiring Date]],FatmaUsf[[#This Row],[current date]],"Y")</f>
        <v>10</v>
      </c>
      <c r="R301" s="38">
        <v>3294</v>
      </c>
      <c r="S301" s="54">
        <f>FatmaUsf[[#This Row],[Salary]]*0.1</f>
        <v>329.40000000000003</v>
      </c>
      <c r="T301" s="39">
        <f>FatmaUsf[[#This Row],[Salary]]*0.03</f>
        <v>98.82</v>
      </c>
      <c r="U301" s="50">
        <f>FatmaUsf[[#This Row],[Salary]]-FatmaUsf[[#This Row],[Tax 10%]]+FatmaUsf[[#This Row],[Bonus 3%]]</f>
        <v>3063.42</v>
      </c>
      <c r="V301" s="40" t="str">
        <f>IF(FatmaUsf[[#This Row],[Net Salary]]&gt;=6000,"Over","Normal")</f>
        <v>Normal</v>
      </c>
      <c r="W301" s="58">
        <f>VLOOKUP(FatmaUsf[[#This Row],[Net Salary]],$Z$10:$AA$14,2)</f>
        <v>0.05</v>
      </c>
    </row>
    <row r="302" spans="1:23" ht="15.75" customHeight="1">
      <c r="A302" s="4"/>
      <c r="B302" s="5"/>
      <c r="C302" s="5"/>
      <c r="D302" s="43"/>
      <c r="E302" s="5"/>
      <c r="F302" s="5"/>
      <c r="G302" s="5"/>
      <c r="J302" s="6"/>
      <c r="L302" s="7"/>
      <c r="M302" s="7"/>
      <c r="N302" s="7"/>
      <c r="O302" s="7"/>
      <c r="P302" s="7"/>
      <c r="Q302" s="7"/>
    </row>
    <row r="303" spans="1:23" ht="15.75" customHeight="1">
      <c r="A303" s="4"/>
      <c r="B303" s="5"/>
      <c r="C303" s="5"/>
      <c r="D303" s="43"/>
      <c r="E303" s="5"/>
      <c r="F303" s="5"/>
      <c r="G303" s="5"/>
      <c r="J303" s="6"/>
      <c r="L303" s="7"/>
      <c r="M303" s="7"/>
      <c r="N303" s="7"/>
      <c r="O303" s="7"/>
      <c r="P303" s="7"/>
      <c r="Q303" s="7"/>
    </row>
    <row r="304" spans="1:23" ht="15.75" customHeight="1">
      <c r="A304" s="4"/>
      <c r="B304" s="5"/>
      <c r="C304" s="5"/>
      <c r="D304" s="43"/>
      <c r="E304" s="5"/>
      <c r="F304" s="5"/>
      <c r="G304" s="5"/>
      <c r="J304" s="6"/>
      <c r="L304" s="7"/>
      <c r="M304" s="7"/>
      <c r="N304" s="7"/>
      <c r="O304" s="7"/>
      <c r="P304" s="7"/>
      <c r="Q304" s="7"/>
    </row>
    <row r="305" spans="1:17" ht="15.75" customHeight="1">
      <c r="A305" s="4"/>
      <c r="B305" s="5"/>
      <c r="C305" s="5"/>
      <c r="D305" s="43"/>
      <c r="E305" s="5"/>
      <c r="F305" s="5"/>
      <c r="G305" s="5"/>
      <c r="J305" s="6"/>
      <c r="L305" s="7"/>
      <c r="M305" s="7"/>
      <c r="N305" s="7"/>
      <c r="O305" s="7"/>
      <c r="P305" s="7"/>
      <c r="Q305" s="7"/>
    </row>
    <row r="306" spans="1:17" ht="15.75" customHeight="1">
      <c r="A306" s="4"/>
      <c r="B306" s="5"/>
      <c r="C306" s="5"/>
      <c r="D306" s="43"/>
      <c r="E306" s="5"/>
      <c r="F306" s="5"/>
      <c r="G306" s="5"/>
      <c r="J306" s="6"/>
      <c r="L306" s="7"/>
      <c r="M306" s="7"/>
      <c r="N306" s="7"/>
      <c r="O306" s="7"/>
      <c r="P306" s="7"/>
      <c r="Q306" s="7"/>
    </row>
    <row r="307" spans="1:17" ht="15.75" customHeight="1">
      <c r="A307" s="4"/>
      <c r="B307" s="5"/>
      <c r="C307" s="5"/>
      <c r="D307" s="43"/>
      <c r="E307" s="5"/>
      <c r="F307" s="5"/>
      <c r="G307" s="5"/>
      <c r="J307" s="6"/>
      <c r="L307" s="7"/>
      <c r="M307" s="7"/>
      <c r="N307" s="7"/>
      <c r="O307" s="7"/>
      <c r="P307" s="7"/>
      <c r="Q307" s="7"/>
    </row>
    <row r="308" spans="1:17" ht="15.75" customHeight="1">
      <c r="A308" s="4"/>
      <c r="B308" s="5"/>
      <c r="C308" s="5"/>
      <c r="D308" s="43"/>
      <c r="E308" s="5"/>
      <c r="F308" s="5"/>
      <c r="G308" s="5"/>
      <c r="J308" s="6"/>
      <c r="L308" s="7"/>
      <c r="M308" s="7"/>
      <c r="N308" s="7"/>
      <c r="O308" s="7"/>
      <c r="P308" s="7"/>
      <c r="Q308" s="7"/>
    </row>
    <row r="309" spans="1:17" ht="15.75" customHeight="1">
      <c r="A309" s="4"/>
      <c r="B309" s="5"/>
      <c r="C309" s="5"/>
      <c r="D309" s="43"/>
      <c r="E309" s="5"/>
      <c r="F309" s="5"/>
      <c r="G309" s="5"/>
      <c r="J309" s="6"/>
      <c r="L309" s="7"/>
      <c r="M309" s="7"/>
      <c r="N309" s="7"/>
      <c r="O309" s="7"/>
      <c r="P309" s="7"/>
      <c r="Q309" s="7"/>
    </row>
    <row r="310" spans="1:17" ht="15.75" customHeight="1">
      <c r="A310" s="4"/>
      <c r="B310" s="5"/>
      <c r="C310" s="5"/>
      <c r="D310" s="43"/>
      <c r="E310" s="5"/>
      <c r="F310" s="5"/>
      <c r="G310" s="5"/>
      <c r="J310" s="6"/>
      <c r="L310" s="7"/>
      <c r="M310" s="7"/>
      <c r="N310" s="7"/>
      <c r="O310" s="7"/>
      <c r="P310" s="7"/>
      <c r="Q310" s="7"/>
    </row>
    <row r="311" spans="1:17" ht="15.75" customHeight="1">
      <c r="A311" s="4"/>
      <c r="B311" s="5"/>
      <c r="C311" s="5"/>
      <c r="D311" s="43"/>
      <c r="E311" s="5"/>
      <c r="F311" s="5"/>
      <c r="G311" s="5"/>
      <c r="J311" s="6"/>
      <c r="L311" s="7"/>
      <c r="M311" s="7"/>
      <c r="N311" s="7"/>
      <c r="O311" s="7"/>
      <c r="P311" s="7"/>
      <c r="Q311" s="7"/>
    </row>
    <row r="312" spans="1:17" ht="15.75" customHeight="1">
      <c r="A312" s="4"/>
      <c r="B312" s="5"/>
      <c r="C312" s="5"/>
      <c r="D312" s="43"/>
      <c r="E312" s="5"/>
      <c r="F312" s="5"/>
      <c r="G312" s="5"/>
      <c r="J312" s="6"/>
      <c r="L312" s="7"/>
      <c r="M312" s="7"/>
      <c r="N312" s="7"/>
      <c r="O312" s="7"/>
      <c r="P312" s="7"/>
      <c r="Q312" s="7"/>
    </row>
    <row r="313" spans="1:17" ht="15.75" customHeight="1">
      <c r="A313" s="4"/>
      <c r="B313" s="5"/>
      <c r="C313" s="5"/>
      <c r="D313" s="43"/>
      <c r="E313" s="5"/>
      <c r="F313" s="5"/>
      <c r="G313" s="5"/>
      <c r="J313" s="6"/>
      <c r="L313" s="7"/>
      <c r="M313" s="7"/>
      <c r="N313" s="7"/>
      <c r="O313" s="7"/>
      <c r="P313" s="7"/>
      <c r="Q313" s="7"/>
    </row>
    <row r="314" spans="1:17" ht="15.75" customHeight="1">
      <c r="A314" s="4"/>
      <c r="B314" s="5"/>
      <c r="C314" s="5"/>
      <c r="D314" s="43"/>
      <c r="E314" s="5"/>
      <c r="F314" s="5"/>
      <c r="G314" s="5"/>
      <c r="J314" s="6"/>
      <c r="L314" s="7"/>
      <c r="M314" s="7"/>
      <c r="N314" s="7"/>
      <c r="O314" s="7"/>
      <c r="P314" s="7"/>
      <c r="Q314" s="7"/>
    </row>
    <row r="315" spans="1:17" ht="15.75" customHeight="1">
      <c r="A315" s="4"/>
      <c r="B315" s="5"/>
      <c r="C315" s="5"/>
      <c r="D315" s="43"/>
      <c r="E315" s="5"/>
      <c r="F315" s="5"/>
      <c r="G315" s="5"/>
      <c r="J315" s="6"/>
      <c r="L315" s="7"/>
      <c r="M315" s="7"/>
      <c r="N315" s="7"/>
      <c r="O315" s="7"/>
      <c r="P315" s="7"/>
      <c r="Q315" s="7"/>
    </row>
    <row r="316" spans="1:17" ht="15.75" customHeight="1">
      <c r="A316" s="4"/>
      <c r="B316" s="5"/>
      <c r="C316" s="5"/>
      <c r="D316" s="43"/>
      <c r="E316" s="5"/>
      <c r="F316" s="5"/>
      <c r="G316" s="5"/>
      <c r="J316" s="6"/>
      <c r="L316" s="7"/>
      <c r="M316" s="7"/>
      <c r="N316" s="7"/>
      <c r="O316" s="7"/>
      <c r="P316" s="7"/>
      <c r="Q316" s="7"/>
    </row>
    <row r="317" spans="1:17" ht="15.75" customHeight="1">
      <c r="A317" s="4"/>
      <c r="B317" s="5"/>
      <c r="C317" s="5"/>
      <c r="D317" s="43"/>
      <c r="E317" s="5"/>
      <c r="F317" s="5"/>
      <c r="G317" s="5"/>
      <c r="J317" s="6"/>
      <c r="L317" s="7"/>
      <c r="M317" s="7"/>
      <c r="N317" s="7"/>
      <c r="O317" s="7"/>
      <c r="P317" s="7"/>
      <c r="Q317" s="7"/>
    </row>
    <row r="318" spans="1:17" ht="15.75" customHeight="1">
      <c r="A318" s="4"/>
      <c r="B318" s="5"/>
      <c r="C318" s="5"/>
      <c r="D318" s="43"/>
      <c r="E318" s="5"/>
      <c r="F318" s="5"/>
      <c r="G318" s="5"/>
      <c r="J318" s="6"/>
      <c r="L318" s="7"/>
      <c r="M318" s="7"/>
      <c r="N318" s="7"/>
      <c r="O318" s="7"/>
      <c r="P318" s="7"/>
      <c r="Q318" s="7"/>
    </row>
    <row r="319" spans="1:17" ht="15.75" customHeight="1">
      <c r="A319" s="4"/>
      <c r="B319" s="5"/>
      <c r="C319" s="5"/>
      <c r="D319" s="43"/>
      <c r="E319" s="5"/>
      <c r="F319" s="5"/>
      <c r="G319" s="5"/>
      <c r="J319" s="6"/>
      <c r="L319" s="7"/>
      <c r="M319" s="7"/>
      <c r="N319" s="7"/>
      <c r="O319" s="7"/>
      <c r="P319" s="7"/>
      <c r="Q319" s="7"/>
    </row>
    <row r="320" spans="1:17" ht="15.75" customHeight="1">
      <c r="A320" s="4"/>
      <c r="B320" s="5"/>
      <c r="C320" s="5"/>
      <c r="D320" s="43"/>
      <c r="E320" s="5"/>
      <c r="F320" s="5"/>
      <c r="G320" s="5"/>
      <c r="J320" s="6"/>
      <c r="L320" s="7"/>
      <c r="M320" s="7"/>
      <c r="N320" s="7"/>
      <c r="O320" s="7"/>
      <c r="P320" s="7"/>
      <c r="Q320" s="7"/>
    </row>
    <row r="321" spans="1:17" ht="15.75" customHeight="1">
      <c r="A321" s="4"/>
      <c r="B321" s="5"/>
      <c r="C321" s="5"/>
      <c r="D321" s="43"/>
      <c r="E321" s="5"/>
      <c r="F321" s="5"/>
      <c r="G321" s="5"/>
      <c r="J321" s="6"/>
      <c r="L321" s="7"/>
      <c r="M321" s="7"/>
      <c r="N321" s="7"/>
      <c r="O321" s="7"/>
      <c r="P321" s="7"/>
      <c r="Q321" s="7"/>
    </row>
    <row r="322" spans="1:17" ht="15.75" customHeight="1">
      <c r="A322" s="4"/>
      <c r="B322" s="5"/>
      <c r="C322" s="5"/>
      <c r="D322" s="43"/>
      <c r="E322" s="5"/>
      <c r="F322" s="5"/>
      <c r="G322" s="5"/>
      <c r="J322" s="6"/>
      <c r="L322" s="7"/>
      <c r="M322" s="7"/>
      <c r="N322" s="7"/>
      <c r="O322" s="7"/>
      <c r="P322" s="7"/>
      <c r="Q322" s="7"/>
    </row>
    <row r="323" spans="1:17" ht="15.75" customHeight="1">
      <c r="A323" s="4"/>
      <c r="B323" s="5"/>
      <c r="C323" s="5"/>
      <c r="D323" s="43"/>
      <c r="E323" s="5"/>
      <c r="F323" s="5"/>
      <c r="G323" s="5"/>
      <c r="J323" s="6"/>
      <c r="L323" s="7"/>
      <c r="M323" s="7"/>
      <c r="N323" s="7"/>
      <c r="O323" s="7"/>
      <c r="P323" s="7"/>
      <c r="Q323" s="7"/>
    </row>
    <row r="324" spans="1:17" ht="15.75" customHeight="1">
      <c r="A324" s="4"/>
      <c r="B324" s="5"/>
      <c r="C324" s="5"/>
      <c r="D324" s="43"/>
      <c r="E324" s="5"/>
      <c r="F324" s="5"/>
      <c r="G324" s="5"/>
      <c r="J324" s="6"/>
      <c r="L324" s="7"/>
      <c r="M324" s="7"/>
      <c r="N324" s="7"/>
      <c r="O324" s="7"/>
      <c r="P324" s="7"/>
      <c r="Q324" s="7"/>
    </row>
    <row r="325" spans="1:17" ht="15.75" customHeight="1">
      <c r="A325" s="4"/>
      <c r="B325" s="5"/>
      <c r="C325" s="5"/>
      <c r="D325" s="43"/>
      <c r="E325" s="5"/>
      <c r="F325" s="5"/>
      <c r="G325" s="5"/>
      <c r="J325" s="6"/>
      <c r="L325" s="7"/>
      <c r="M325" s="7"/>
      <c r="N325" s="7"/>
      <c r="O325" s="7"/>
      <c r="P325" s="7"/>
      <c r="Q325" s="7"/>
    </row>
    <row r="326" spans="1:17" ht="15.75" customHeight="1">
      <c r="A326" s="4"/>
      <c r="B326" s="5"/>
      <c r="C326" s="5"/>
      <c r="D326" s="43"/>
      <c r="E326" s="5"/>
      <c r="F326" s="5"/>
      <c r="G326" s="5"/>
      <c r="J326" s="6"/>
      <c r="L326" s="7"/>
      <c r="M326" s="7"/>
      <c r="N326" s="7"/>
      <c r="O326" s="7"/>
      <c r="P326" s="7"/>
      <c r="Q326" s="7"/>
    </row>
    <row r="327" spans="1:17" ht="15.75" customHeight="1">
      <c r="A327" s="4"/>
      <c r="B327" s="5"/>
      <c r="C327" s="5"/>
      <c r="D327" s="43"/>
      <c r="E327" s="5"/>
      <c r="F327" s="5"/>
      <c r="G327" s="5"/>
      <c r="J327" s="6"/>
      <c r="L327" s="7"/>
      <c r="M327" s="7"/>
      <c r="N327" s="7"/>
      <c r="O327" s="7"/>
      <c r="P327" s="7"/>
      <c r="Q327" s="7"/>
    </row>
    <row r="328" spans="1:17" ht="15.75" customHeight="1">
      <c r="A328" s="4"/>
      <c r="B328" s="5"/>
      <c r="C328" s="5"/>
      <c r="D328" s="43"/>
      <c r="E328" s="5"/>
      <c r="F328" s="5"/>
      <c r="G328" s="5"/>
      <c r="J328" s="6"/>
      <c r="L328" s="7"/>
      <c r="M328" s="7"/>
      <c r="N328" s="7"/>
      <c r="O328" s="7"/>
      <c r="P328" s="7"/>
      <c r="Q328" s="7"/>
    </row>
    <row r="329" spans="1:17" ht="15.75" customHeight="1">
      <c r="A329" s="4"/>
      <c r="B329" s="5"/>
      <c r="C329" s="5"/>
      <c r="D329" s="43"/>
      <c r="E329" s="5"/>
      <c r="F329" s="5"/>
      <c r="G329" s="5"/>
      <c r="J329" s="6"/>
      <c r="L329" s="7"/>
      <c r="M329" s="7"/>
      <c r="N329" s="7"/>
      <c r="O329" s="7"/>
      <c r="P329" s="7"/>
      <c r="Q329" s="7"/>
    </row>
    <row r="330" spans="1:17" ht="15.75" customHeight="1">
      <c r="A330" s="4"/>
      <c r="B330" s="5"/>
      <c r="C330" s="5"/>
      <c r="D330" s="43"/>
      <c r="E330" s="5"/>
      <c r="F330" s="5"/>
      <c r="G330" s="5"/>
      <c r="J330" s="6"/>
      <c r="L330" s="7"/>
      <c r="M330" s="7"/>
      <c r="N330" s="7"/>
      <c r="O330" s="7"/>
      <c r="P330" s="7"/>
      <c r="Q330" s="7"/>
    </row>
    <row r="331" spans="1:17" ht="15.75" customHeight="1">
      <c r="A331" s="4"/>
      <c r="B331" s="5"/>
      <c r="C331" s="5"/>
      <c r="D331" s="43"/>
      <c r="E331" s="5"/>
      <c r="F331" s="5"/>
      <c r="G331" s="5"/>
      <c r="J331" s="6"/>
      <c r="L331" s="7"/>
      <c r="M331" s="7"/>
      <c r="N331" s="7"/>
      <c r="O331" s="7"/>
      <c r="P331" s="7"/>
      <c r="Q331" s="7"/>
    </row>
    <row r="332" spans="1:17" ht="15.75" customHeight="1">
      <c r="A332" s="4"/>
      <c r="B332" s="5"/>
      <c r="C332" s="5"/>
      <c r="D332" s="43"/>
      <c r="E332" s="5"/>
      <c r="F332" s="5"/>
      <c r="G332" s="5"/>
      <c r="J332" s="6"/>
      <c r="L332" s="7"/>
      <c r="M332" s="7"/>
      <c r="N332" s="7"/>
      <c r="O332" s="7"/>
      <c r="P332" s="7"/>
      <c r="Q332" s="7"/>
    </row>
    <row r="333" spans="1:17" ht="15.75" customHeight="1">
      <c r="A333" s="4"/>
      <c r="B333" s="5"/>
      <c r="C333" s="5"/>
      <c r="D333" s="43"/>
      <c r="E333" s="5"/>
      <c r="F333" s="5"/>
      <c r="G333" s="5"/>
      <c r="J333" s="6"/>
      <c r="L333" s="7"/>
      <c r="M333" s="7"/>
      <c r="N333" s="7"/>
      <c r="O333" s="7"/>
      <c r="P333" s="7"/>
      <c r="Q333" s="7"/>
    </row>
    <row r="334" spans="1:17" ht="15.75" customHeight="1">
      <c r="A334" s="4"/>
      <c r="B334" s="5"/>
      <c r="C334" s="5"/>
      <c r="D334" s="43"/>
      <c r="E334" s="5"/>
      <c r="F334" s="5"/>
      <c r="G334" s="5"/>
      <c r="J334" s="6"/>
      <c r="L334" s="7"/>
      <c r="M334" s="7"/>
      <c r="N334" s="7"/>
      <c r="O334" s="7"/>
      <c r="P334" s="7"/>
      <c r="Q334" s="7"/>
    </row>
    <row r="335" spans="1:17" ht="15.75" customHeight="1">
      <c r="A335" s="4"/>
      <c r="B335" s="5"/>
      <c r="C335" s="5"/>
      <c r="D335" s="43"/>
      <c r="E335" s="5"/>
      <c r="F335" s="5"/>
      <c r="G335" s="5"/>
      <c r="J335" s="6"/>
      <c r="L335" s="7"/>
      <c r="M335" s="7"/>
      <c r="N335" s="7"/>
      <c r="O335" s="7"/>
      <c r="P335" s="7"/>
      <c r="Q335" s="7"/>
    </row>
    <row r="336" spans="1:17" ht="15.75" customHeight="1">
      <c r="A336" s="4"/>
      <c r="B336" s="5"/>
      <c r="C336" s="5"/>
      <c r="D336" s="43"/>
      <c r="E336" s="5"/>
      <c r="F336" s="5"/>
      <c r="G336" s="5"/>
      <c r="J336" s="6"/>
      <c r="L336" s="7"/>
      <c r="M336" s="7"/>
      <c r="N336" s="7"/>
      <c r="O336" s="7"/>
      <c r="P336" s="7"/>
      <c r="Q336" s="7"/>
    </row>
    <row r="337" spans="1:17" ht="15.75" customHeight="1">
      <c r="A337" s="4"/>
      <c r="B337" s="5"/>
      <c r="C337" s="5"/>
      <c r="D337" s="43"/>
      <c r="E337" s="5"/>
      <c r="F337" s="5"/>
      <c r="G337" s="5"/>
      <c r="J337" s="6"/>
      <c r="L337" s="7"/>
      <c r="M337" s="7"/>
      <c r="N337" s="7"/>
      <c r="O337" s="7"/>
      <c r="P337" s="7"/>
      <c r="Q337" s="7"/>
    </row>
    <row r="338" spans="1:17" ht="15.75" customHeight="1">
      <c r="A338" s="4"/>
      <c r="B338" s="5"/>
      <c r="C338" s="5"/>
      <c r="D338" s="43"/>
      <c r="E338" s="5"/>
      <c r="F338" s="5"/>
      <c r="G338" s="5"/>
      <c r="J338" s="6"/>
      <c r="L338" s="7"/>
      <c r="M338" s="7"/>
      <c r="N338" s="7"/>
      <c r="O338" s="7"/>
      <c r="P338" s="7"/>
      <c r="Q338" s="7"/>
    </row>
    <row r="339" spans="1:17" ht="15.75" customHeight="1">
      <c r="A339" s="4"/>
      <c r="B339" s="5"/>
      <c r="C339" s="5"/>
      <c r="D339" s="43"/>
      <c r="E339" s="5"/>
      <c r="F339" s="5"/>
      <c r="G339" s="5"/>
      <c r="J339" s="6"/>
      <c r="L339" s="7"/>
      <c r="M339" s="7"/>
      <c r="N339" s="7"/>
      <c r="O339" s="7"/>
      <c r="P339" s="7"/>
      <c r="Q339" s="7"/>
    </row>
    <row r="340" spans="1:17" ht="15.75" customHeight="1">
      <c r="A340" s="4"/>
      <c r="B340" s="5"/>
      <c r="C340" s="5"/>
      <c r="D340" s="43"/>
      <c r="E340" s="5"/>
      <c r="F340" s="5"/>
      <c r="G340" s="5"/>
      <c r="J340" s="6"/>
      <c r="L340" s="7"/>
      <c r="M340" s="7"/>
      <c r="N340" s="7"/>
      <c r="O340" s="7"/>
      <c r="P340" s="7"/>
      <c r="Q340" s="7"/>
    </row>
    <row r="341" spans="1:17" ht="15.75" customHeight="1">
      <c r="A341" s="4"/>
      <c r="B341" s="5"/>
      <c r="C341" s="5"/>
      <c r="D341" s="43"/>
      <c r="E341" s="5"/>
      <c r="F341" s="5"/>
      <c r="G341" s="5"/>
      <c r="J341" s="6"/>
      <c r="L341" s="7"/>
      <c r="M341" s="7"/>
      <c r="N341" s="7"/>
      <c r="O341" s="7"/>
      <c r="P341" s="7"/>
      <c r="Q341" s="7"/>
    </row>
    <row r="342" spans="1:17" ht="15.75" customHeight="1">
      <c r="A342" s="4"/>
      <c r="B342" s="5"/>
      <c r="C342" s="5"/>
      <c r="D342" s="43"/>
      <c r="E342" s="5"/>
      <c r="F342" s="5"/>
      <c r="G342" s="5"/>
      <c r="J342" s="6"/>
      <c r="L342" s="7"/>
      <c r="M342" s="7"/>
      <c r="N342" s="7"/>
      <c r="O342" s="7"/>
      <c r="P342" s="7"/>
      <c r="Q342" s="7"/>
    </row>
    <row r="343" spans="1:17" ht="15.75" customHeight="1">
      <c r="A343" s="4"/>
      <c r="B343" s="5"/>
      <c r="C343" s="5"/>
      <c r="D343" s="43"/>
      <c r="E343" s="5"/>
      <c r="F343" s="5"/>
      <c r="G343" s="5"/>
      <c r="J343" s="6"/>
      <c r="L343" s="7"/>
      <c r="M343" s="7"/>
      <c r="N343" s="7"/>
      <c r="O343" s="7"/>
      <c r="P343" s="7"/>
      <c r="Q343" s="7"/>
    </row>
    <row r="344" spans="1:17" ht="15.75" customHeight="1">
      <c r="A344" s="4"/>
      <c r="B344" s="5"/>
      <c r="C344" s="5"/>
      <c r="D344" s="43"/>
      <c r="E344" s="5"/>
      <c r="F344" s="5"/>
      <c r="G344" s="5"/>
      <c r="J344" s="6"/>
      <c r="L344" s="7"/>
      <c r="M344" s="7"/>
      <c r="N344" s="7"/>
      <c r="O344" s="7"/>
      <c r="P344" s="7"/>
      <c r="Q344" s="7"/>
    </row>
    <row r="345" spans="1:17" ht="15.75" customHeight="1">
      <c r="A345" s="4"/>
      <c r="B345" s="5"/>
      <c r="C345" s="5"/>
      <c r="D345" s="43"/>
      <c r="E345" s="5"/>
      <c r="F345" s="5"/>
      <c r="G345" s="5"/>
      <c r="J345" s="6"/>
      <c r="L345" s="7"/>
      <c r="M345" s="7"/>
      <c r="N345" s="7"/>
      <c r="O345" s="7"/>
      <c r="P345" s="7"/>
      <c r="Q345" s="7"/>
    </row>
    <row r="346" spans="1:17" ht="15.75" customHeight="1">
      <c r="A346" s="4"/>
      <c r="B346" s="5"/>
      <c r="C346" s="5"/>
      <c r="D346" s="43"/>
      <c r="E346" s="5"/>
      <c r="F346" s="5"/>
      <c r="G346" s="5"/>
      <c r="J346" s="6"/>
      <c r="L346" s="7"/>
      <c r="M346" s="7"/>
      <c r="N346" s="7"/>
      <c r="O346" s="7"/>
      <c r="P346" s="7"/>
      <c r="Q346" s="7"/>
    </row>
    <row r="347" spans="1:17" ht="15.75" customHeight="1">
      <c r="A347" s="4"/>
      <c r="B347" s="5"/>
      <c r="C347" s="5"/>
      <c r="D347" s="43"/>
      <c r="E347" s="5"/>
      <c r="F347" s="5"/>
      <c r="G347" s="5"/>
      <c r="J347" s="6"/>
      <c r="L347" s="7"/>
      <c r="M347" s="7"/>
      <c r="N347" s="7"/>
      <c r="O347" s="7"/>
      <c r="P347" s="7"/>
      <c r="Q347" s="7"/>
    </row>
    <row r="348" spans="1:17" ht="15.75" customHeight="1">
      <c r="A348" s="4"/>
      <c r="B348" s="5"/>
      <c r="C348" s="5"/>
      <c r="D348" s="43"/>
      <c r="E348" s="5"/>
      <c r="F348" s="5"/>
      <c r="G348" s="5"/>
      <c r="J348" s="6"/>
      <c r="L348" s="7"/>
      <c r="M348" s="7"/>
      <c r="N348" s="7"/>
      <c r="O348" s="7"/>
      <c r="P348" s="7"/>
      <c r="Q348" s="7"/>
    </row>
    <row r="349" spans="1:17" ht="15.75" customHeight="1">
      <c r="A349" s="4"/>
      <c r="B349" s="5"/>
      <c r="C349" s="5"/>
      <c r="D349" s="43"/>
      <c r="E349" s="5"/>
      <c r="F349" s="5"/>
      <c r="G349" s="5"/>
      <c r="J349" s="6"/>
      <c r="L349" s="7"/>
      <c r="M349" s="7"/>
      <c r="N349" s="7"/>
      <c r="O349" s="7"/>
      <c r="P349" s="7"/>
      <c r="Q349" s="7"/>
    </row>
    <row r="350" spans="1:17" ht="15.75" customHeight="1">
      <c r="A350" s="4"/>
      <c r="B350" s="5"/>
      <c r="C350" s="5"/>
      <c r="D350" s="43"/>
      <c r="E350" s="5"/>
      <c r="F350" s="5"/>
      <c r="G350" s="5"/>
      <c r="J350" s="6"/>
      <c r="L350" s="7"/>
      <c r="M350" s="7"/>
      <c r="N350" s="7"/>
      <c r="O350" s="7"/>
      <c r="P350" s="7"/>
      <c r="Q350" s="7"/>
    </row>
    <row r="351" spans="1:17" ht="15.75" customHeight="1">
      <c r="A351" s="4"/>
      <c r="B351" s="5"/>
      <c r="C351" s="5"/>
      <c r="D351" s="43"/>
      <c r="E351" s="5"/>
      <c r="F351" s="5"/>
      <c r="G351" s="5"/>
      <c r="J351" s="6"/>
      <c r="L351" s="7"/>
      <c r="M351" s="7"/>
      <c r="N351" s="7"/>
      <c r="O351" s="7"/>
      <c r="P351" s="7"/>
      <c r="Q351" s="7"/>
    </row>
    <row r="352" spans="1:17" ht="15.75" customHeight="1">
      <c r="A352" s="4"/>
      <c r="B352" s="5"/>
      <c r="C352" s="5"/>
      <c r="D352" s="43"/>
      <c r="E352" s="5"/>
      <c r="F352" s="5"/>
      <c r="G352" s="5"/>
      <c r="J352" s="6"/>
      <c r="L352" s="7"/>
      <c r="M352" s="7"/>
      <c r="N352" s="7"/>
      <c r="O352" s="7"/>
      <c r="P352" s="7"/>
      <c r="Q352" s="7"/>
    </row>
    <row r="353" spans="1:17" ht="15.75" customHeight="1">
      <c r="A353" s="4"/>
      <c r="B353" s="5"/>
      <c r="C353" s="5"/>
      <c r="D353" s="43"/>
      <c r="E353" s="5"/>
      <c r="F353" s="5"/>
      <c r="G353" s="5"/>
      <c r="J353" s="6"/>
      <c r="L353" s="7"/>
      <c r="M353" s="7"/>
      <c r="N353" s="7"/>
      <c r="O353" s="7"/>
      <c r="P353" s="7"/>
      <c r="Q353" s="7"/>
    </row>
    <row r="354" spans="1:17" ht="15.75" customHeight="1">
      <c r="A354" s="4"/>
      <c r="B354" s="5"/>
      <c r="C354" s="5"/>
      <c r="D354" s="43"/>
      <c r="E354" s="5"/>
      <c r="F354" s="5"/>
      <c r="G354" s="5"/>
      <c r="J354" s="6"/>
      <c r="L354" s="7"/>
      <c r="M354" s="7"/>
      <c r="N354" s="7"/>
      <c r="O354" s="7"/>
      <c r="P354" s="7"/>
      <c r="Q354" s="7"/>
    </row>
    <row r="355" spans="1:17" ht="15.75" customHeight="1">
      <c r="A355" s="4"/>
      <c r="B355" s="5"/>
      <c r="C355" s="5"/>
      <c r="D355" s="43"/>
      <c r="E355" s="5"/>
      <c r="F355" s="5"/>
      <c r="G355" s="5"/>
      <c r="J355" s="6"/>
      <c r="L355" s="7"/>
      <c r="M355" s="7"/>
      <c r="N355" s="7"/>
      <c r="O355" s="7"/>
      <c r="P355" s="7"/>
      <c r="Q355" s="7"/>
    </row>
    <row r="356" spans="1:17" ht="15.75" customHeight="1">
      <c r="A356" s="4"/>
      <c r="B356" s="5"/>
      <c r="C356" s="5"/>
      <c r="D356" s="43"/>
      <c r="E356" s="5"/>
      <c r="F356" s="5"/>
      <c r="G356" s="5"/>
      <c r="J356" s="6"/>
      <c r="L356" s="7"/>
      <c r="M356" s="7"/>
      <c r="N356" s="7"/>
      <c r="O356" s="7"/>
      <c r="P356" s="7"/>
      <c r="Q356" s="7"/>
    </row>
    <row r="357" spans="1:17" ht="15.75" customHeight="1">
      <c r="A357" s="4"/>
      <c r="B357" s="5"/>
      <c r="C357" s="5"/>
      <c r="D357" s="43"/>
      <c r="E357" s="5"/>
      <c r="F357" s="5"/>
      <c r="G357" s="5"/>
      <c r="J357" s="6"/>
      <c r="L357" s="7"/>
      <c r="M357" s="7"/>
      <c r="N357" s="7"/>
      <c r="O357" s="7"/>
      <c r="P357" s="7"/>
      <c r="Q357" s="7"/>
    </row>
    <row r="358" spans="1:17" ht="15.75" customHeight="1">
      <c r="A358" s="4"/>
      <c r="B358" s="5"/>
      <c r="C358" s="5"/>
      <c r="D358" s="43"/>
      <c r="E358" s="5"/>
      <c r="F358" s="5"/>
      <c r="G358" s="5"/>
      <c r="J358" s="6"/>
      <c r="L358" s="7"/>
      <c r="M358" s="7"/>
      <c r="N358" s="7"/>
      <c r="O358" s="7"/>
      <c r="P358" s="7"/>
      <c r="Q358" s="7"/>
    </row>
    <row r="359" spans="1:17" ht="15.75" customHeight="1">
      <c r="A359" s="4"/>
      <c r="B359" s="5"/>
      <c r="C359" s="5"/>
      <c r="D359" s="43"/>
      <c r="E359" s="5"/>
      <c r="F359" s="5"/>
      <c r="G359" s="5"/>
      <c r="J359" s="6"/>
      <c r="L359" s="7"/>
      <c r="M359" s="7"/>
      <c r="N359" s="7"/>
      <c r="O359" s="7"/>
      <c r="P359" s="7"/>
      <c r="Q359" s="7"/>
    </row>
    <row r="360" spans="1:17" ht="15.75" customHeight="1">
      <c r="A360" s="4"/>
      <c r="B360" s="5"/>
      <c r="C360" s="5"/>
      <c r="D360" s="43"/>
      <c r="E360" s="5"/>
      <c r="F360" s="5"/>
      <c r="G360" s="5"/>
      <c r="J360" s="6"/>
      <c r="L360" s="7"/>
      <c r="M360" s="7"/>
      <c r="N360" s="7"/>
      <c r="O360" s="7"/>
      <c r="P360" s="7"/>
      <c r="Q360" s="7"/>
    </row>
    <row r="361" spans="1:17" ht="15.75" customHeight="1">
      <c r="A361" s="4"/>
      <c r="B361" s="5"/>
      <c r="C361" s="5"/>
      <c r="D361" s="43"/>
      <c r="E361" s="5"/>
      <c r="F361" s="5"/>
      <c r="G361" s="5"/>
      <c r="J361" s="6"/>
      <c r="L361" s="7"/>
      <c r="M361" s="7"/>
      <c r="N361" s="7"/>
      <c r="O361" s="7"/>
      <c r="P361" s="7"/>
      <c r="Q361" s="7"/>
    </row>
    <row r="362" spans="1:17" ht="15.75" customHeight="1">
      <c r="A362" s="4"/>
      <c r="B362" s="5"/>
      <c r="C362" s="5"/>
      <c r="D362" s="43"/>
      <c r="E362" s="5"/>
      <c r="F362" s="5"/>
      <c r="G362" s="5"/>
      <c r="J362" s="6"/>
      <c r="L362" s="7"/>
      <c r="M362" s="7"/>
      <c r="N362" s="7"/>
      <c r="O362" s="7"/>
      <c r="P362" s="7"/>
      <c r="Q362" s="7"/>
    </row>
    <row r="363" spans="1:17" ht="15.75" customHeight="1">
      <c r="A363" s="4"/>
      <c r="B363" s="5"/>
      <c r="C363" s="5"/>
      <c r="D363" s="43"/>
      <c r="E363" s="5"/>
      <c r="F363" s="5"/>
      <c r="G363" s="5"/>
      <c r="J363" s="6"/>
      <c r="L363" s="7"/>
      <c r="M363" s="7"/>
      <c r="N363" s="7"/>
      <c r="O363" s="7"/>
      <c r="P363" s="7"/>
      <c r="Q363" s="7"/>
    </row>
    <row r="364" spans="1:17" ht="15.75" customHeight="1">
      <c r="A364" s="4"/>
      <c r="B364" s="5"/>
      <c r="C364" s="5"/>
      <c r="D364" s="43"/>
      <c r="E364" s="5"/>
      <c r="F364" s="5"/>
      <c r="G364" s="5"/>
      <c r="J364" s="6"/>
      <c r="L364" s="7"/>
      <c r="M364" s="7"/>
      <c r="N364" s="7"/>
      <c r="O364" s="7"/>
      <c r="P364" s="7"/>
      <c r="Q364" s="7"/>
    </row>
    <row r="365" spans="1:17" ht="15.75" customHeight="1">
      <c r="A365" s="4"/>
      <c r="B365" s="5"/>
      <c r="C365" s="5"/>
      <c r="D365" s="43"/>
      <c r="E365" s="5"/>
      <c r="F365" s="5"/>
      <c r="G365" s="5"/>
      <c r="J365" s="6"/>
      <c r="L365" s="7"/>
      <c r="M365" s="7"/>
      <c r="N365" s="7"/>
      <c r="O365" s="7"/>
      <c r="P365" s="7"/>
      <c r="Q365" s="7"/>
    </row>
    <row r="366" spans="1:17" ht="15.75" customHeight="1">
      <c r="A366" s="4"/>
      <c r="B366" s="5"/>
      <c r="C366" s="5"/>
      <c r="D366" s="43"/>
      <c r="E366" s="5"/>
      <c r="F366" s="5"/>
      <c r="G366" s="5"/>
      <c r="J366" s="6"/>
      <c r="L366" s="7"/>
      <c r="M366" s="7"/>
      <c r="N366" s="7"/>
      <c r="O366" s="7"/>
      <c r="P366" s="7"/>
      <c r="Q366" s="7"/>
    </row>
    <row r="367" spans="1:17" ht="15.75" customHeight="1">
      <c r="A367" s="4"/>
      <c r="B367" s="5"/>
      <c r="C367" s="5"/>
      <c r="D367" s="43"/>
      <c r="E367" s="5"/>
      <c r="F367" s="5"/>
      <c r="G367" s="5"/>
      <c r="J367" s="6"/>
      <c r="L367" s="7"/>
      <c r="M367" s="7"/>
      <c r="N367" s="7"/>
      <c r="O367" s="7"/>
      <c r="P367" s="7"/>
      <c r="Q367" s="7"/>
    </row>
    <row r="368" spans="1:17" ht="15.75" customHeight="1">
      <c r="A368" s="4"/>
      <c r="B368" s="5"/>
      <c r="C368" s="5"/>
      <c r="D368" s="43"/>
      <c r="E368" s="5"/>
      <c r="F368" s="5"/>
      <c r="G368" s="5"/>
      <c r="J368" s="6"/>
      <c r="L368" s="7"/>
      <c r="M368" s="7"/>
      <c r="N368" s="7"/>
      <c r="O368" s="7"/>
      <c r="P368" s="7"/>
      <c r="Q368" s="7"/>
    </row>
    <row r="369" spans="1:17" ht="15.75" customHeight="1">
      <c r="A369" s="4"/>
      <c r="B369" s="5"/>
      <c r="C369" s="5"/>
      <c r="D369" s="43"/>
      <c r="E369" s="5"/>
      <c r="F369" s="5"/>
      <c r="G369" s="5"/>
      <c r="J369" s="6"/>
      <c r="L369" s="7"/>
      <c r="M369" s="7"/>
      <c r="N369" s="7"/>
      <c r="O369" s="7"/>
      <c r="P369" s="7"/>
      <c r="Q369" s="7"/>
    </row>
    <row r="370" spans="1:17" ht="15.75" customHeight="1">
      <c r="A370" s="4"/>
      <c r="B370" s="5"/>
      <c r="C370" s="5"/>
      <c r="D370" s="43"/>
      <c r="E370" s="5"/>
      <c r="F370" s="5"/>
      <c r="G370" s="5"/>
      <c r="J370" s="6"/>
      <c r="L370" s="7"/>
      <c r="M370" s="7"/>
      <c r="N370" s="7"/>
      <c r="O370" s="7"/>
      <c r="P370" s="7"/>
      <c r="Q370" s="7"/>
    </row>
    <row r="371" spans="1:17" ht="15.75" customHeight="1">
      <c r="A371" s="4"/>
      <c r="B371" s="5"/>
      <c r="C371" s="5"/>
      <c r="D371" s="43"/>
      <c r="E371" s="5"/>
      <c r="F371" s="5"/>
      <c r="G371" s="5"/>
      <c r="J371" s="6"/>
      <c r="L371" s="7"/>
      <c r="M371" s="7"/>
      <c r="N371" s="7"/>
      <c r="O371" s="7"/>
      <c r="P371" s="7"/>
      <c r="Q371" s="7"/>
    </row>
    <row r="372" spans="1:17" ht="15.75" customHeight="1">
      <c r="A372" s="4"/>
      <c r="B372" s="5"/>
      <c r="C372" s="5"/>
      <c r="D372" s="43"/>
      <c r="E372" s="5"/>
      <c r="F372" s="5"/>
      <c r="G372" s="5"/>
      <c r="J372" s="6"/>
      <c r="L372" s="7"/>
      <c r="M372" s="7"/>
      <c r="N372" s="7"/>
      <c r="O372" s="7"/>
      <c r="P372" s="7"/>
      <c r="Q372" s="7"/>
    </row>
    <row r="373" spans="1:17" ht="15.75" customHeight="1">
      <c r="A373" s="4"/>
      <c r="B373" s="5"/>
      <c r="C373" s="5"/>
      <c r="D373" s="43"/>
      <c r="E373" s="5"/>
      <c r="F373" s="5"/>
      <c r="G373" s="5"/>
      <c r="J373" s="6"/>
      <c r="L373" s="7"/>
      <c r="M373" s="7"/>
      <c r="N373" s="7"/>
      <c r="O373" s="7"/>
      <c r="P373" s="7"/>
      <c r="Q373" s="7"/>
    </row>
    <row r="374" spans="1:17" ht="15.75" customHeight="1">
      <c r="A374" s="4"/>
      <c r="B374" s="5"/>
      <c r="C374" s="5"/>
      <c r="D374" s="43"/>
      <c r="E374" s="5"/>
      <c r="F374" s="5"/>
      <c r="G374" s="5"/>
      <c r="J374" s="6"/>
      <c r="L374" s="7"/>
      <c r="M374" s="7"/>
      <c r="N374" s="7"/>
      <c r="O374" s="7"/>
      <c r="P374" s="7"/>
      <c r="Q374" s="7"/>
    </row>
    <row r="375" spans="1:17" ht="15.75" customHeight="1">
      <c r="A375" s="4"/>
      <c r="B375" s="5"/>
      <c r="C375" s="5"/>
      <c r="D375" s="43"/>
      <c r="E375" s="5"/>
      <c r="F375" s="5"/>
      <c r="G375" s="5"/>
      <c r="J375" s="6"/>
      <c r="L375" s="7"/>
      <c r="M375" s="7"/>
      <c r="N375" s="7"/>
      <c r="O375" s="7"/>
      <c r="P375" s="7"/>
      <c r="Q375" s="7"/>
    </row>
    <row r="376" spans="1:17" ht="15.75" customHeight="1">
      <c r="A376" s="4"/>
      <c r="B376" s="5"/>
      <c r="C376" s="5"/>
      <c r="D376" s="43"/>
      <c r="E376" s="5"/>
      <c r="F376" s="5"/>
      <c r="G376" s="5"/>
      <c r="J376" s="6"/>
      <c r="L376" s="7"/>
      <c r="M376" s="7"/>
      <c r="N376" s="7"/>
      <c r="O376" s="7"/>
      <c r="P376" s="7"/>
      <c r="Q376" s="7"/>
    </row>
    <row r="377" spans="1:17" ht="15.75" customHeight="1">
      <c r="A377" s="4"/>
      <c r="B377" s="5"/>
      <c r="C377" s="5"/>
      <c r="D377" s="43"/>
      <c r="E377" s="5"/>
      <c r="F377" s="5"/>
      <c r="G377" s="5"/>
      <c r="J377" s="6"/>
      <c r="L377" s="7"/>
      <c r="M377" s="7"/>
      <c r="N377" s="7"/>
      <c r="O377" s="7"/>
      <c r="P377" s="7"/>
      <c r="Q377" s="7"/>
    </row>
    <row r="378" spans="1:17" ht="15.75" customHeight="1">
      <c r="A378" s="4"/>
      <c r="B378" s="5"/>
      <c r="C378" s="5"/>
      <c r="D378" s="43"/>
      <c r="E378" s="5"/>
      <c r="F378" s="5"/>
      <c r="G378" s="5"/>
      <c r="J378" s="6"/>
      <c r="L378" s="7"/>
      <c r="M378" s="7"/>
      <c r="N378" s="7"/>
      <c r="O378" s="7"/>
      <c r="P378" s="7"/>
      <c r="Q378" s="7"/>
    </row>
    <row r="379" spans="1:17" ht="15.75" customHeight="1">
      <c r="A379" s="4"/>
      <c r="B379" s="5"/>
      <c r="C379" s="5"/>
      <c r="D379" s="43"/>
      <c r="E379" s="5"/>
      <c r="F379" s="5"/>
      <c r="G379" s="5"/>
      <c r="J379" s="6"/>
      <c r="L379" s="7"/>
      <c r="M379" s="7"/>
      <c r="N379" s="7"/>
      <c r="O379" s="7"/>
      <c r="P379" s="7"/>
      <c r="Q379" s="7"/>
    </row>
    <row r="380" spans="1:17" ht="15.75" customHeight="1">
      <c r="A380" s="4"/>
      <c r="B380" s="5"/>
      <c r="C380" s="5"/>
      <c r="D380" s="43"/>
      <c r="E380" s="5"/>
      <c r="F380" s="5"/>
      <c r="G380" s="5"/>
      <c r="J380" s="6"/>
      <c r="L380" s="7"/>
      <c r="M380" s="7"/>
      <c r="N380" s="7"/>
      <c r="O380" s="7"/>
      <c r="P380" s="7"/>
      <c r="Q380" s="7"/>
    </row>
    <row r="381" spans="1:17" ht="15.75" customHeight="1">
      <c r="A381" s="4"/>
      <c r="B381" s="5"/>
      <c r="C381" s="5"/>
      <c r="D381" s="43"/>
      <c r="E381" s="5"/>
      <c r="F381" s="5"/>
      <c r="G381" s="5"/>
      <c r="J381" s="6"/>
      <c r="L381" s="7"/>
      <c r="M381" s="7"/>
      <c r="N381" s="7"/>
      <c r="O381" s="7"/>
      <c r="P381" s="7"/>
      <c r="Q381" s="7"/>
    </row>
    <row r="382" spans="1:17" ht="15.75" customHeight="1">
      <c r="A382" s="4"/>
      <c r="B382" s="5"/>
      <c r="C382" s="5"/>
      <c r="D382" s="43"/>
      <c r="E382" s="5"/>
      <c r="F382" s="5"/>
      <c r="G382" s="5"/>
      <c r="J382" s="6"/>
      <c r="L382" s="7"/>
      <c r="M382" s="7"/>
      <c r="N382" s="7"/>
      <c r="O382" s="7"/>
      <c r="P382" s="7"/>
      <c r="Q382" s="7"/>
    </row>
    <row r="383" spans="1:17" ht="15.75" customHeight="1">
      <c r="A383" s="4"/>
      <c r="B383" s="5"/>
      <c r="C383" s="5"/>
      <c r="D383" s="43"/>
      <c r="E383" s="5"/>
      <c r="F383" s="5"/>
      <c r="G383" s="5"/>
      <c r="J383" s="6"/>
      <c r="L383" s="7"/>
      <c r="M383" s="7"/>
      <c r="N383" s="7"/>
      <c r="O383" s="7"/>
      <c r="P383" s="7"/>
      <c r="Q383" s="7"/>
    </row>
    <row r="384" spans="1:17" ht="15.75" customHeight="1">
      <c r="A384" s="4"/>
      <c r="B384" s="5"/>
      <c r="C384" s="5"/>
      <c r="D384" s="43"/>
      <c r="E384" s="5"/>
      <c r="F384" s="5"/>
      <c r="G384" s="5"/>
      <c r="J384" s="6"/>
      <c r="L384" s="7"/>
      <c r="M384" s="7"/>
      <c r="N384" s="7"/>
      <c r="O384" s="7"/>
      <c r="P384" s="7"/>
      <c r="Q384" s="7"/>
    </row>
    <row r="385" spans="1:17" ht="15.75" customHeight="1">
      <c r="A385" s="4"/>
      <c r="B385" s="5"/>
      <c r="C385" s="5"/>
      <c r="D385" s="43"/>
      <c r="E385" s="5"/>
      <c r="F385" s="5"/>
      <c r="G385" s="5"/>
      <c r="J385" s="6"/>
      <c r="L385" s="7"/>
      <c r="M385" s="7"/>
      <c r="N385" s="7"/>
      <c r="O385" s="7"/>
      <c r="P385" s="7"/>
      <c r="Q385" s="7"/>
    </row>
    <row r="386" spans="1:17" ht="15.75" customHeight="1">
      <c r="A386" s="4"/>
      <c r="B386" s="5"/>
      <c r="C386" s="5"/>
      <c r="D386" s="43"/>
      <c r="E386" s="5"/>
      <c r="F386" s="5"/>
      <c r="G386" s="5"/>
      <c r="J386" s="6"/>
      <c r="L386" s="7"/>
      <c r="M386" s="7"/>
      <c r="N386" s="7"/>
      <c r="O386" s="7"/>
      <c r="P386" s="7"/>
      <c r="Q386" s="7"/>
    </row>
    <row r="387" spans="1:17" ht="15.75" customHeight="1">
      <c r="A387" s="4"/>
      <c r="B387" s="5"/>
      <c r="C387" s="5"/>
      <c r="D387" s="43"/>
      <c r="E387" s="5"/>
      <c r="F387" s="5"/>
      <c r="G387" s="5"/>
      <c r="J387" s="6"/>
      <c r="L387" s="7"/>
      <c r="M387" s="7"/>
      <c r="N387" s="7"/>
      <c r="O387" s="7"/>
      <c r="P387" s="7"/>
      <c r="Q387" s="7"/>
    </row>
    <row r="388" spans="1:17" ht="15.75" customHeight="1">
      <c r="A388" s="4"/>
      <c r="B388" s="5"/>
      <c r="C388" s="5"/>
      <c r="D388" s="43"/>
      <c r="E388" s="5"/>
      <c r="F388" s="5"/>
      <c r="G388" s="5"/>
      <c r="J388" s="6"/>
      <c r="L388" s="7"/>
      <c r="M388" s="7"/>
      <c r="N388" s="7"/>
      <c r="O388" s="7"/>
      <c r="P388" s="7"/>
      <c r="Q388" s="7"/>
    </row>
    <row r="389" spans="1:17" ht="15.75" customHeight="1">
      <c r="A389" s="4"/>
      <c r="B389" s="5"/>
      <c r="C389" s="5"/>
      <c r="D389" s="43"/>
      <c r="E389" s="5"/>
      <c r="F389" s="5"/>
      <c r="G389" s="5"/>
      <c r="J389" s="6"/>
      <c r="L389" s="7"/>
      <c r="M389" s="7"/>
      <c r="N389" s="7"/>
      <c r="O389" s="7"/>
      <c r="P389" s="7"/>
      <c r="Q389" s="7"/>
    </row>
    <row r="390" spans="1:17" ht="15.75" customHeight="1">
      <c r="A390" s="4"/>
      <c r="B390" s="5"/>
      <c r="C390" s="5"/>
      <c r="D390" s="43"/>
      <c r="E390" s="5"/>
      <c r="F390" s="5"/>
      <c r="G390" s="5"/>
      <c r="J390" s="6"/>
      <c r="L390" s="7"/>
      <c r="M390" s="7"/>
      <c r="N390" s="7"/>
      <c r="O390" s="7"/>
      <c r="P390" s="7"/>
      <c r="Q390" s="7"/>
    </row>
    <row r="391" spans="1:17" ht="15.75" customHeight="1">
      <c r="A391" s="4"/>
      <c r="B391" s="5"/>
      <c r="C391" s="5"/>
      <c r="D391" s="43"/>
      <c r="E391" s="5"/>
      <c r="F391" s="5"/>
      <c r="G391" s="5"/>
      <c r="J391" s="6"/>
      <c r="L391" s="7"/>
      <c r="M391" s="7"/>
      <c r="N391" s="7"/>
      <c r="O391" s="7"/>
      <c r="P391" s="7"/>
      <c r="Q391" s="7"/>
    </row>
    <row r="392" spans="1:17" ht="15.75" customHeight="1">
      <c r="A392" s="4"/>
      <c r="B392" s="5"/>
      <c r="C392" s="5"/>
      <c r="D392" s="43"/>
      <c r="E392" s="5"/>
      <c r="F392" s="5"/>
      <c r="G392" s="5"/>
      <c r="J392" s="6"/>
      <c r="L392" s="7"/>
      <c r="M392" s="7"/>
      <c r="N392" s="7"/>
      <c r="O392" s="7"/>
      <c r="P392" s="7"/>
      <c r="Q392" s="7"/>
    </row>
    <row r="393" spans="1:17" ht="15.75" customHeight="1">
      <c r="A393" s="4"/>
      <c r="B393" s="5"/>
      <c r="C393" s="5"/>
      <c r="D393" s="43"/>
      <c r="E393" s="5"/>
      <c r="F393" s="5"/>
      <c r="G393" s="5"/>
      <c r="J393" s="6"/>
      <c r="L393" s="7"/>
      <c r="M393" s="7"/>
      <c r="N393" s="7"/>
      <c r="O393" s="7"/>
      <c r="P393" s="7"/>
      <c r="Q393" s="7"/>
    </row>
    <row r="394" spans="1:17" ht="15.75" customHeight="1">
      <c r="A394" s="4"/>
      <c r="B394" s="5"/>
      <c r="C394" s="5"/>
      <c r="D394" s="43"/>
      <c r="E394" s="5"/>
      <c r="F394" s="5"/>
      <c r="G394" s="5"/>
      <c r="J394" s="6"/>
      <c r="L394" s="7"/>
      <c r="M394" s="7"/>
      <c r="N394" s="7"/>
      <c r="O394" s="7"/>
      <c r="P394" s="7"/>
      <c r="Q394" s="7"/>
    </row>
    <row r="395" spans="1:17" ht="15.75" customHeight="1">
      <c r="A395" s="4"/>
      <c r="B395" s="5"/>
      <c r="C395" s="5"/>
      <c r="D395" s="43"/>
      <c r="E395" s="5"/>
      <c r="F395" s="5"/>
      <c r="G395" s="5"/>
      <c r="J395" s="6"/>
      <c r="L395" s="7"/>
      <c r="M395" s="7"/>
      <c r="N395" s="7"/>
      <c r="O395" s="7"/>
      <c r="P395" s="7"/>
      <c r="Q395" s="7"/>
    </row>
    <row r="396" spans="1:17" ht="15.75" customHeight="1">
      <c r="A396" s="4"/>
      <c r="B396" s="5"/>
      <c r="C396" s="5"/>
      <c r="D396" s="43"/>
      <c r="E396" s="5"/>
      <c r="F396" s="5"/>
      <c r="G396" s="5"/>
      <c r="J396" s="6"/>
      <c r="L396" s="7"/>
      <c r="M396" s="7"/>
      <c r="N396" s="7"/>
      <c r="O396" s="7"/>
      <c r="P396" s="7"/>
      <c r="Q396" s="7"/>
    </row>
    <row r="397" spans="1:17" ht="15.75" customHeight="1">
      <c r="A397" s="4"/>
      <c r="B397" s="5"/>
      <c r="C397" s="5"/>
      <c r="D397" s="43"/>
      <c r="E397" s="5"/>
      <c r="F397" s="5"/>
      <c r="G397" s="5"/>
      <c r="J397" s="6"/>
      <c r="L397" s="7"/>
      <c r="M397" s="7"/>
      <c r="N397" s="7"/>
      <c r="O397" s="7"/>
      <c r="P397" s="7"/>
      <c r="Q397" s="7"/>
    </row>
    <row r="398" spans="1:17" ht="15.75" customHeight="1">
      <c r="A398" s="4"/>
      <c r="B398" s="5"/>
      <c r="C398" s="5"/>
      <c r="D398" s="43"/>
      <c r="E398" s="5"/>
      <c r="F398" s="5"/>
      <c r="G398" s="5"/>
      <c r="J398" s="6"/>
      <c r="L398" s="7"/>
      <c r="M398" s="7"/>
      <c r="N398" s="7"/>
      <c r="O398" s="7"/>
      <c r="P398" s="7"/>
      <c r="Q398" s="7"/>
    </row>
    <row r="399" spans="1:17" ht="15.75" customHeight="1">
      <c r="A399" s="4"/>
      <c r="B399" s="5"/>
      <c r="C399" s="5"/>
      <c r="D399" s="43"/>
      <c r="E399" s="5"/>
      <c r="F399" s="5"/>
      <c r="G399" s="5"/>
      <c r="J399" s="6"/>
      <c r="L399" s="7"/>
      <c r="M399" s="7"/>
      <c r="N399" s="7"/>
      <c r="O399" s="7"/>
      <c r="P399" s="7"/>
      <c r="Q399" s="7"/>
    </row>
    <row r="400" spans="1:17" ht="15.75" customHeight="1">
      <c r="A400" s="4"/>
      <c r="B400" s="5"/>
      <c r="C400" s="5"/>
      <c r="D400" s="43"/>
      <c r="E400" s="5"/>
      <c r="F400" s="5"/>
      <c r="G400" s="5"/>
      <c r="J400" s="6"/>
      <c r="L400" s="7"/>
      <c r="M400" s="7"/>
      <c r="N400" s="7"/>
      <c r="O400" s="7"/>
      <c r="P400" s="7"/>
      <c r="Q400" s="7"/>
    </row>
    <row r="401" spans="1:17" ht="15.75" customHeight="1">
      <c r="A401" s="4"/>
      <c r="B401" s="5"/>
      <c r="C401" s="5"/>
      <c r="D401" s="43"/>
      <c r="E401" s="5"/>
      <c r="F401" s="5"/>
      <c r="G401" s="5"/>
      <c r="J401" s="6"/>
      <c r="L401" s="7"/>
      <c r="M401" s="7"/>
      <c r="N401" s="7"/>
      <c r="O401" s="7"/>
      <c r="P401" s="7"/>
      <c r="Q401" s="7"/>
    </row>
    <row r="402" spans="1:17" ht="15.75" customHeight="1">
      <c r="A402" s="4"/>
      <c r="B402" s="5"/>
      <c r="C402" s="5"/>
      <c r="D402" s="43"/>
      <c r="E402" s="5"/>
      <c r="F402" s="5"/>
      <c r="G402" s="5"/>
      <c r="J402" s="6"/>
      <c r="L402" s="7"/>
      <c r="M402" s="7"/>
      <c r="N402" s="7"/>
      <c r="O402" s="7"/>
      <c r="P402" s="7"/>
      <c r="Q402" s="7"/>
    </row>
    <row r="403" spans="1:17" ht="15.75" customHeight="1">
      <c r="A403" s="4"/>
      <c r="B403" s="5"/>
      <c r="C403" s="5"/>
      <c r="D403" s="43"/>
      <c r="E403" s="5"/>
      <c r="F403" s="5"/>
      <c r="G403" s="5"/>
      <c r="J403" s="6"/>
      <c r="L403" s="7"/>
      <c r="M403" s="7"/>
      <c r="N403" s="7"/>
      <c r="O403" s="7"/>
      <c r="P403" s="7"/>
      <c r="Q403" s="7"/>
    </row>
    <row r="404" spans="1:17" ht="15.75" customHeight="1">
      <c r="A404" s="4"/>
      <c r="B404" s="5"/>
      <c r="C404" s="5"/>
      <c r="D404" s="43"/>
      <c r="E404" s="5"/>
      <c r="F404" s="5"/>
      <c r="G404" s="5"/>
      <c r="J404" s="6"/>
      <c r="L404" s="7"/>
      <c r="M404" s="7"/>
      <c r="N404" s="7"/>
      <c r="O404" s="7"/>
      <c r="P404" s="7"/>
      <c r="Q404" s="7"/>
    </row>
    <row r="405" spans="1:17" ht="15.75" customHeight="1">
      <c r="A405" s="4"/>
      <c r="B405" s="5"/>
      <c r="C405" s="5"/>
      <c r="D405" s="43"/>
      <c r="E405" s="5"/>
      <c r="F405" s="5"/>
      <c r="G405" s="5"/>
      <c r="J405" s="6"/>
      <c r="L405" s="7"/>
      <c r="M405" s="7"/>
      <c r="N405" s="7"/>
      <c r="O405" s="7"/>
      <c r="P405" s="7"/>
      <c r="Q405" s="7"/>
    </row>
    <row r="406" spans="1:17" ht="15.75" customHeight="1">
      <c r="A406" s="4"/>
      <c r="B406" s="5"/>
      <c r="C406" s="5"/>
      <c r="D406" s="43"/>
      <c r="E406" s="5"/>
      <c r="F406" s="5"/>
      <c r="G406" s="5"/>
      <c r="J406" s="6"/>
      <c r="L406" s="7"/>
      <c r="M406" s="7"/>
      <c r="N406" s="7"/>
      <c r="O406" s="7"/>
      <c r="P406" s="7"/>
      <c r="Q406" s="7"/>
    </row>
    <row r="407" spans="1:17" ht="15.75" customHeight="1">
      <c r="A407" s="4"/>
      <c r="B407" s="5"/>
      <c r="C407" s="5"/>
      <c r="D407" s="43"/>
      <c r="E407" s="5"/>
      <c r="F407" s="5"/>
      <c r="G407" s="5"/>
      <c r="J407" s="6"/>
      <c r="L407" s="7"/>
      <c r="M407" s="7"/>
      <c r="N407" s="7"/>
      <c r="O407" s="7"/>
      <c r="P407" s="7"/>
      <c r="Q407" s="7"/>
    </row>
    <row r="408" spans="1:17" ht="15.75" customHeight="1">
      <c r="A408" s="4"/>
      <c r="B408" s="5"/>
      <c r="C408" s="5"/>
      <c r="D408" s="43"/>
      <c r="E408" s="5"/>
      <c r="F408" s="5"/>
      <c r="G408" s="5"/>
      <c r="J408" s="6"/>
      <c r="L408" s="7"/>
      <c r="M408" s="7"/>
      <c r="N408" s="7"/>
      <c r="O408" s="7"/>
      <c r="P408" s="7"/>
      <c r="Q408" s="7"/>
    </row>
    <row r="409" spans="1:17" ht="15.75" customHeight="1">
      <c r="A409" s="4"/>
      <c r="B409" s="5"/>
      <c r="C409" s="5"/>
      <c r="D409" s="43"/>
      <c r="E409" s="5"/>
      <c r="F409" s="5"/>
      <c r="G409" s="5"/>
      <c r="J409" s="6"/>
      <c r="L409" s="7"/>
      <c r="M409" s="7"/>
      <c r="N409" s="7"/>
      <c r="O409" s="7"/>
      <c r="P409" s="7"/>
      <c r="Q409" s="7"/>
    </row>
    <row r="410" spans="1:17" ht="15.75" customHeight="1">
      <c r="A410" s="4"/>
      <c r="B410" s="5"/>
      <c r="C410" s="5"/>
      <c r="D410" s="43"/>
      <c r="E410" s="5"/>
      <c r="F410" s="5"/>
      <c r="G410" s="5"/>
      <c r="J410" s="6"/>
      <c r="L410" s="7"/>
      <c r="M410" s="7"/>
      <c r="N410" s="7"/>
      <c r="O410" s="7"/>
      <c r="P410" s="7"/>
      <c r="Q410" s="7"/>
    </row>
    <row r="411" spans="1:17" ht="15.75" customHeight="1">
      <c r="A411" s="4"/>
      <c r="B411" s="5"/>
      <c r="C411" s="5"/>
      <c r="D411" s="43"/>
      <c r="E411" s="5"/>
      <c r="F411" s="5"/>
      <c r="G411" s="5"/>
      <c r="J411" s="6"/>
      <c r="L411" s="7"/>
      <c r="M411" s="7"/>
      <c r="N411" s="7"/>
      <c r="O411" s="7"/>
      <c r="P411" s="7"/>
      <c r="Q411" s="7"/>
    </row>
    <row r="412" spans="1:17" ht="15.75" customHeight="1">
      <c r="A412" s="4"/>
      <c r="B412" s="5"/>
      <c r="C412" s="5"/>
      <c r="D412" s="43"/>
      <c r="E412" s="5"/>
      <c r="F412" s="5"/>
      <c r="G412" s="5"/>
      <c r="J412" s="6"/>
      <c r="L412" s="7"/>
      <c r="M412" s="7"/>
      <c r="N412" s="7"/>
      <c r="O412" s="7"/>
      <c r="P412" s="7"/>
      <c r="Q412" s="7"/>
    </row>
    <row r="413" spans="1:17" ht="15.75" customHeight="1">
      <c r="A413" s="4"/>
      <c r="B413" s="5"/>
      <c r="C413" s="5"/>
      <c r="D413" s="43"/>
      <c r="E413" s="5"/>
      <c r="F413" s="5"/>
      <c r="G413" s="5"/>
      <c r="J413" s="6"/>
      <c r="L413" s="7"/>
      <c r="M413" s="7"/>
      <c r="N413" s="7"/>
      <c r="O413" s="7"/>
      <c r="P413" s="7"/>
      <c r="Q413" s="7"/>
    </row>
    <row r="414" spans="1:17" ht="15.75" customHeight="1">
      <c r="A414" s="4"/>
      <c r="B414" s="5"/>
      <c r="C414" s="5"/>
      <c r="D414" s="43"/>
      <c r="E414" s="5"/>
      <c r="F414" s="5"/>
      <c r="G414" s="5"/>
      <c r="J414" s="6"/>
      <c r="L414" s="7"/>
      <c r="M414" s="7"/>
      <c r="N414" s="7"/>
      <c r="O414" s="7"/>
      <c r="P414" s="7"/>
      <c r="Q414" s="7"/>
    </row>
    <row r="415" spans="1:17" ht="15.75" customHeight="1">
      <c r="A415" s="4"/>
      <c r="B415" s="5"/>
      <c r="C415" s="5"/>
      <c r="D415" s="43"/>
      <c r="E415" s="5"/>
      <c r="F415" s="5"/>
      <c r="G415" s="5"/>
      <c r="J415" s="6"/>
      <c r="L415" s="7"/>
      <c r="M415" s="7"/>
      <c r="N415" s="7"/>
      <c r="O415" s="7"/>
      <c r="P415" s="7"/>
      <c r="Q415" s="7"/>
    </row>
    <row r="416" spans="1:17" ht="15.75" customHeight="1">
      <c r="A416" s="4"/>
      <c r="B416" s="5"/>
      <c r="C416" s="5"/>
      <c r="D416" s="43"/>
      <c r="E416" s="5"/>
      <c r="F416" s="5"/>
      <c r="G416" s="5"/>
      <c r="J416" s="6"/>
      <c r="L416" s="7"/>
      <c r="M416" s="7"/>
      <c r="N416" s="7"/>
      <c r="O416" s="7"/>
      <c r="P416" s="7"/>
      <c r="Q416" s="7"/>
    </row>
    <row r="417" spans="1:17" ht="15.75" customHeight="1">
      <c r="A417" s="4"/>
      <c r="B417" s="5"/>
      <c r="C417" s="5"/>
      <c r="D417" s="43"/>
      <c r="E417" s="5"/>
      <c r="F417" s="5"/>
      <c r="G417" s="5"/>
      <c r="J417" s="6"/>
      <c r="L417" s="7"/>
      <c r="M417" s="7"/>
      <c r="N417" s="7"/>
      <c r="O417" s="7"/>
      <c r="P417" s="7"/>
      <c r="Q417" s="7"/>
    </row>
    <row r="418" spans="1:17" ht="15.75" customHeight="1">
      <c r="A418" s="4"/>
      <c r="B418" s="5"/>
      <c r="C418" s="5"/>
      <c r="D418" s="43"/>
      <c r="E418" s="5"/>
      <c r="F418" s="5"/>
      <c r="G418" s="5"/>
      <c r="J418" s="6"/>
      <c r="L418" s="7"/>
      <c r="M418" s="7"/>
      <c r="N418" s="7"/>
      <c r="O418" s="7"/>
      <c r="P418" s="7"/>
      <c r="Q418" s="7"/>
    </row>
    <row r="419" spans="1:17" ht="15.75" customHeight="1">
      <c r="A419" s="4"/>
      <c r="B419" s="5"/>
      <c r="C419" s="5"/>
      <c r="D419" s="43"/>
      <c r="E419" s="5"/>
      <c r="F419" s="5"/>
      <c r="G419" s="5"/>
      <c r="J419" s="6"/>
      <c r="L419" s="7"/>
      <c r="M419" s="7"/>
      <c r="N419" s="7"/>
      <c r="O419" s="7"/>
      <c r="P419" s="7"/>
      <c r="Q419" s="7"/>
    </row>
    <row r="420" spans="1:17" ht="15.75" customHeight="1">
      <c r="A420" s="4"/>
      <c r="B420" s="5"/>
      <c r="C420" s="5"/>
      <c r="D420" s="43"/>
      <c r="E420" s="5"/>
      <c r="F420" s="5"/>
      <c r="G420" s="5"/>
      <c r="J420" s="6"/>
      <c r="L420" s="7"/>
      <c r="M420" s="7"/>
      <c r="N420" s="7"/>
      <c r="O420" s="7"/>
      <c r="P420" s="7"/>
      <c r="Q420" s="7"/>
    </row>
    <row r="421" spans="1:17" ht="15.75" customHeight="1">
      <c r="A421" s="4"/>
      <c r="B421" s="5"/>
      <c r="C421" s="5"/>
      <c r="D421" s="43"/>
      <c r="E421" s="5"/>
      <c r="F421" s="5"/>
      <c r="G421" s="5"/>
      <c r="J421" s="6"/>
      <c r="L421" s="7"/>
      <c r="M421" s="7"/>
      <c r="N421" s="7"/>
      <c r="O421" s="7"/>
      <c r="P421" s="7"/>
      <c r="Q421" s="7"/>
    </row>
    <row r="422" spans="1:17" ht="15.75" customHeight="1">
      <c r="A422" s="4"/>
      <c r="B422" s="5"/>
      <c r="C422" s="5"/>
      <c r="D422" s="43"/>
      <c r="E422" s="5"/>
      <c r="F422" s="5"/>
      <c r="G422" s="5"/>
      <c r="J422" s="6"/>
      <c r="L422" s="7"/>
      <c r="M422" s="7"/>
      <c r="N422" s="7"/>
      <c r="O422" s="7"/>
      <c r="P422" s="7"/>
      <c r="Q422" s="7"/>
    </row>
    <row r="423" spans="1:17" ht="15.75" customHeight="1">
      <c r="A423" s="4"/>
      <c r="B423" s="5"/>
      <c r="C423" s="5"/>
      <c r="D423" s="43"/>
      <c r="E423" s="5"/>
      <c r="F423" s="5"/>
      <c r="G423" s="5"/>
      <c r="J423" s="6"/>
      <c r="L423" s="7"/>
      <c r="M423" s="7"/>
      <c r="N423" s="7"/>
      <c r="O423" s="7"/>
      <c r="P423" s="7"/>
      <c r="Q423" s="7"/>
    </row>
    <row r="424" spans="1:17" ht="15.75" customHeight="1">
      <c r="A424" s="4"/>
      <c r="B424" s="5"/>
      <c r="C424" s="5"/>
      <c r="D424" s="43"/>
      <c r="E424" s="5"/>
      <c r="F424" s="5"/>
      <c r="G424" s="5"/>
      <c r="J424" s="6"/>
      <c r="L424" s="7"/>
      <c r="M424" s="7"/>
      <c r="N424" s="7"/>
      <c r="O424" s="7"/>
      <c r="P424" s="7"/>
      <c r="Q424" s="7"/>
    </row>
    <row r="425" spans="1:17" ht="15.75" customHeight="1">
      <c r="A425" s="4"/>
      <c r="B425" s="5"/>
      <c r="C425" s="5"/>
      <c r="D425" s="43"/>
      <c r="E425" s="5"/>
      <c r="F425" s="5"/>
      <c r="G425" s="5"/>
      <c r="J425" s="6"/>
      <c r="L425" s="7"/>
      <c r="M425" s="7"/>
      <c r="N425" s="7"/>
      <c r="O425" s="7"/>
      <c r="P425" s="7"/>
      <c r="Q425" s="7"/>
    </row>
    <row r="426" spans="1:17" ht="15.75" customHeight="1">
      <c r="A426" s="4"/>
      <c r="B426" s="5"/>
      <c r="C426" s="5"/>
      <c r="D426" s="43"/>
      <c r="E426" s="5"/>
      <c r="F426" s="5"/>
      <c r="G426" s="5"/>
      <c r="J426" s="6"/>
      <c r="L426" s="7"/>
      <c r="M426" s="7"/>
      <c r="N426" s="7"/>
      <c r="O426" s="7"/>
      <c r="P426" s="7"/>
      <c r="Q426" s="7"/>
    </row>
    <row r="427" spans="1:17" ht="15.75" customHeight="1">
      <c r="A427" s="4"/>
      <c r="B427" s="5"/>
      <c r="C427" s="5"/>
      <c r="D427" s="43"/>
      <c r="E427" s="5"/>
      <c r="F427" s="5"/>
      <c r="G427" s="5"/>
      <c r="J427" s="6"/>
      <c r="L427" s="7"/>
      <c r="M427" s="7"/>
      <c r="N427" s="7"/>
      <c r="O427" s="7"/>
      <c r="P427" s="7"/>
      <c r="Q427" s="7"/>
    </row>
    <row r="428" spans="1:17" ht="15.75" customHeight="1">
      <c r="A428" s="4"/>
      <c r="B428" s="5"/>
      <c r="C428" s="5"/>
      <c r="D428" s="43"/>
      <c r="E428" s="5"/>
      <c r="F428" s="5"/>
      <c r="G428" s="5"/>
      <c r="J428" s="6"/>
      <c r="L428" s="7"/>
      <c r="M428" s="7"/>
      <c r="N428" s="7"/>
      <c r="O428" s="7"/>
      <c r="P428" s="7"/>
      <c r="Q428" s="7"/>
    </row>
    <row r="429" spans="1:17" ht="15.75" customHeight="1">
      <c r="A429" s="4"/>
      <c r="B429" s="5"/>
      <c r="C429" s="5"/>
      <c r="D429" s="43"/>
      <c r="E429" s="5"/>
      <c r="F429" s="5"/>
      <c r="G429" s="5"/>
      <c r="J429" s="6"/>
      <c r="L429" s="7"/>
      <c r="M429" s="7"/>
      <c r="N429" s="7"/>
      <c r="O429" s="7"/>
      <c r="P429" s="7"/>
      <c r="Q429" s="7"/>
    </row>
    <row r="430" spans="1:17" ht="15.75" customHeight="1">
      <c r="A430" s="4"/>
      <c r="B430" s="5"/>
      <c r="C430" s="5"/>
      <c r="D430" s="43"/>
      <c r="E430" s="5"/>
      <c r="F430" s="5"/>
      <c r="G430" s="5"/>
      <c r="J430" s="6"/>
      <c r="L430" s="7"/>
      <c r="M430" s="7"/>
      <c r="N430" s="7"/>
      <c r="O430" s="7"/>
      <c r="P430" s="7"/>
      <c r="Q430" s="7"/>
    </row>
    <row r="431" spans="1:17" ht="15.75" customHeight="1">
      <c r="A431" s="4"/>
      <c r="B431" s="5"/>
      <c r="C431" s="5"/>
      <c r="D431" s="43"/>
      <c r="E431" s="5"/>
      <c r="F431" s="5"/>
      <c r="G431" s="5"/>
      <c r="J431" s="6"/>
      <c r="L431" s="7"/>
      <c r="M431" s="7"/>
      <c r="N431" s="7"/>
      <c r="O431" s="7"/>
      <c r="P431" s="7"/>
      <c r="Q431" s="7"/>
    </row>
    <row r="432" spans="1:17" ht="15.75" customHeight="1">
      <c r="A432" s="4"/>
      <c r="B432" s="5"/>
      <c r="C432" s="5"/>
      <c r="D432" s="43"/>
      <c r="E432" s="5"/>
      <c r="F432" s="5"/>
      <c r="G432" s="5"/>
      <c r="J432" s="6"/>
      <c r="L432" s="7"/>
      <c r="M432" s="7"/>
      <c r="N432" s="7"/>
      <c r="O432" s="7"/>
      <c r="P432" s="7"/>
      <c r="Q432" s="7"/>
    </row>
    <row r="433" spans="1:17" ht="15.75" customHeight="1">
      <c r="A433" s="4"/>
      <c r="B433" s="5"/>
      <c r="C433" s="5"/>
      <c r="D433" s="43"/>
      <c r="E433" s="5"/>
      <c r="F433" s="5"/>
      <c r="G433" s="5"/>
      <c r="J433" s="6"/>
      <c r="L433" s="7"/>
      <c r="M433" s="7"/>
      <c r="N433" s="7"/>
      <c r="O433" s="7"/>
      <c r="P433" s="7"/>
      <c r="Q433" s="7"/>
    </row>
    <row r="434" spans="1:17" ht="15.75" customHeight="1">
      <c r="A434" s="4"/>
      <c r="B434" s="5"/>
      <c r="C434" s="5"/>
      <c r="D434" s="43"/>
      <c r="E434" s="5"/>
      <c r="F434" s="5"/>
      <c r="G434" s="5"/>
      <c r="J434" s="6"/>
      <c r="L434" s="7"/>
      <c r="M434" s="7"/>
      <c r="N434" s="7"/>
      <c r="O434" s="7"/>
      <c r="P434" s="7"/>
      <c r="Q434" s="7"/>
    </row>
    <row r="435" spans="1:17" ht="15.75" customHeight="1">
      <c r="A435" s="4"/>
      <c r="B435" s="5"/>
      <c r="C435" s="5"/>
      <c r="D435" s="43"/>
      <c r="E435" s="5"/>
      <c r="F435" s="5"/>
      <c r="G435" s="5"/>
      <c r="J435" s="6"/>
      <c r="L435" s="7"/>
      <c r="M435" s="7"/>
      <c r="N435" s="7"/>
      <c r="O435" s="7"/>
      <c r="P435" s="7"/>
      <c r="Q435" s="7"/>
    </row>
    <row r="436" spans="1:17" ht="15.75" customHeight="1">
      <c r="A436" s="4"/>
      <c r="B436" s="5"/>
      <c r="C436" s="5"/>
      <c r="D436" s="43"/>
      <c r="E436" s="5"/>
      <c r="F436" s="5"/>
      <c r="G436" s="5"/>
      <c r="J436" s="6"/>
      <c r="L436" s="7"/>
      <c r="M436" s="7"/>
      <c r="N436" s="7"/>
      <c r="O436" s="7"/>
      <c r="P436" s="7"/>
      <c r="Q436" s="7"/>
    </row>
    <row r="437" spans="1:17" ht="15.75" customHeight="1">
      <c r="A437" s="4"/>
      <c r="B437" s="5"/>
      <c r="C437" s="5"/>
      <c r="D437" s="43"/>
      <c r="E437" s="5"/>
      <c r="F437" s="5"/>
      <c r="G437" s="5"/>
      <c r="J437" s="6"/>
      <c r="L437" s="7"/>
      <c r="M437" s="7"/>
      <c r="N437" s="7"/>
      <c r="O437" s="7"/>
      <c r="P437" s="7"/>
      <c r="Q437" s="7"/>
    </row>
    <row r="438" spans="1:17" ht="15.75" customHeight="1">
      <c r="A438" s="4"/>
      <c r="B438" s="5"/>
      <c r="C438" s="5"/>
      <c r="D438" s="43"/>
      <c r="E438" s="5"/>
      <c r="F438" s="5"/>
      <c r="G438" s="5"/>
      <c r="J438" s="6"/>
      <c r="L438" s="7"/>
      <c r="M438" s="7"/>
      <c r="N438" s="7"/>
      <c r="O438" s="7"/>
      <c r="P438" s="7"/>
      <c r="Q438" s="7"/>
    </row>
    <row r="439" spans="1:17" ht="15.75" customHeight="1">
      <c r="A439" s="4"/>
      <c r="B439" s="5"/>
      <c r="C439" s="5"/>
      <c r="D439" s="43"/>
      <c r="E439" s="5"/>
      <c r="F439" s="5"/>
      <c r="G439" s="5"/>
      <c r="J439" s="6"/>
      <c r="L439" s="7"/>
      <c r="M439" s="7"/>
      <c r="N439" s="7"/>
      <c r="O439" s="7"/>
      <c r="P439" s="7"/>
      <c r="Q439" s="7"/>
    </row>
    <row r="440" spans="1:17" ht="15.75" customHeight="1">
      <c r="A440" s="4"/>
      <c r="B440" s="5"/>
      <c r="C440" s="5"/>
      <c r="D440" s="43"/>
      <c r="E440" s="5"/>
      <c r="F440" s="5"/>
      <c r="G440" s="5"/>
      <c r="J440" s="6"/>
      <c r="L440" s="7"/>
      <c r="M440" s="7"/>
      <c r="N440" s="7"/>
      <c r="O440" s="7"/>
      <c r="P440" s="7"/>
      <c r="Q440" s="7"/>
    </row>
    <row r="441" spans="1:17" ht="15.75" customHeight="1">
      <c r="A441" s="4"/>
      <c r="B441" s="5"/>
      <c r="C441" s="5"/>
      <c r="D441" s="43"/>
      <c r="E441" s="5"/>
      <c r="F441" s="5"/>
      <c r="G441" s="5"/>
      <c r="J441" s="6"/>
      <c r="L441" s="7"/>
      <c r="M441" s="7"/>
      <c r="N441" s="7"/>
      <c r="O441" s="7"/>
      <c r="P441" s="7"/>
      <c r="Q441" s="7"/>
    </row>
    <row r="442" spans="1:17" ht="15.75" customHeight="1">
      <c r="A442" s="4"/>
      <c r="B442" s="5"/>
      <c r="C442" s="5"/>
      <c r="D442" s="43"/>
      <c r="E442" s="5"/>
      <c r="F442" s="5"/>
      <c r="G442" s="5"/>
      <c r="J442" s="6"/>
      <c r="L442" s="7"/>
      <c r="M442" s="7"/>
      <c r="N442" s="7"/>
      <c r="O442" s="7"/>
      <c r="P442" s="7"/>
      <c r="Q442" s="7"/>
    </row>
    <row r="443" spans="1:17" ht="15.75" customHeight="1">
      <c r="A443" s="4"/>
      <c r="B443" s="5"/>
      <c r="C443" s="5"/>
      <c r="D443" s="43"/>
      <c r="E443" s="5"/>
      <c r="F443" s="5"/>
      <c r="G443" s="5"/>
      <c r="J443" s="6"/>
      <c r="L443" s="7"/>
      <c r="M443" s="7"/>
      <c r="N443" s="7"/>
      <c r="O443" s="7"/>
      <c r="P443" s="7"/>
      <c r="Q443" s="7"/>
    </row>
    <row r="444" spans="1:17" ht="15.75" customHeight="1">
      <c r="A444" s="4"/>
      <c r="B444" s="5"/>
      <c r="C444" s="5"/>
      <c r="D444" s="43"/>
      <c r="E444" s="5"/>
      <c r="F444" s="5"/>
      <c r="G444" s="5"/>
      <c r="J444" s="6"/>
      <c r="L444" s="7"/>
      <c r="M444" s="7"/>
      <c r="N444" s="7"/>
      <c r="O444" s="7"/>
      <c r="P444" s="7"/>
      <c r="Q444" s="7"/>
    </row>
    <row r="445" spans="1:17" ht="15.75" customHeight="1">
      <c r="A445" s="4"/>
      <c r="B445" s="5"/>
      <c r="C445" s="5"/>
      <c r="D445" s="43"/>
      <c r="E445" s="5"/>
      <c r="F445" s="5"/>
      <c r="G445" s="5"/>
      <c r="J445" s="6"/>
      <c r="L445" s="7"/>
      <c r="M445" s="7"/>
      <c r="N445" s="7"/>
      <c r="O445" s="7"/>
      <c r="P445" s="7"/>
      <c r="Q445" s="7"/>
    </row>
    <row r="446" spans="1:17" ht="15.75" customHeight="1">
      <c r="A446" s="4"/>
      <c r="B446" s="5"/>
      <c r="C446" s="5"/>
      <c r="D446" s="43"/>
      <c r="E446" s="5"/>
      <c r="F446" s="5"/>
      <c r="G446" s="5"/>
      <c r="J446" s="6"/>
      <c r="L446" s="7"/>
      <c r="M446" s="7"/>
      <c r="N446" s="7"/>
      <c r="O446" s="7"/>
      <c r="P446" s="7"/>
      <c r="Q446" s="7"/>
    </row>
    <row r="447" spans="1:17" ht="15.75" customHeight="1">
      <c r="A447" s="4"/>
      <c r="B447" s="5"/>
      <c r="C447" s="5"/>
      <c r="D447" s="43"/>
      <c r="E447" s="5"/>
      <c r="F447" s="5"/>
      <c r="G447" s="5"/>
      <c r="J447" s="6"/>
      <c r="L447" s="7"/>
      <c r="M447" s="7"/>
      <c r="N447" s="7"/>
      <c r="O447" s="7"/>
      <c r="P447" s="7"/>
      <c r="Q447" s="7"/>
    </row>
    <row r="448" spans="1:17" ht="15.75" customHeight="1">
      <c r="A448" s="4"/>
      <c r="B448" s="5"/>
      <c r="C448" s="5"/>
      <c r="D448" s="43"/>
      <c r="E448" s="5"/>
      <c r="F448" s="5"/>
      <c r="G448" s="5"/>
      <c r="J448" s="6"/>
      <c r="L448" s="7"/>
      <c r="M448" s="7"/>
      <c r="N448" s="7"/>
      <c r="O448" s="7"/>
      <c r="P448" s="7"/>
      <c r="Q448" s="7"/>
    </row>
    <row r="449" spans="1:17" ht="15.75" customHeight="1">
      <c r="A449" s="4"/>
      <c r="B449" s="5"/>
      <c r="C449" s="5"/>
      <c r="D449" s="43"/>
      <c r="E449" s="5"/>
      <c r="F449" s="5"/>
      <c r="G449" s="5"/>
      <c r="J449" s="6"/>
      <c r="L449" s="7"/>
      <c r="M449" s="7"/>
      <c r="N449" s="7"/>
      <c r="O449" s="7"/>
      <c r="P449" s="7"/>
      <c r="Q449" s="7"/>
    </row>
    <row r="450" spans="1:17" ht="15.75" customHeight="1">
      <c r="A450" s="4"/>
      <c r="B450" s="5"/>
      <c r="C450" s="5"/>
      <c r="D450" s="43"/>
      <c r="E450" s="5"/>
      <c r="F450" s="5"/>
      <c r="G450" s="5"/>
      <c r="J450" s="6"/>
      <c r="L450" s="7"/>
      <c r="M450" s="7"/>
      <c r="N450" s="7"/>
      <c r="O450" s="7"/>
      <c r="P450" s="7"/>
      <c r="Q450" s="7"/>
    </row>
    <row r="451" spans="1:17" ht="15.75" customHeight="1">
      <c r="A451" s="4"/>
      <c r="B451" s="5"/>
      <c r="C451" s="5"/>
      <c r="D451" s="43"/>
      <c r="E451" s="5"/>
      <c r="F451" s="5"/>
      <c r="G451" s="5"/>
      <c r="J451" s="6"/>
      <c r="L451" s="7"/>
      <c r="M451" s="7"/>
      <c r="N451" s="7"/>
      <c r="O451" s="7"/>
      <c r="P451" s="7"/>
      <c r="Q451" s="7"/>
    </row>
    <row r="452" spans="1:17" ht="15.75" customHeight="1">
      <c r="A452" s="4"/>
      <c r="B452" s="5"/>
      <c r="C452" s="5"/>
      <c r="D452" s="43"/>
      <c r="E452" s="5"/>
      <c r="F452" s="5"/>
      <c r="G452" s="5"/>
      <c r="J452" s="6"/>
      <c r="L452" s="7"/>
      <c r="M452" s="7"/>
      <c r="N452" s="7"/>
      <c r="O452" s="7"/>
      <c r="P452" s="7"/>
      <c r="Q452" s="7"/>
    </row>
    <row r="453" spans="1:17" ht="15.75" customHeight="1">
      <c r="A453" s="4"/>
      <c r="B453" s="5"/>
      <c r="C453" s="5"/>
      <c r="D453" s="43"/>
      <c r="E453" s="5"/>
      <c r="F453" s="5"/>
      <c r="G453" s="5"/>
      <c r="J453" s="6"/>
      <c r="L453" s="7"/>
      <c r="M453" s="7"/>
      <c r="N453" s="7"/>
      <c r="O453" s="7"/>
      <c r="P453" s="7"/>
      <c r="Q453" s="7"/>
    </row>
    <row r="454" spans="1:17" ht="15.75" customHeight="1">
      <c r="A454" s="4"/>
      <c r="B454" s="5"/>
      <c r="C454" s="5"/>
      <c r="D454" s="43"/>
      <c r="E454" s="5"/>
      <c r="F454" s="5"/>
      <c r="G454" s="5"/>
      <c r="J454" s="6"/>
      <c r="L454" s="7"/>
      <c r="M454" s="7"/>
      <c r="N454" s="7"/>
      <c r="O454" s="7"/>
      <c r="P454" s="7"/>
      <c r="Q454" s="7"/>
    </row>
    <row r="455" spans="1:17" ht="15.75" customHeight="1">
      <c r="A455" s="4"/>
      <c r="B455" s="5"/>
      <c r="C455" s="5"/>
      <c r="D455" s="43"/>
      <c r="E455" s="5"/>
      <c r="F455" s="5"/>
      <c r="G455" s="5"/>
      <c r="J455" s="6"/>
      <c r="L455" s="7"/>
      <c r="M455" s="7"/>
      <c r="N455" s="7"/>
      <c r="O455" s="7"/>
      <c r="P455" s="7"/>
      <c r="Q455" s="7"/>
    </row>
    <row r="456" spans="1:17" ht="15.75" customHeight="1">
      <c r="A456" s="4"/>
      <c r="B456" s="5"/>
      <c r="C456" s="5"/>
      <c r="D456" s="43"/>
      <c r="E456" s="5"/>
      <c r="F456" s="5"/>
      <c r="G456" s="5"/>
      <c r="J456" s="6"/>
      <c r="L456" s="7"/>
      <c r="M456" s="7"/>
      <c r="N456" s="7"/>
      <c r="O456" s="7"/>
      <c r="P456" s="7"/>
      <c r="Q456" s="7"/>
    </row>
    <row r="457" spans="1:17" ht="15.75" customHeight="1">
      <c r="A457" s="4"/>
      <c r="B457" s="5"/>
      <c r="C457" s="5"/>
      <c r="D457" s="43"/>
      <c r="E457" s="5"/>
      <c r="F457" s="5"/>
      <c r="G457" s="5"/>
      <c r="J457" s="6"/>
      <c r="L457" s="7"/>
      <c r="M457" s="7"/>
      <c r="N457" s="7"/>
      <c r="O457" s="7"/>
      <c r="P457" s="7"/>
      <c r="Q457" s="7"/>
    </row>
    <row r="458" spans="1:17" ht="15.75" customHeight="1">
      <c r="A458" s="4"/>
      <c r="B458" s="5"/>
      <c r="C458" s="5"/>
      <c r="D458" s="43"/>
      <c r="E458" s="5"/>
      <c r="F458" s="5"/>
      <c r="G458" s="5"/>
      <c r="J458" s="6"/>
      <c r="L458" s="7"/>
      <c r="M458" s="7"/>
      <c r="N458" s="7"/>
      <c r="O458" s="7"/>
      <c r="P458" s="7"/>
      <c r="Q458" s="7"/>
    </row>
    <row r="459" spans="1:17" ht="15.75" customHeight="1">
      <c r="A459" s="4"/>
      <c r="B459" s="5"/>
      <c r="C459" s="5"/>
      <c r="D459" s="43"/>
      <c r="E459" s="5"/>
      <c r="F459" s="5"/>
      <c r="G459" s="5"/>
      <c r="J459" s="6"/>
      <c r="L459" s="7"/>
      <c r="M459" s="7"/>
      <c r="N459" s="7"/>
      <c r="O459" s="7"/>
      <c r="P459" s="7"/>
      <c r="Q459" s="7"/>
    </row>
    <row r="460" spans="1:17" ht="15.75" customHeight="1">
      <c r="A460" s="4"/>
      <c r="B460" s="5"/>
      <c r="C460" s="5"/>
      <c r="D460" s="43"/>
      <c r="E460" s="5"/>
      <c r="F460" s="5"/>
      <c r="G460" s="5"/>
      <c r="J460" s="6"/>
      <c r="L460" s="7"/>
      <c r="M460" s="7"/>
      <c r="N460" s="7"/>
      <c r="O460" s="7"/>
      <c r="P460" s="7"/>
      <c r="Q460" s="7"/>
    </row>
    <row r="461" spans="1:17" ht="15.75" customHeight="1">
      <c r="A461" s="4"/>
      <c r="B461" s="5"/>
      <c r="C461" s="5"/>
      <c r="D461" s="43"/>
      <c r="E461" s="5"/>
      <c r="F461" s="5"/>
      <c r="G461" s="5"/>
      <c r="J461" s="6"/>
      <c r="L461" s="7"/>
      <c r="M461" s="7"/>
      <c r="N461" s="7"/>
      <c r="O461" s="7"/>
      <c r="P461" s="7"/>
      <c r="Q461" s="7"/>
    </row>
    <row r="462" spans="1:17" ht="15.75" customHeight="1">
      <c r="A462" s="4"/>
      <c r="B462" s="5"/>
      <c r="C462" s="5"/>
      <c r="D462" s="43"/>
      <c r="E462" s="5"/>
      <c r="F462" s="5"/>
      <c r="G462" s="5"/>
      <c r="J462" s="6"/>
      <c r="L462" s="7"/>
      <c r="M462" s="7"/>
      <c r="N462" s="7"/>
      <c r="O462" s="7"/>
      <c r="P462" s="7"/>
      <c r="Q462" s="7"/>
    </row>
    <row r="463" spans="1:17" ht="15.75" customHeight="1">
      <c r="A463" s="4"/>
      <c r="B463" s="5"/>
      <c r="C463" s="5"/>
      <c r="D463" s="43"/>
      <c r="E463" s="5"/>
      <c r="F463" s="5"/>
      <c r="G463" s="5"/>
      <c r="J463" s="6"/>
      <c r="L463" s="7"/>
      <c r="M463" s="7"/>
      <c r="N463" s="7"/>
      <c r="O463" s="7"/>
      <c r="P463" s="7"/>
      <c r="Q463" s="7"/>
    </row>
    <row r="464" spans="1:17" ht="15.75" customHeight="1">
      <c r="A464" s="4"/>
      <c r="B464" s="5"/>
      <c r="C464" s="5"/>
      <c r="D464" s="43"/>
      <c r="E464" s="5"/>
      <c r="F464" s="5"/>
      <c r="G464" s="5"/>
      <c r="J464" s="6"/>
      <c r="L464" s="7"/>
      <c r="M464" s="7"/>
      <c r="N464" s="7"/>
      <c r="O464" s="7"/>
      <c r="P464" s="7"/>
      <c r="Q464" s="7"/>
    </row>
    <row r="465" spans="1:17" ht="15.75" customHeight="1">
      <c r="A465" s="4"/>
      <c r="B465" s="5"/>
      <c r="C465" s="5"/>
      <c r="D465" s="43"/>
      <c r="E465" s="5"/>
      <c r="F465" s="5"/>
      <c r="G465" s="5"/>
      <c r="J465" s="6"/>
      <c r="L465" s="7"/>
      <c r="M465" s="7"/>
      <c r="N465" s="7"/>
      <c r="O465" s="7"/>
      <c r="P465" s="7"/>
      <c r="Q465" s="7"/>
    </row>
    <row r="466" spans="1:17" ht="15.75" customHeight="1">
      <c r="A466" s="4"/>
      <c r="B466" s="5"/>
      <c r="C466" s="5"/>
      <c r="D466" s="43"/>
      <c r="E466" s="5"/>
      <c r="F466" s="5"/>
      <c r="G466" s="5"/>
      <c r="J466" s="6"/>
      <c r="L466" s="7"/>
      <c r="M466" s="7"/>
      <c r="N466" s="7"/>
      <c r="O466" s="7"/>
      <c r="P466" s="7"/>
      <c r="Q466" s="7"/>
    </row>
    <row r="467" spans="1:17" ht="15.75" customHeight="1">
      <c r="A467" s="4"/>
      <c r="B467" s="5"/>
      <c r="C467" s="5"/>
      <c r="D467" s="43"/>
      <c r="E467" s="5"/>
      <c r="F467" s="5"/>
      <c r="G467" s="5"/>
      <c r="J467" s="6"/>
      <c r="L467" s="7"/>
      <c r="M467" s="7"/>
      <c r="N467" s="7"/>
      <c r="O467" s="7"/>
      <c r="P467" s="7"/>
      <c r="Q467" s="7"/>
    </row>
    <row r="468" spans="1:17" ht="15.75" customHeight="1">
      <c r="A468" s="4"/>
      <c r="B468" s="5"/>
      <c r="C468" s="5"/>
      <c r="D468" s="43"/>
      <c r="E468" s="5"/>
      <c r="F468" s="5"/>
      <c r="G468" s="5"/>
      <c r="J468" s="6"/>
      <c r="L468" s="7"/>
      <c r="M468" s="7"/>
      <c r="N468" s="7"/>
      <c r="O468" s="7"/>
      <c r="P468" s="7"/>
      <c r="Q468" s="7"/>
    </row>
    <row r="469" spans="1:17" ht="15.75" customHeight="1">
      <c r="A469" s="4"/>
      <c r="B469" s="5"/>
      <c r="C469" s="5"/>
      <c r="D469" s="43"/>
      <c r="E469" s="5"/>
      <c r="F469" s="5"/>
      <c r="G469" s="5"/>
      <c r="J469" s="6"/>
      <c r="L469" s="7"/>
      <c r="M469" s="7"/>
      <c r="N469" s="7"/>
      <c r="O469" s="7"/>
      <c r="P469" s="7"/>
      <c r="Q469" s="7"/>
    </row>
    <row r="470" spans="1:17" ht="15.75" customHeight="1">
      <c r="A470" s="4"/>
      <c r="B470" s="5"/>
      <c r="C470" s="5"/>
      <c r="D470" s="43"/>
      <c r="E470" s="5"/>
      <c r="F470" s="5"/>
      <c r="G470" s="5"/>
      <c r="J470" s="6"/>
      <c r="L470" s="7"/>
      <c r="M470" s="7"/>
      <c r="N470" s="7"/>
      <c r="O470" s="7"/>
      <c r="P470" s="7"/>
      <c r="Q470" s="7"/>
    </row>
    <row r="471" spans="1:17" ht="15.75" customHeight="1">
      <c r="A471" s="4"/>
      <c r="B471" s="5"/>
      <c r="C471" s="5"/>
      <c r="D471" s="43"/>
      <c r="E471" s="5"/>
      <c r="F471" s="5"/>
      <c r="G471" s="5"/>
      <c r="J471" s="6"/>
      <c r="L471" s="7"/>
      <c r="M471" s="7"/>
      <c r="N471" s="7"/>
      <c r="O471" s="7"/>
      <c r="P471" s="7"/>
      <c r="Q471" s="7"/>
    </row>
    <row r="472" spans="1:17" ht="15.75" customHeight="1">
      <c r="A472" s="4"/>
      <c r="B472" s="5"/>
      <c r="C472" s="5"/>
      <c r="D472" s="43"/>
      <c r="E472" s="5"/>
      <c r="F472" s="5"/>
      <c r="G472" s="5"/>
      <c r="J472" s="6"/>
      <c r="L472" s="7"/>
      <c r="M472" s="7"/>
      <c r="N472" s="7"/>
      <c r="O472" s="7"/>
      <c r="P472" s="7"/>
      <c r="Q472" s="7"/>
    </row>
    <row r="473" spans="1:17" ht="15.75" customHeight="1">
      <c r="A473" s="4"/>
      <c r="B473" s="5"/>
      <c r="C473" s="5"/>
      <c r="D473" s="43"/>
      <c r="E473" s="5"/>
      <c r="F473" s="5"/>
      <c r="G473" s="5"/>
      <c r="J473" s="6"/>
      <c r="L473" s="7"/>
      <c r="M473" s="7"/>
      <c r="N473" s="7"/>
      <c r="O473" s="7"/>
      <c r="P473" s="7"/>
      <c r="Q473" s="7"/>
    </row>
    <row r="474" spans="1:17" ht="15.75" customHeight="1">
      <c r="A474" s="4"/>
      <c r="B474" s="5"/>
      <c r="C474" s="5"/>
      <c r="D474" s="43"/>
      <c r="E474" s="5"/>
      <c r="F474" s="5"/>
      <c r="G474" s="5"/>
      <c r="J474" s="6"/>
      <c r="L474" s="7"/>
      <c r="M474" s="7"/>
      <c r="N474" s="7"/>
      <c r="O474" s="7"/>
      <c r="P474" s="7"/>
      <c r="Q474" s="7"/>
    </row>
    <row r="475" spans="1:17" ht="15.75" customHeight="1">
      <c r="A475" s="4"/>
      <c r="B475" s="5"/>
      <c r="C475" s="5"/>
      <c r="D475" s="43"/>
      <c r="E475" s="5"/>
      <c r="F475" s="5"/>
      <c r="G475" s="5"/>
      <c r="J475" s="6"/>
      <c r="L475" s="7"/>
      <c r="M475" s="7"/>
      <c r="N475" s="7"/>
      <c r="O475" s="7"/>
      <c r="P475" s="7"/>
      <c r="Q475" s="7"/>
    </row>
    <row r="476" spans="1:17" ht="15.75" customHeight="1">
      <c r="A476" s="4"/>
      <c r="B476" s="5"/>
      <c r="C476" s="5"/>
      <c r="D476" s="43"/>
      <c r="E476" s="5"/>
      <c r="F476" s="5"/>
      <c r="G476" s="5"/>
      <c r="J476" s="6"/>
      <c r="L476" s="7"/>
      <c r="M476" s="7"/>
      <c r="N476" s="7"/>
      <c r="O476" s="7"/>
      <c r="P476" s="7"/>
      <c r="Q476" s="7"/>
    </row>
    <row r="477" spans="1:17" ht="15.75" customHeight="1">
      <c r="A477" s="4"/>
      <c r="B477" s="5"/>
      <c r="C477" s="5"/>
      <c r="D477" s="43"/>
      <c r="E477" s="5"/>
      <c r="F477" s="5"/>
      <c r="G477" s="5"/>
      <c r="J477" s="6"/>
      <c r="L477" s="7"/>
      <c r="M477" s="7"/>
      <c r="N477" s="7"/>
      <c r="O477" s="7"/>
      <c r="P477" s="7"/>
      <c r="Q477" s="7"/>
    </row>
    <row r="478" spans="1:17" ht="15.75" customHeight="1">
      <c r="A478" s="4"/>
      <c r="B478" s="5"/>
      <c r="C478" s="5"/>
      <c r="D478" s="43"/>
      <c r="E478" s="5"/>
      <c r="F478" s="5"/>
      <c r="G478" s="5"/>
      <c r="J478" s="6"/>
      <c r="L478" s="7"/>
      <c r="M478" s="7"/>
      <c r="N478" s="7"/>
      <c r="O478" s="7"/>
      <c r="P478" s="7"/>
      <c r="Q478" s="7"/>
    </row>
    <row r="479" spans="1:17" ht="15.75" customHeight="1">
      <c r="A479" s="4"/>
      <c r="B479" s="5"/>
      <c r="C479" s="5"/>
      <c r="D479" s="43"/>
      <c r="E479" s="5"/>
      <c r="F479" s="5"/>
      <c r="G479" s="5"/>
      <c r="J479" s="6"/>
      <c r="L479" s="7"/>
      <c r="M479" s="7"/>
      <c r="N479" s="7"/>
      <c r="O479" s="7"/>
      <c r="P479" s="7"/>
      <c r="Q479" s="7"/>
    </row>
    <row r="480" spans="1:17" ht="15.75" customHeight="1">
      <c r="A480" s="4"/>
      <c r="B480" s="5"/>
      <c r="C480" s="5"/>
      <c r="D480" s="43"/>
      <c r="E480" s="5"/>
      <c r="F480" s="5"/>
      <c r="G480" s="5"/>
      <c r="J480" s="6"/>
      <c r="L480" s="7"/>
      <c r="M480" s="7"/>
      <c r="N480" s="7"/>
      <c r="O480" s="7"/>
      <c r="P480" s="7"/>
      <c r="Q480" s="7"/>
    </row>
    <row r="481" spans="1:17" ht="15.75" customHeight="1">
      <c r="A481" s="4"/>
      <c r="B481" s="5"/>
      <c r="C481" s="5"/>
      <c r="D481" s="43"/>
      <c r="E481" s="5"/>
      <c r="F481" s="5"/>
      <c r="G481" s="5"/>
      <c r="J481" s="6"/>
      <c r="L481" s="7"/>
      <c r="M481" s="7"/>
      <c r="N481" s="7"/>
      <c r="O481" s="7"/>
      <c r="P481" s="7"/>
      <c r="Q481" s="7"/>
    </row>
    <row r="482" spans="1:17" ht="15.75" customHeight="1">
      <c r="A482" s="4"/>
      <c r="B482" s="5"/>
      <c r="C482" s="5"/>
      <c r="D482" s="43"/>
      <c r="E482" s="5"/>
      <c r="F482" s="5"/>
      <c r="G482" s="5"/>
      <c r="J482" s="6"/>
      <c r="L482" s="7"/>
      <c r="M482" s="7"/>
      <c r="N482" s="7"/>
      <c r="O482" s="7"/>
      <c r="P482" s="7"/>
      <c r="Q482" s="7"/>
    </row>
    <row r="483" spans="1:17" ht="15.75" customHeight="1">
      <c r="A483" s="4"/>
      <c r="B483" s="5"/>
      <c r="C483" s="5"/>
      <c r="D483" s="43"/>
      <c r="E483" s="5"/>
      <c r="F483" s="5"/>
      <c r="G483" s="5"/>
      <c r="J483" s="6"/>
      <c r="L483" s="7"/>
      <c r="M483" s="7"/>
      <c r="N483" s="7"/>
      <c r="O483" s="7"/>
      <c r="P483" s="7"/>
      <c r="Q483" s="7"/>
    </row>
    <row r="484" spans="1:17" ht="15.75" customHeight="1">
      <c r="A484" s="4"/>
      <c r="B484" s="5"/>
      <c r="C484" s="5"/>
      <c r="D484" s="43"/>
      <c r="E484" s="5"/>
      <c r="F484" s="5"/>
      <c r="G484" s="5"/>
      <c r="J484" s="6"/>
      <c r="L484" s="7"/>
      <c r="M484" s="7"/>
      <c r="N484" s="7"/>
      <c r="O484" s="7"/>
      <c r="P484" s="7"/>
      <c r="Q484" s="7"/>
    </row>
    <row r="485" spans="1:17" ht="15.75" customHeight="1">
      <c r="A485" s="4"/>
      <c r="B485" s="5"/>
      <c r="C485" s="5"/>
      <c r="D485" s="43"/>
      <c r="E485" s="5"/>
      <c r="F485" s="5"/>
      <c r="G485" s="5"/>
      <c r="J485" s="6"/>
      <c r="L485" s="7"/>
      <c r="M485" s="7"/>
      <c r="N485" s="7"/>
      <c r="O485" s="7"/>
      <c r="P485" s="7"/>
      <c r="Q485" s="7"/>
    </row>
    <row r="486" spans="1:17" ht="15.75" customHeight="1">
      <c r="A486" s="4"/>
      <c r="B486" s="5"/>
      <c r="C486" s="5"/>
      <c r="D486" s="43"/>
      <c r="E486" s="5"/>
      <c r="F486" s="5"/>
      <c r="G486" s="5"/>
      <c r="J486" s="6"/>
      <c r="L486" s="7"/>
      <c r="M486" s="7"/>
      <c r="N486" s="7"/>
      <c r="O486" s="7"/>
      <c r="P486" s="7"/>
      <c r="Q486" s="7"/>
    </row>
    <row r="487" spans="1:17" ht="15.75" customHeight="1">
      <c r="A487" s="4"/>
      <c r="B487" s="5"/>
      <c r="C487" s="5"/>
      <c r="D487" s="43"/>
      <c r="E487" s="5"/>
      <c r="F487" s="5"/>
      <c r="G487" s="5"/>
      <c r="J487" s="6"/>
      <c r="L487" s="7"/>
      <c r="M487" s="7"/>
      <c r="N487" s="7"/>
      <c r="O487" s="7"/>
      <c r="P487" s="7"/>
      <c r="Q487" s="7"/>
    </row>
    <row r="488" spans="1:17" ht="15.75" customHeight="1">
      <c r="A488" s="4"/>
      <c r="B488" s="5"/>
      <c r="C488" s="5"/>
      <c r="D488" s="43"/>
      <c r="E488" s="5"/>
      <c r="F488" s="5"/>
      <c r="G488" s="5"/>
      <c r="J488" s="6"/>
      <c r="L488" s="7"/>
      <c r="M488" s="7"/>
      <c r="N488" s="7"/>
      <c r="O488" s="7"/>
      <c r="P488" s="7"/>
      <c r="Q488" s="7"/>
    </row>
    <row r="489" spans="1:17" ht="15.75" customHeight="1">
      <c r="A489" s="4"/>
      <c r="B489" s="5"/>
      <c r="C489" s="5"/>
      <c r="D489" s="43"/>
      <c r="E489" s="5"/>
      <c r="F489" s="5"/>
      <c r="G489" s="5"/>
      <c r="J489" s="6"/>
      <c r="L489" s="7"/>
      <c r="M489" s="7"/>
      <c r="N489" s="7"/>
      <c r="O489" s="7"/>
      <c r="P489" s="7"/>
      <c r="Q489" s="7"/>
    </row>
    <row r="490" spans="1:17" ht="15.75" customHeight="1">
      <c r="A490" s="4"/>
      <c r="B490" s="5"/>
      <c r="C490" s="5"/>
      <c r="D490" s="43"/>
      <c r="E490" s="5"/>
      <c r="F490" s="5"/>
      <c r="G490" s="5"/>
      <c r="J490" s="6"/>
      <c r="L490" s="7"/>
      <c r="M490" s="7"/>
      <c r="N490" s="7"/>
      <c r="O490" s="7"/>
      <c r="P490" s="7"/>
      <c r="Q490" s="7"/>
    </row>
    <row r="491" spans="1:17" ht="15.75" customHeight="1">
      <c r="A491" s="4"/>
      <c r="B491" s="5"/>
      <c r="C491" s="5"/>
      <c r="D491" s="43"/>
      <c r="E491" s="5"/>
      <c r="F491" s="5"/>
      <c r="G491" s="5"/>
      <c r="J491" s="6"/>
      <c r="L491" s="7"/>
      <c r="M491" s="7"/>
      <c r="N491" s="7"/>
      <c r="O491" s="7"/>
      <c r="P491" s="7"/>
      <c r="Q491" s="7"/>
    </row>
    <row r="492" spans="1:17" ht="15.75" customHeight="1">
      <c r="A492" s="4"/>
      <c r="B492" s="5"/>
      <c r="C492" s="5"/>
      <c r="D492" s="43"/>
      <c r="E492" s="5"/>
      <c r="F492" s="5"/>
      <c r="G492" s="5"/>
      <c r="J492" s="6"/>
      <c r="L492" s="7"/>
      <c r="M492" s="7"/>
      <c r="N492" s="7"/>
      <c r="O492" s="7"/>
      <c r="P492" s="7"/>
      <c r="Q492" s="7"/>
    </row>
    <row r="493" spans="1:17" ht="15.75" customHeight="1">
      <c r="A493" s="4"/>
      <c r="B493" s="5"/>
      <c r="C493" s="5"/>
      <c r="D493" s="43"/>
      <c r="E493" s="5"/>
      <c r="F493" s="5"/>
      <c r="G493" s="5"/>
      <c r="J493" s="6"/>
      <c r="L493" s="7"/>
      <c r="M493" s="7"/>
      <c r="N493" s="7"/>
      <c r="O493" s="7"/>
      <c r="P493" s="7"/>
      <c r="Q493" s="7"/>
    </row>
    <row r="494" spans="1:17" ht="15.75" customHeight="1">
      <c r="A494" s="4"/>
      <c r="B494" s="5"/>
      <c r="C494" s="5"/>
      <c r="D494" s="43"/>
      <c r="E494" s="5"/>
      <c r="F494" s="5"/>
      <c r="G494" s="5"/>
      <c r="J494" s="6"/>
      <c r="L494" s="7"/>
      <c r="M494" s="7"/>
      <c r="N494" s="7"/>
      <c r="O494" s="7"/>
      <c r="P494" s="7"/>
      <c r="Q494" s="7"/>
    </row>
    <row r="495" spans="1:17" ht="15.75" customHeight="1">
      <c r="A495" s="4"/>
      <c r="B495" s="5"/>
      <c r="C495" s="5"/>
      <c r="D495" s="43"/>
      <c r="E495" s="5"/>
      <c r="F495" s="5"/>
      <c r="G495" s="5"/>
      <c r="J495" s="6"/>
      <c r="L495" s="7"/>
      <c r="M495" s="7"/>
      <c r="N495" s="7"/>
      <c r="O495" s="7"/>
      <c r="P495" s="7"/>
      <c r="Q495" s="7"/>
    </row>
    <row r="496" spans="1:17" ht="15.75" customHeight="1">
      <c r="A496" s="4"/>
      <c r="B496" s="5"/>
      <c r="C496" s="5"/>
      <c r="D496" s="43"/>
      <c r="E496" s="5"/>
      <c r="F496" s="5"/>
      <c r="G496" s="5"/>
      <c r="J496" s="6"/>
      <c r="L496" s="7"/>
      <c r="M496" s="7"/>
      <c r="N496" s="7"/>
      <c r="O496" s="7"/>
      <c r="P496" s="7"/>
      <c r="Q496" s="7"/>
    </row>
    <row r="497" spans="1:17" ht="15.75" customHeight="1">
      <c r="A497" s="4"/>
      <c r="B497" s="5"/>
      <c r="C497" s="5"/>
      <c r="D497" s="43"/>
      <c r="E497" s="5"/>
      <c r="F497" s="5"/>
      <c r="G497" s="5"/>
      <c r="J497" s="6"/>
      <c r="L497" s="7"/>
      <c r="M497" s="7"/>
      <c r="N497" s="7"/>
      <c r="O497" s="7"/>
      <c r="P497" s="7"/>
      <c r="Q497" s="7"/>
    </row>
    <row r="498" spans="1:17" ht="15.75" customHeight="1">
      <c r="A498" s="4"/>
      <c r="B498" s="5"/>
      <c r="C498" s="5"/>
      <c r="D498" s="43"/>
      <c r="E498" s="5"/>
      <c r="F498" s="5"/>
      <c r="G498" s="5"/>
      <c r="J498" s="6"/>
      <c r="L498" s="7"/>
      <c r="M498" s="7"/>
      <c r="N498" s="7"/>
      <c r="O498" s="7"/>
      <c r="P498" s="7"/>
      <c r="Q498" s="7"/>
    </row>
    <row r="499" spans="1:17" ht="15.75" customHeight="1">
      <c r="A499" s="4"/>
      <c r="B499" s="5"/>
      <c r="C499" s="5"/>
      <c r="D499" s="43"/>
      <c r="E499" s="5"/>
      <c r="F499" s="5"/>
      <c r="G499" s="5"/>
      <c r="J499" s="6"/>
      <c r="L499" s="7"/>
      <c r="M499" s="7"/>
      <c r="N499" s="7"/>
      <c r="O499" s="7"/>
      <c r="P499" s="7"/>
      <c r="Q499" s="7"/>
    </row>
    <row r="500" spans="1:17" ht="15.75" customHeight="1">
      <c r="A500" s="4"/>
      <c r="B500" s="5"/>
      <c r="C500" s="5"/>
      <c r="D500" s="43"/>
      <c r="E500" s="5"/>
      <c r="F500" s="5"/>
      <c r="G500" s="5"/>
      <c r="J500" s="6"/>
      <c r="L500" s="7"/>
      <c r="M500" s="7"/>
      <c r="N500" s="7"/>
      <c r="O500" s="7"/>
      <c r="P500" s="7"/>
      <c r="Q500" s="7"/>
    </row>
    <row r="501" spans="1:17" ht="15.75" customHeight="1">
      <c r="A501" s="4"/>
      <c r="B501" s="5"/>
      <c r="C501" s="5"/>
      <c r="D501" s="43"/>
      <c r="E501" s="5"/>
      <c r="F501" s="5"/>
      <c r="G501" s="5"/>
      <c r="J501" s="6"/>
      <c r="L501" s="7"/>
      <c r="M501" s="7"/>
      <c r="N501" s="7"/>
      <c r="O501" s="7"/>
      <c r="P501" s="7"/>
      <c r="Q501" s="7"/>
    </row>
    <row r="502" spans="1:17" ht="15.75" customHeight="1">
      <c r="A502" s="4"/>
      <c r="B502" s="5"/>
      <c r="C502" s="5"/>
      <c r="D502" s="43"/>
      <c r="E502" s="5"/>
      <c r="F502" s="5"/>
      <c r="G502" s="5"/>
      <c r="J502" s="6"/>
      <c r="L502" s="7"/>
      <c r="M502" s="7"/>
      <c r="N502" s="7"/>
      <c r="O502" s="7"/>
      <c r="P502" s="7"/>
      <c r="Q502" s="7"/>
    </row>
    <row r="503" spans="1:17" ht="15.75" customHeight="1">
      <c r="A503" s="4"/>
      <c r="B503" s="5"/>
      <c r="C503" s="5"/>
      <c r="D503" s="43"/>
      <c r="E503" s="5"/>
      <c r="F503" s="5"/>
      <c r="G503" s="5"/>
      <c r="J503" s="6"/>
      <c r="L503" s="7"/>
      <c r="M503" s="7"/>
      <c r="N503" s="7"/>
      <c r="O503" s="7"/>
      <c r="P503" s="7"/>
      <c r="Q503" s="7"/>
    </row>
    <row r="504" spans="1:17" ht="15.75" customHeight="1">
      <c r="A504" s="4"/>
      <c r="B504" s="5"/>
      <c r="C504" s="5"/>
      <c r="D504" s="43"/>
      <c r="E504" s="5"/>
      <c r="F504" s="5"/>
      <c r="G504" s="5"/>
      <c r="J504" s="6"/>
      <c r="L504" s="7"/>
      <c r="M504" s="7"/>
      <c r="N504" s="7"/>
      <c r="O504" s="7"/>
      <c r="P504" s="7"/>
      <c r="Q504" s="7"/>
    </row>
    <row r="505" spans="1:17" ht="15.75" customHeight="1">
      <c r="A505" s="4"/>
      <c r="B505" s="5"/>
      <c r="C505" s="5"/>
      <c r="D505" s="43"/>
      <c r="E505" s="5"/>
      <c r="F505" s="5"/>
      <c r="G505" s="5"/>
      <c r="J505" s="6"/>
      <c r="L505" s="7"/>
      <c r="M505" s="7"/>
      <c r="N505" s="7"/>
      <c r="O505" s="7"/>
      <c r="P505" s="7"/>
      <c r="Q505" s="7"/>
    </row>
    <row r="506" spans="1:17" ht="15.75" customHeight="1">
      <c r="A506" s="4"/>
      <c r="B506" s="5"/>
      <c r="C506" s="5"/>
      <c r="D506" s="43"/>
      <c r="E506" s="5"/>
      <c r="F506" s="5"/>
      <c r="G506" s="5"/>
      <c r="J506" s="6"/>
      <c r="L506" s="7"/>
      <c r="M506" s="7"/>
      <c r="N506" s="7"/>
      <c r="O506" s="7"/>
      <c r="P506" s="7"/>
      <c r="Q506" s="7"/>
    </row>
    <row r="507" spans="1:17" ht="15.75" customHeight="1">
      <c r="A507" s="4"/>
      <c r="B507" s="5"/>
      <c r="C507" s="5"/>
      <c r="D507" s="43"/>
      <c r="E507" s="5"/>
      <c r="F507" s="5"/>
      <c r="G507" s="5"/>
      <c r="J507" s="6"/>
      <c r="L507" s="7"/>
      <c r="M507" s="7"/>
      <c r="N507" s="7"/>
      <c r="O507" s="7"/>
      <c r="P507" s="7"/>
      <c r="Q507" s="7"/>
    </row>
    <row r="508" spans="1:17" ht="15.75" customHeight="1">
      <c r="A508" s="4"/>
      <c r="B508" s="5"/>
      <c r="C508" s="5"/>
      <c r="D508" s="43"/>
      <c r="E508" s="5"/>
      <c r="F508" s="5"/>
      <c r="G508" s="5"/>
      <c r="J508" s="6"/>
      <c r="L508" s="7"/>
      <c r="M508" s="7"/>
      <c r="N508" s="7"/>
      <c r="O508" s="7"/>
      <c r="P508" s="7"/>
      <c r="Q508" s="7"/>
    </row>
    <row r="509" spans="1:17" ht="15.75" customHeight="1">
      <c r="A509" s="4"/>
      <c r="B509" s="5"/>
      <c r="C509" s="5"/>
      <c r="D509" s="43"/>
      <c r="E509" s="5"/>
      <c r="F509" s="5"/>
      <c r="G509" s="5"/>
      <c r="J509" s="6"/>
      <c r="L509" s="7"/>
      <c r="M509" s="7"/>
      <c r="N509" s="7"/>
      <c r="O509" s="7"/>
      <c r="P509" s="7"/>
      <c r="Q509" s="7"/>
    </row>
    <row r="510" spans="1:17" ht="15.75" customHeight="1">
      <c r="A510" s="4"/>
      <c r="B510" s="5"/>
      <c r="C510" s="5"/>
      <c r="D510" s="43"/>
      <c r="E510" s="5"/>
      <c r="F510" s="5"/>
      <c r="G510" s="5"/>
      <c r="J510" s="6"/>
      <c r="L510" s="7"/>
      <c r="M510" s="7"/>
      <c r="N510" s="7"/>
      <c r="O510" s="7"/>
      <c r="P510" s="7"/>
      <c r="Q510" s="7"/>
    </row>
    <row r="511" spans="1:17" ht="15.75" customHeight="1">
      <c r="A511" s="4"/>
      <c r="B511" s="5"/>
      <c r="C511" s="5"/>
      <c r="D511" s="43"/>
      <c r="E511" s="5"/>
      <c r="F511" s="5"/>
      <c r="G511" s="5"/>
      <c r="J511" s="6"/>
      <c r="L511" s="7"/>
      <c r="M511" s="7"/>
      <c r="N511" s="7"/>
      <c r="O511" s="7"/>
      <c r="P511" s="7"/>
      <c r="Q511" s="7"/>
    </row>
    <row r="512" spans="1:17" ht="15.75" customHeight="1">
      <c r="A512" s="4"/>
      <c r="B512" s="5"/>
      <c r="C512" s="5"/>
      <c r="D512" s="43"/>
      <c r="E512" s="5"/>
      <c r="F512" s="5"/>
      <c r="G512" s="5"/>
      <c r="J512" s="6"/>
      <c r="L512" s="7"/>
      <c r="M512" s="7"/>
      <c r="N512" s="7"/>
      <c r="O512" s="7"/>
      <c r="P512" s="7"/>
      <c r="Q512" s="7"/>
    </row>
    <row r="513" spans="1:17" ht="15.75" customHeight="1">
      <c r="A513" s="4"/>
      <c r="B513" s="5"/>
      <c r="C513" s="5"/>
      <c r="D513" s="43"/>
      <c r="E513" s="5"/>
      <c r="F513" s="5"/>
      <c r="G513" s="5"/>
      <c r="J513" s="6"/>
      <c r="L513" s="7"/>
      <c r="M513" s="7"/>
      <c r="N513" s="7"/>
      <c r="O513" s="7"/>
      <c r="P513" s="7"/>
      <c r="Q513" s="7"/>
    </row>
    <row r="514" spans="1:17" ht="15.75" customHeight="1">
      <c r="A514" s="4"/>
      <c r="B514" s="5"/>
      <c r="C514" s="5"/>
      <c r="D514" s="43"/>
      <c r="E514" s="5"/>
      <c r="F514" s="5"/>
      <c r="G514" s="5"/>
      <c r="J514" s="6"/>
      <c r="L514" s="7"/>
      <c r="M514" s="7"/>
      <c r="N514" s="7"/>
      <c r="O514" s="7"/>
      <c r="P514" s="7"/>
      <c r="Q514" s="7"/>
    </row>
    <row r="515" spans="1:17" ht="15.75" customHeight="1">
      <c r="A515" s="4"/>
      <c r="B515" s="5"/>
      <c r="C515" s="5"/>
      <c r="D515" s="43"/>
      <c r="E515" s="5"/>
      <c r="F515" s="5"/>
      <c r="G515" s="5"/>
      <c r="J515" s="6"/>
      <c r="L515" s="7"/>
      <c r="M515" s="7"/>
      <c r="N515" s="7"/>
      <c r="O515" s="7"/>
      <c r="P515" s="7"/>
      <c r="Q515" s="7"/>
    </row>
    <row r="516" spans="1:17" ht="15.75" customHeight="1">
      <c r="A516" s="4"/>
      <c r="B516" s="5"/>
      <c r="C516" s="5"/>
      <c r="D516" s="43"/>
      <c r="E516" s="5"/>
      <c r="F516" s="5"/>
      <c r="G516" s="5"/>
      <c r="J516" s="6"/>
      <c r="L516" s="7"/>
      <c r="M516" s="7"/>
      <c r="N516" s="7"/>
      <c r="O516" s="7"/>
      <c r="P516" s="7"/>
      <c r="Q516" s="7"/>
    </row>
    <row r="517" spans="1:17" ht="15.75" customHeight="1">
      <c r="A517" s="4"/>
      <c r="B517" s="5"/>
      <c r="C517" s="5"/>
      <c r="D517" s="43"/>
      <c r="E517" s="5"/>
      <c r="F517" s="5"/>
      <c r="G517" s="5"/>
      <c r="J517" s="6"/>
      <c r="L517" s="7"/>
      <c r="M517" s="7"/>
      <c r="N517" s="7"/>
      <c r="O517" s="7"/>
      <c r="P517" s="7"/>
      <c r="Q517" s="7"/>
    </row>
    <row r="518" spans="1:17" ht="15.75" customHeight="1">
      <c r="A518" s="4"/>
      <c r="B518" s="5"/>
      <c r="C518" s="5"/>
      <c r="D518" s="43"/>
      <c r="E518" s="5"/>
      <c r="F518" s="5"/>
      <c r="G518" s="5"/>
      <c r="J518" s="6"/>
      <c r="L518" s="7"/>
      <c r="M518" s="7"/>
      <c r="N518" s="7"/>
      <c r="O518" s="7"/>
      <c r="P518" s="7"/>
      <c r="Q518" s="7"/>
    </row>
    <row r="519" spans="1:17" ht="15.75" customHeight="1">
      <c r="A519" s="4"/>
      <c r="B519" s="5"/>
      <c r="C519" s="5"/>
      <c r="D519" s="43"/>
      <c r="E519" s="5"/>
      <c r="F519" s="5"/>
      <c r="G519" s="5"/>
      <c r="J519" s="6"/>
      <c r="L519" s="7"/>
      <c r="M519" s="7"/>
      <c r="N519" s="7"/>
      <c r="O519" s="7"/>
      <c r="P519" s="7"/>
      <c r="Q519" s="7"/>
    </row>
    <row r="520" spans="1:17" ht="15.75" customHeight="1">
      <c r="A520" s="4"/>
      <c r="B520" s="5"/>
      <c r="C520" s="5"/>
      <c r="D520" s="43"/>
      <c r="E520" s="5"/>
      <c r="F520" s="5"/>
      <c r="G520" s="5"/>
      <c r="J520" s="6"/>
      <c r="L520" s="7"/>
      <c r="M520" s="7"/>
      <c r="N520" s="7"/>
      <c r="O520" s="7"/>
      <c r="P520" s="7"/>
      <c r="Q520" s="7"/>
    </row>
    <row r="521" spans="1:17" ht="15.75" customHeight="1">
      <c r="A521" s="4"/>
      <c r="B521" s="5"/>
      <c r="C521" s="5"/>
      <c r="D521" s="43"/>
      <c r="E521" s="5"/>
      <c r="F521" s="5"/>
      <c r="G521" s="5"/>
      <c r="J521" s="6"/>
      <c r="L521" s="7"/>
      <c r="M521" s="7"/>
      <c r="N521" s="7"/>
      <c r="O521" s="7"/>
      <c r="P521" s="7"/>
      <c r="Q521" s="7"/>
    </row>
    <row r="522" spans="1:17" ht="15.75" customHeight="1">
      <c r="A522" s="4"/>
      <c r="B522" s="5"/>
      <c r="C522" s="5"/>
      <c r="D522" s="43"/>
      <c r="E522" s="5"/>
      <c r="F522" s="5"/>
      <c r="G522" s="5"/>
      <c r="J522" s="6"/>
      <c r="L522" s="7"/>
      <c r="M522" s="7"/>
      <c r="N522" s="7"/>
      <c r="O522" s="7"/>
      <c r="P522" s="7"/>
      <c r="Q522" s="7"/>
    </row>
    <row r="523" spans="1:17" ht="15.75" customHeight="1">
      <c r="A523" s="4"/>
      <c r="B523" s="5"/>
      <c r="C523" s="5"/>
      <c r="D523" s="43"/>
      <c r="E523" s="5"/>
      <c r="F523" s="5"/>
      <c r="G523" s="5"/>
      <c r="J523" s="6"/>
      <c r="L523" s="7"/>
      <c r="M523" s="7"/>
      <c r="N523" s="7"/>
      <c r="O523" s="7"/>
      <c r="P523" s="7"/>
      <c r="Q523" s="7"/>
    </row>
    <row r="524" spans="1:17" ht="15.75" customHeight="1">
      <c r="A524" s="4"/>
      <c r="B524" s="5"/>
      <c r="C524" s="5"/>
      <c r="D524" s="43"/>
      <c r="E524" s="5"/>
      <c r="F524" s="5"/>
      <c r="G524" s="5"/>
      <c r="J524" s="6"/>
      <c r="L524" s="7"/>
      <c r="M524" s="7"/>
      <c r="N524" s="7"/>
      <c r="O524" s="7"/>
      <c r="P524" s="7"/>
      <c r="Q524" s="7"/>
    </row>
    <row r="525" spans="1:17" ht="15.75" customHeight="1">
      <c r="A525" s="4"/>
      <c r="B525" s="5"/>
      <c r="C525" s="5"/>
      <c r="D525" s="43"/>
      <c r="E525" s="5"/>
      <c r="F525" s="5"/>
      <c r="G525" s="5"/>
      <c r="J525" s="6"/>
      <c r="L525" s="7"/>
      <c r="M525" s="7"/>
      <c r="N525" s="7"/>
      <c r="O525" s="7"/>
      <c r="P525" s="7"/>
      <c r="Q525" s="7"/>
    </row>
    <row r="526" spans="1:17" ht="15.75" customHeight="1">
      <c r="A526" s="4"/>
      <c r="B526" s="5"/>
      <c r="C526" s="5"/>
      <c r="D526" s="43"/>
      <c r="E526" s="5"/>
      <c r="F526" s="5"/>
      <c r="G526" s="5"/>
      <c r="J526" s="6"/>
      <c r="L526" s="7"/>
      <c r="M526" s="7"/>
      <c r="N526" s="7"/>
      <c r="O526" s="7"/>
      <c r="P526" s="7"/>
      <c r="Q526" s="7"/>
    </row>
    <row r="527" spans="1:17" ht="15.75" customHeight="1">
      <c r="A527" s="4"/>
      <c r="B527" s="5"/>
      <c r="C527" s="5"/>
      <c r="D527" s="43"/>
      <c r="E527" s="5"/>
      <c r="F527" s="5"/>
      <c r="G527" s="5"/>
      <c r="J527" s="6"/>
      <c r="L527" s="7"/>
      <c r="M527" s="7"/>
      <c r="N527" s="7"/>
      <c r="O527" s="7"/>
      <c r="P527" s="7"/>
      <c r="Q527" s="7"/>
    </row>
    <row r="528" spans="1:17" ht="15.75" customHeight="1">
      <c r="A528" s="4"/>
      <c r="B528" s="5"/>
      <c r="C528" s="5"/>
      <c r="D528" s="43"/>
      <c r="E528" s="5"/>
      <c r="F528" s="5"/>
      <c r="G528" s="5"/>
      <c r="J528" s="6"/>
      <c r="L528" s="7"/>
      <c r="M528" s="7"/>
      <c r="N528" s="7"/>
      <c r="O528" s="7"/>
      <c r="P528" s="7"/>
      <c r="Q528" s="7"/>
    </row>
    <row r="529" spans="1:17" ht="15.75" customHeight="1">
      <c r="A529" s="4"/>
      <c r="B529" s="5"/>
      <c r="C529" s="5"/>
      <c r="D529" s="43"/>
      <c r="E529" s="5"/>
      <c r="F529" s="5"/>
      <c r="G529" s="5"/>
      <c r="J529" s="6"/>
      <c r="L529" s="7"/>
      <c r="M529" s="7"/>
      <c r="N529" s="7"/>
      <c r="O529" s="7"/>
      <c r="P529" s="7"/>
      <c r="Q529" s="7"/>
    </row>
    <row r="530" spans="1:17" ht="15.75" customHeight="1">
      <c r="A530" s="4"/>
      <c r="B530" s="5"/>
      <c r="C530" s="5"/>
      <c r="D530" s="43"/>
      <c r="E530" s="5"/>
      <c r="F530" s="5"/>
      <c r="G530" s="5"/>
      <c r="J530" s="6"/>
      <c r="L530" s="7"/>
      <c r="M530" s="7"/>
      <c r="N530" s="7"/>
      <c r="O530" s="7"/>
      <c r="P530" s="7"/>
      <c r="Q530" s="7"/>
    </row>
    <row r="531" spans="1:17" ht="15.75" customHeight="1">
      <c r="A531" s="4"/>
      <c r="B531" s="5"/>
      <c r="C531" s="5"/>
      <c r="D531" s="43"/>
      <c r="E531" s="5"/>
      <c r="F531" s="5"/>
      <c r="G531" s="5"/>
      <c r="J531" s="6"/>
      <c r="L531" s="7"/>
      <c r="M531" s="7"/>
      <c r="N531" s="7"/>
      <c r="O531" s="7"/>
      <c r="P531" s="7"/>
      <c r="Q531" s="7"/>
    </row>
    <row r="532" spans="1:17" ht="15.75" customHeight="1">
      <c r="A532" s="4"/>
      <c r="B532" s="5"/>
      <c r="C532" s="5"/>
      <c r="D532" s="43"/>
      <c r="E532" s="5"/>
      <c r="F532" s="5"/>
      <c r="G532" s="5"/>
      <c r="J532" s="6"/>
      <c r="L532" s="7"/>
      <c r="M532" s="7"/>
      <c r="N532" s="7"/>
      <c r="O532" s="7"/>
      <c r="P532" s="7"/>
      <c r="Q532" s="7"/>
    </row>
    <row r="533" spans="1:17" ht="15.75" customHeight="1">
      <c r="A533" s="4"/>
      <c r="B533" s="5"/>
      <c r="C533" s="5"/>
      <c r="D533" s="43"/>
      <c r="E533" s="5"/>
      <c r="F533" s="5"/>
      <c r="G533" s="5"/>
      <c r="J533" s="6"/>
      <c r="L533" s="7"/>
      <c r="M533" s="7"/>
      <c r="N533" s="7"/>
      <c r="O533" s="7"/>
      <c r="P533" s="7"/>
      <c r="Q533" s="7"/>
    </row>
    <row r="534" spans="1:17" ht="15.75" customHeight="1">
      <c r="A534" s="4"/>
      <c r="B534" s="5"/>
      <c r="C534" s="5"/>
      <c r="D534" s="43"/>
      <c r="E534" s="5"/>
      <c r="F534" s="5"/>
      <c r="G534" s="5"/>
      <c r="J534" s="6"/>
      <c r="L534" s="7"/>
      <c r="M534" s="7"/>
      <c r="N534" s="7"/>
      <c r="O534" s="7"/>
      <c r="P534" s="7"/>
      <c r="Q534" s="7"/>
    </row>
    <row r="535" spans="1:17" ht="15.75" customHeight="1">
      <c r="A535" s="4"/>
      <c r="B535" s="5"/>
      <c r="C535" s="5"/>
      <c r="D535" s="43"/>
      <c r="E535" s="5"/>
      <c r="F535" s="5"/>
      <c r="G535" s="5"/>
      <c r="J535" s="6"/>
      <c r="L535" s="7"/>
      <c r="M535" s="7"/>
      <c r="N535" s="7"/>
      <c r="O535" s="7"/>
      <c r="P535" s="7"/>
      <c r="Q535" s="7"/>
    </row>
    <row r="536" spans="1:17" ht="15.75" customHeight="1">
      <c r="A536" s="4"/>
      <c r="B536" s="5"/>
      <c r="C536" s="5"/>
      <c r="D536" s="43"/>
      <c r="E536" s="5"/>
      <c r="F536" s="5"/>
      <c r="G536" s="5"/>
      <c r="J536" s="6"/>
      <c r="L536" s="7"/>
      <c r="M536" s="7"/>
      <c r="N536" s="7"/>
      <c r="O536" s="7"/>
      <c r="P536" s="7"/>
      <c r="Q536" s="7"/>
    </row>
    <row r="537" spans="1:17" ht="15.75" customHeight="1">
      <c r="A537" s="4"/>
      <c r="B537" s="5"/>
      <c r="C537" s="5"/>
      <c r="D537" s="43"/>
      <c r="E537" s="5"/>
      <c r="F537" s="5"/>
      <c r="G537" s="5"/>
      <c r="J537" s="6"/>
      <c r="L537" s="7"/>
      <c r="M537" s="7"/>
      <c r="N537" s="7"/>
      <c r="O537" s="7"/>
      <c r="P537" s="7"/>
      <c r="Q537" s="7"/>
    </row>
    <row r="538" spans="1:17" ht="15.75" customHeight="1">
      <c r="A538" s="4"/>
      <c r="B538" s="5"/>
      <c r="C538" s="5"/>
      <c r="D538" s="43"/>
      <c r="E538" s="5"/>
      <c r="F538" s="5"/>
      <c r="G538" s="5"/>
      <c r="J538" s="6"/>
      <c r="L538" s="7"/>
      <c r="M538" s="7"/>
      <c r="N538" s="7"/>
      <c r="O538" s="7"/>
      <c r="P538" s="7"/>
      <c r="Q538" s="7"/>
    </row>
    <row r="539" spans="1:17" ht="15.75" customHeight="1">
      <c r="A539" s="4"/>
      <c r="B539" s="5"/>
      <c r="C539" s="5"/>
      <c r="D539" s="43"/>
      <c r="E539" s="5"/>
      <c r="F539" s="5"/>
      <c r="G539" s="5"/>
      <c r="J539" s="6"/>
      <c r="L539" s="7"/>
      <c r="M539" s="7"/>
      <c r="N539" s="7"/>
      <c r="O539" s="7"/>
      <c r="P539" s="7"/>
      <c r="Q539" s="7"/>
    </row>
    <row r="540" spans="1:17" ht="15.75" customHeight="1">
      <c r="A540" s="4"/>
      <c r="B540" s="5"/>
      <c r="C540" s="5"/>
      <c r="D540" s="43"/>
      <c r="E540" s="5"/>
      <c r="F540" s="5"/>
      <c r="G540" s="5"/>
      <c r="J540" s="6"/>
      <c r="L540" s="7"/>
      <c r="M540" s="7"/>
      <c r="N540" s="7"/>
      <c r="O540" s="7"/>
      <c r="P540" s="7"/>
      <c r="Q540" s="7"/>
    </row>
    <row r="541" spans="1:17" ht="15.75" customHeight="1">
      <c r="A541" s="4"/>
      <c r="B541" s="5"/>
      <c r="C541" s="5"/>
      <c r="D541" s="43"/>
      <c r="E541" s="5"/>
      <c r="F541" s="5"/>
      <c r="G541" s="5"/>
      <c r="J541" s="6"/>
      <c r="L541" s="7"/>
      <c r="M541" s="7"/>
      <c r="N541" s="7"/>
      <c r="O541" s="7"/>
      <c r="P541" s="7"/>
      <c r="Q541" s="7"/>
    </row>
    <row r="542" spans="1:17" ht="15.75" customHeight="1">
      <c r="A542" s="4"/>
      <c r="B542" s="5"/>
      <c r="C542" s="5"/>
      <c r="D542" s="43"/>
      <c r="E542" s="5"/>
      <c r="F542" s="5"/>
      <c r="G542" s="5"/>
      <c r="J542" s="6"/>
      <c r="L542" s="7"/>
      <c r="M542" s="7"/>
      <c r="N542" s="7"/>
      <c r="O542" s="7"/>
      <c r="P542" s="7"/>
      <c r="Q542" s="7"/>
    </row>
    <row r="543" spans="1:17" ht="15.75" customHeight="1">
      <c r="A543" s="4"/>
      <c r="B543" s="5"/>
      <c r="C543" s="5"/>
      <c r="D543" s="43"/>
      <c r="E543" s="5"/>
      <c r="F543" s="5"/>
      <c r="G543" s="5"/>
      <c r="J543" s="6"/>
      <c r="L543" s="7"/>
      <c r="M543" s="7"/>
      <c r="N543" s="7"/>
      <c r="O543" s="7"/>
      <c r="P543" s="7"/>
      <c r="Q543" s="7"/>
    </row>
    <row r="544" spans="1:17" ht="15.75" customHeight="1">
      <c r="A544" s="4"/>
      <c r="B544" s="5"/>
      <c r="C544" s="5"/>
      <c r="D544" s="43"/>
      <c r="E544" s="5"/>
      <c r="F544" s="5"/>
      <c r="G544" s="5"/>
      <c r="J544" s="6"/>
      <c r="L544" s="7"/>
      <c r="M544" s="7"/>
      <c r="N544" s="7"/>
      <c r="O544" s="7"/>
      <c r="P544" s="7"/>
      <c r="Q544" s="7"/>
    </row>
    <row r="545" spans="1:17" ht="15.75" customHeight="1">
      <c r="A545" s="4"/>
      <c r="B545" s="5"/>
      <c r="C545" s="5"/>
      <c r="D545" s="43"/>
      <c r="E545" s="5"/>
      <c r="F545" s="5"/>
      <c r="G545" s="5"/>
      <c r="J545" s="6"/>
      <c r="L545" s="7"/>
      <c r="M545" s="7"/>
      <c r="N545" s="7"/>
      <c r="O545" s="7"/>
      <c r="P545" s="7"/>
      <c r="Q545" s="7"/>
    </row>
    <row r="546" spans="1:17" ht="15.75" customHeight="1">
      <c r="A546" s="4"/>
      <c r="B546" s="5"/>
      <c r="C546" s="5"/>
      <c r="D546" s="43"/>
      <c r="E546" s="5"/>
      <c r="F546" s="5"/>
      <c r="G546" s="5"/>
      <c r="J546" s="6"/>
      <c r="L546" s="7"/>
      <c r="M546" s="7"/>
      <c r="N546" s="7"/>
      <c r="O546" s="7"/>
      <c r="P546" s="7"/>
      <c r="Q546" s="7"/>
    </row>
    <row r="547" spans="1:17" ht="15.75" customHeight="1">
      <c r="A547" s="4"/>
      <c r="B547" s="5"/>
      <c r="C547" s="5"/>
      <c r="D547" s="43"/>
      <c r="E547" s="5"/>
      <c r="F547" s="5"/>
      <c r="G547" s="5"/>
      <c r="J547" s="6"/>
      <c r="L547" s="7"/>
      <c r="M547" s="7"/>
      <c r="N547" s="7"/>
      <c r="O547" s="7"/>
      <c r="P547" s="7"/>
      <c r="Q547" s="7"/>
    </row>
    <row r="548" spans="1:17" ht="15.75" customHeight="1">
      <c r="A548" s="4"/>
      <c r="B548" s="5"/>
      <c r="C548" s="5"/>
      <c r="D548" s="43"/>
      <c r="E548" s="5"/>
      <c r="F548" s="5"/>
      <c r="G548" s="5"/>
      <c r="J548" s="6"/>
      <c r="L548" s="7"/>
      <c r="M548" s="7"/>
      <c r="N548" s="7"/>
      <c r="O548" s="7"/>
      <c r="P548" s="7"/>
      <c r="Q548" s="7"/>
    </row>
    <row r="549" spans="1:17" ht="15.75" customHeight="1">
      <c r="A549" s="4"/>
      <c r="B549" s="5"/>
      <c r="C549" s="5"/>
      <c r="D549" s="43"/>
      <c r="E549" s="5"/>
      <c r="F549" s="5"/>
      <c r="G549" s="5"/>
      <c r="J549" s="6"/>
      <c r="L549" s="7"/>
      <c r="M549" s="7"/>
      <c r="N549" s="7"/>
      <c r="O549" s="7"/>
      <c r="P549" s="7"/>
      <c r="Q549" s="7"/>
    </row>
    <row r="550" spans="1:17" ht="15.75" customHeight="1">
      <c r="A550" s="4"/>
      <c r="B550" s="5"/>
      <c r="C550" s="5"/>
      <c r="D550" s="43"/>
      <c r="E550" s="5"/>
      <c r="F550" s="5"/>
      <c r="G550" s="5"/>
      <c r="J550" s="6"/>
      <c r="L550" s="7"/>
      <c r="M550" s="7"/>
      <c r="N550" s="7"/>
      <c r="O550" s="7"/>
      <c r="P550" s="7"/>
      <c r="Q550" s="7"/>
    </row>
    <row r="551" spans="1:17" ht="15.75" customHeight="1">
      <c r="A551" s="4"/>
      <c r="B551" s="5"/>
      <c r="C551" s="5"/>
      <c r="D551" s="43"/>
      <c r="E551" s="5"/>
      <c r="F551" s="5"/>
      <c r="G551" s="5"/>
      <c r="J551" s="6"/>
      <c r="L551" s="7"/>
      <c r="M551" s="7"/>
      <c r="N551" s="7"/>
      <c r="O551" s="7"/>
      <c r="P551" s="7"/>
      <c r="Q551" s="7"/>
    </row>
    <row r="552" spans="1:17" ht="15.75" customHeight="1">
      <c r="A552" s="4"/>
      <c r="B552" s="5"/>
      <c r="C552" s="5"/>
      <c r="D552" s="43"/>
      <c r="E552" s="5"/>
      <c r="F552" s="5"/>
      <c r="G552" s="5"/>
      <c r="J552" s="6"/>
      <c r="L552" s="7"/>
      <c r="M552" s="7"/>
      <c r="N552" s="7"/>
      <c r="O552" s="7"/>
      <c r="P552" s="7"/>
      <c r="Q552" s="7"/>
    </row>
    <row r="553" spans="1:17" ht="15.75" customHeight="1">
      <c r="A553" s="4"/>
      <c r="B553" s="5"/>
      <c r="C553" s="5"/>
      <c r="D553" s="43"/>
      <c r="E553" s="5"/>
      <c r="F553" s="5"/>
      <c r="G553" s="5"/>
      <c r="J553" s="6"/>
      <c r="L553" s="7"/>
      <c r="M553" s="7"/>
      <c r="N553" s="7"/>
      <c r="O553" s="7"/>
      <c r="P553" s="7"/>
      <c r="Q553" s="7"/>
    </row>
    <row r="554" spans="1:17" ht="15.75" customHeight="1">
      <c r="A554" s="4"/>
      <c r="B554" s="5"/>
      <c r="C554" s="5"/>
      <c r="D554" s="43"/>
      <c r="E554" s="5"/>
      <c r="F554" s="5"/>
      <c r="G554" s="5"/>
      <c r="J554" s="6"/>
      <c r="L554" s="7"/>
      <c r="M554" s="7"/>
      <c r="N554" s="7"/>
      <c r="O554" s="7"/>
      <c r="P554" s="7"/>
      <c r="Q554" s="7"/>
    </row>
    <row r="555" spans="1:17" ht="15.75" customHeight="1">
      <c r="A555" s="4"/>
      <c r="B555" s="5"/>
      <c r="C555" s="5"/>
      <c r="D555" s="43"/>
      <c r="E555" s="5"/>
      <c r="F555" s="5"/>
      <c r="G555" s="5"/>
      <c r="J555" s="6"/>
      <c r="L555" s="7"/>
      <c r="M555" s="7"/>
      <c r="N555" s="7"/>
      <c r="O555" s="7"/>
      <c r="P555" s="7"/>
      <c r="Q555" s="7"/>
    </row>
    <row r="556" spans="1:17" ht="15.75" customHeight="1">
      <c r="A556" s="4"/>
      <c r="B556" s="5"/>
      <c r="C556" s="5"/>
      <c r="D556" s="43"/>
      <c r="E556" s="5"/>
      <c r="F556" s="5"/>
      <c r="G556" s="5"/>
      <c r="J556" s="6"/>
      <c r="L556" s="7"/>
      <c r="M556" s="7"/>
      <c r="N556" s="7"/>
      <c r="O556" s="7"/>
      <c r="P556" s="7"/>
      <c r="Q556" s="7"/>
    </row>
    <row r="557" spans="1:17" ht="15.75" customHeight="1">
      <c r="A557" s="4"/>
      <c r="B557" s="5"/>
      <c r="C557" s="5"/>
      <c r="D557" s="43"/>
      <c r="E557" s="5"/>
      <c r="F557" s="5"/>
      <c r="G557" s="5"/>
      <c r="J557" s="6"/>
      <c r="L557" s="7"/>
      <c r="M557" s="7"/>
      <c r="N557" s="7"/>
      <c r="O557" s="7"/>
      <c r="P557" s="7"/>
      <c r="Q557" s="7"/>
    </row>
    <row r="558" spans="1:17" ht="15.75" customHeight="1">
      <c r="A558" s="4"/>
      <c r="B558" s="5"/>
      <c r="C558" s="5"/>
      <c r="D558" s="43"/>
      <c r="E558" s="5"/>
      <c r="F558" s="5"/>
      <c r="G558" s="5"/>
      <c r="J558" s="6"/>
      <c r="L558" s="7"/>
      <c r="M558" s="7"/>
      <c r="N558" s="7"/>
      <c r="O558" s="7"/>
      <c r="P558" s="7"/>
      <c r="Q558" s="7"/>
    </row>
    <row r="559" spans="1:17" ht="15.75" customHeight="1">
      <c r="A559" s="4"/>
      <c r="B559" s="5"/>
      <c r="C559" s="5"/>
      <c r="D559" s="43"/>
      <c r="E559" s="5"/>
      <c r="F559" s="5"/>
      <c r="G559" s="5"/>
      <c r="J559" s="6"/>
      <c r="L559" s="7"/>
      <c r="M559" s="7"/>
      <c r="N559" s="7"/>
      <c r="O559" s="7"/>
      <c r="P559" s="7"/>
      <c r="Q559" s="7"/>
    </row>
    <row r="560" spans="1:17" ht="15.75" customHeight="1">
      <c r="A560" s="4"/>
      <c r="B560" s="5"/>
      <c r="C560" s="5"/>
      <c r="D560" s="43"/>
      <c r="E560" s="5"/>
      <c r="F560" s="5"/>
      <c r="G560" s="5"/>
      <c r="J560" s="6"/>
      <c r="L560" s="7"/>
      <c r="M560" s="7"/>
      <c r="N560" s="7"/>
      <c r="O560" s="7"/>
      <c r="P560" s="7"/>
      <c r="Q560" s="7"/>
    </row>
    <row r="561" spans="1:17" ht="15.75" customHeight="1">
      <c r="A561" s="4"/>
      <c r="B561" s="5"/>
      <c r="C561" s="5"/>
      <c r="D561" s="43"/>
      <c r="E561" s="5"/>
      <c r="F561" s="5"/>
      <c r="G561" s="5"/>
      <c r="J561" s="6"/>
      <c r="L561" s="7"/>
      <c r="M561" s="7"/>
      <c r="N561" s="7"/>
      <c r="O561" s="7"/>
      <c r="P561" s="7"/>
      <c r="Q561" s="7"/>
    </row>
    <row r="562" spans="1:17" ht="15.75" customHeight="1">
      <c r="A562" s="4"/>
      <c r="B562" s="5"/>
      <c r="C562" s="5"/>
      <c r="D562" s="43"/>
      <c r="E562" s="5"/>
      <c r="F562" s="5"/>
      <c r="G562" s="5"/>
      <c r="J562" s="6"/>
      <c r="L562" s="7"/>
      <c r="M562" s="7"/>
      <c r="N562" s="7"/>
      <c r="O562" s="7"/>
      <c r="P562" s="7"/>
      <c r="Q562" s="7"/>
    </row>
    <row r="563" spans="1:17" ht="15.75" customHeight="1">
      <c r="A563" s="4"/>
      <c r="B563" s="5"/>
      <c r="C563" s="5"/>
      <c r="D563" s="43"/>
      <c r="E563" s="5"/>
      <c r="F563" s="5"/>
      <c r="G563" s="5"/>
      <c r="J563" s="6"/>
      <c r="L563" s="7"/>
      <c r="M563" s="7"/>
      <c r="N563" s="7"/>
      <c r="O563" s="7"/>
      <c r="P563" s="7"/>
      <c r="Q563" s="7"/>
    </row>
    <row r="564" spans="1:17" ht="15.75" customHeight="1">
      <c r="A564" s="4"/>
      <c r="B564" s="5"/>
      <c r="C564" s="5"/>
      <c r="D564" s="43"/>
      <c r="E564" s="5"/>
      <c r="F564" s="5"/>
      <c r="G564" s="5"/>
      <c r="J564" s="6"/>
      <c r="L564" s="7"/>
      <c r="M564" s="7"/>
      <c r="N564" s="7"/>
      <c r="O564" s="7"/>
      <c r="P564" s="7"/>
      <c r="Q564" s="7"/>
    </row>
    <row r="565" spans="1:17" ht="15.75" customHeight="1">
      <c r="A565" s="4"/>
      <c r="B565" s="5"/>
      <c r="C565" s="5"/>
      <c r="D565" s="43"/>
      <c r="E565" s="5"/>
      <c r="F565" s="5"/>
      <c r="G565" s="5"/>
      <c r="J565" s="6"/>
      <c r="L565" s="7"/>
      <c r="M565" s="7"/>
      <c r="N565" s="7"/>
      <c r="O565" s="7"/>
      <c r="P565" s="7"/>
      <c r="Q565" s="7"/>
    </row>
    <row r="566" spans="1:17" ht="15.75" customHeight="1">
      <c r="A566" s="4"/>
      <c r="B566" s="5"/>
      <c r="C566" s="5"/>
      <c r="D566" s="43"/>
      <c r="E566" s="5"/>
      <c r="F566" s="5"/>
      <c r="G566" s="5"/>
      <c r="J566" s="6"/>
      <c r="L566" s="7"/>
      <c r="M566" s="7"/>
      <c r="N566" s="7"/>
      <c r="O566" s="7"/>
      <c r="P566" s="7"/>
      <c r="Q566" s="7"/>
    </row>
    <row r="567" spans="1:17" ht="15.75" customHeight="1">
      <c r="A567" s="4"/>
      <c r="B567" s="5"/>
      <c r="C567" s="5"/>
      <c r="D567" s="43"/>
      <c r="E567" s="5"/>
      <c r="F567" s="5"/>
      <c r="G567" s="5"/>
      <c r="J567" s="6"/>
      <c r="L567" s="7"/>
      <c r="M567" s="7"/>
      <c r="N567" s="7"/>
      <c r="O567" s="7"/>
      <c r="P567" s="7"/>
      <c r="Q567" s="7"/>
    </row>
    <row r="568" spans="1:17" ht="15.75" customHeight="1">
      <c r="A568" s="4"/>
      <c r="B568" s="5"/>
      <c r="C568" s="5"/>
      <c r="D568" s="43"/>
      <c r="E568" s="5"/>
      <c r="F568" s="5"/>
      <c r="G568" s="5"/>
      <c r="J568" s="6"/>
      <c r="L568" s="7"/>
      <c r="M568" s="7"/>
      <c r="N568" s="7"/>
      <c r="O568" s="7"/>
      <c r="P568" s="7"/>
      <c r="Q568" s="7"/>
    </row>
    <row r="569" spans="1:17" ht="15.75" customHeight="1">
      <c r="A569" s="4"/>
      <c r="B569" s="5"/>
      <c r="C569" s="5"/>
      <c r="D569" s="43"/>
      <c r="E569" s="5"/>
      <c r="F569" s="5"/>
      <c r="G569" s="5"/>
      <c r="J569" s="6"/>
      <c r="L569" s="7"/>
      <c r="M569" s="7"/>
      <c r="N569" s="7"/>
      <c r="O569" s="7"/>
      <c r="P569" s="7"/>
      <c r="Q569" s="7"/>
    </row>
    <row r="570" spans="1:17" ht="15.75" customHeight="1">
      <c r="A570" s="4"/>
      <c r="B570" s="5"/>
      <c r="C570" s="5"/>
      <c r="D570" s="43"/>
      <c r="E570" s="5"/>
      <c r="F570" s="5"/>
      <c r="G570" s="5"/>
      <c r="J570" s="6"/>
      <c r="L570" s="7"/>
      <c r="M570" s="7"/>
      <c r="N570" s="7"/>
      <c r="O570" s="7"/>
      <c r="P570" s="7"/>
      <c r="Q570" s="7"/>
    </row>
    <row r="571" spans="1:17" ht="15.75" customHeight="1">
      <c r="A571" s="4"/>
      <c r="B571" s="5"/>
      <c r="C571" s="5"/>
      <c r="D571" s="43"/>
      <c r="E571" s="5"/>
      <c r="F571" s="5"/>
      <c r="G571" s="5"/>
      <c r="J571" s="6"/>
      <c r="L571" s="7"/>
      <c r="M571" s="7"/>
      <c r="N571" s="7"/>
      <c r="O571" s="7"/>
      <c r="P571" s="7"/>
      <c r="Q571" s="7"/>
    </row>
    <row r="572" spans="1:17" ht="15.75" customHeight="1">
      <c r="A572" s="4"/>
      <c r="B572" s="5"/>
      <c r="C572" s="5"/>
      <c r="D572" s="43"/>
      <c r="E572" s="5"/>
      <c r="F572" s="5"/>
      <c r="G572" s="5"/>
      <c r="J572" s="6"/>
      <c r="L572" s="7"/>
      <c r="M572" s="7"/>
      <c r="N572" s="7"/>
      <c r="O572" s="7"/>
      <c r="P572" s="7"/>
      <c r="Q572" s="7"/>
    </row>
    <row r="573" spans="1:17" ht="15.75" customHeight="1">
      <c r="A573" s="4"/>
      <c r="B573" s="5"/>
      <c r="C573" s="5"/>
      <c r="D573" s="43"/>
      <c r="E573" s="5"/>
      <c r="F573" s="5"/>
      <c r="G573" s="5"/>
      <c r="J573" s="6"/>
      <c r="L573" s="7"/>
      <c r="M573" s="7"/>
      <c r="N573" s="7"/>
      <c r="O573" s="7"/>
      <c r="P573" s="7"/>
      <c r="Q573" s="7"/>
    </row>
    <row r="574" spans="1:17" ht="15.75" customHeight="1">
      <c r="A574" s="4"/>
      <c r="B574" s="5"/>
      <c r="C574" s="5"/>
      <c r="D574" s="43"/>
      <c r="E574" s="5"/>
      <c r="F574" s="5"/>
      <c r="G574" s="5"/>
      <c r="J574" s="6"/>
      <c r="L574" s="7"/>
      <c r="M574" s="7"/>
      <c r="N574" s="7"/>
      <c r="O574" s="7"/>
      <c r="P574" s="7"/>
      <c r="Q574" s="7"/>
    </row>
    <row r="575" spans="1:17" ht="15.75" customHeight="1">
      <c r="A575" s="4"/>
      <c r="B575" s="5"/>
      <c r="C575" s="5"/>
      <c r="D575" s="43"/>
      <c r="E575" s="5"/>
      <c r="F575" s="5"/>
      <c r="G575" s="5"/>
      <c r="J575" s="6"/>
      <c r="L575" s="7"/>
      <c r="M575" s="7"/>
      <c r="N575" s="7"/>
      <c r="O575" s="7"/>
      <c r="P575" s="7"/>
      <c r="Q575" s="7"/>
    </row>
    <row r="576" spans="1:17" ht="15.75" customHeight="1">
      <c r="A576" s="4"/>
      <c r="B576" s="5"/>
      <c r="C576" s="5"/>
      <c r="D576" s="43"/>
      <c r="E576" s="5"/>
      <c r="F576" s="5"/>
      <c r="G576" s="5"/>
      <c r="J576" s="6"/>
      <c r="L576" s="7"/>
      <c r="M576" s="7"/>
      <c r="N576" s="7"/>
      <c r="O576" s="7"/>
      <c r="P576" s="7"/>
      <c r="Q576" s="7"/>
    </row>
    <row r="577" spans="1:17" ht="15.75" customHeight="1">
      <c r="A577" s="4"/>
      <c r="B577" s="5"/>
      <c r="C577" s="5"/>
      <c r="D577" s="43"/>
      <c r="E577" s="5"/>
      <c r="F577" s="5"/>
      <c r="G577" s="5"/>
      <c r="J577" s="6"/>
      <c r="L577" s="7"/>
      <c r="M577" s="7"/>
      <c r="N577" s="7"/>
      <c r="O577" s="7"/>
      <c r="P577" s="7"/>
      <c r="Q577" s="7"/>
    </row>
    <row r="578" spans="1:17" ht="15.75" customHeight="1">
      <c r="A578" s="4"/>
      <c r="B578" s="5"/>
      <c r="C578" s="5"/>
      <c r="D578" s="43"/>
      <c r="E578" s="5"/>
      <c r="F578" s="5"/>
      <c r="G578" s="5"/>
      <c r="J578" s="6"/>
      <c r="L578" s="7"/>
      <c r="M578" s="7"/>
      <c r="N578" s="7"/>
      <c r="O578" s="7"/>
      <c r="P578" s="7"/>
      <c r="Q578" s="7"/>
    </row>
    <row r="579" spans="1:17" ht="15.75" customHeight="1">
      <c r="A579" s="4"/>
      <c r="B579" s="5"/>
      <c r="C579" s="5"/>
      <c r="D579" s="43"/>
      <c r="E579" s="5"/>
      <c r="F579" s="5"/>
      <c r="G579" s="5"/>
      <c r="J579" s="6"/>
      <c r="L579" s="7"/>
      <c r="M579" s="7"/>
      <c r="N579" s="7"/>
      <c r="O579" s="7"/>
      <c r="P579" s="7"/>
      <c r="Q579" s="7"/>
    </row>
    <row r="580" spans="1:17" ht="15.75" customHeight="1">
      <c r="A580" s="4"/>
      <c r="B580" s="5"/>
      <c r="C580" s="5"/>
      <c r="D580" s="43"/>
      <c r="E580" s="5"/>
      <c r="F580" s="5"/>
      <c r="G580" s="5"/>
      <c r="J580" s="6"/>
      <c r="L580" s="7"/>
      <c r="M580" s="7"/>
      <c r="N580" s="7"/>
      <c r="O580" s="7"/>
      <c r="P580" s="7"/>
      <c r="Q580" s="7"/>
    </row>
    <row r="581" spans="1:17" ht="15.75" customHeight="1">
      <c r="A581" s="4"/>
      <c r="B581" s="5"/>
      <c r="C581" s="5"/>
      <c r="D581" s="43"/>
      <c r="E581" s="5"/>
      <c r="F581" s="5"/>
      <c r="G581" s="5"/>
      <c r="J581" s="6"/>
      <c r="L581" s="7"/>
      <c r="M581" s="7"/>
      <c r="N581" s="7"/>
      <c r="O581" s="7"/>
      <c r="P581" s="7"/>
      <c r="Q581" s="7"/>
    </row>
    <row r="582" spans="1:17" ht="15.75" customHeight="1">
      <c r="A582" s="4"/>
      <c r="B582" s="5"/>
      <c r="C582" s="5"/>
      <c r="D582" s="43"/>
      <c r="E582" s="5"/>
      <c r="F582" s="5"/>
      <c r="G582" s="5"/>
      <c r="J582" s="6"/>
      <c r="L582" s="7"/>
      <c r="M582" s="7"/>
      <c r="N582" s="7"/>
      <c r="O582" s="7"/>
      <c r="P582" s="7"/>
      <c r="Q582" s="7"/>
    </row>
    <row r="583" spans="1:17" ht="15.75" customHeight="1">
      <c r="A583" s="4"/>
      <c r="B583" s="5"/>
      <c r="C583" s="5"/>
      <c r="D583" s="43"/>
      <c r="E583" s="5"/>
      <c r="F583" s="5"/>
      <c r="G583" s="5"/>
      <c r="J583" s="6"/>
      <c r="L583" s="7"/>
      <c r="M583" s="7"/>
      <c r="N583" s="7"/>
      <c r="O583" s="7"/>
      <c r="P583" s="7"/>
      <c r="Q583" s="7"/>
    </row>
    <row r="584" spans="1:17" ht="15.75" customHeight="1">
      <c r="A584" s="4"/>
      <c r="B584" s="5"/>
      <c r="C584" s="5"/>
      <c r="D584" s="43"/>
      <c r="E584" s="5"/>
      <c r="F584" s="5"/>
      <c r="G584" s="5"/>
      <c r="J584" s="6"/>
      <c r="L584" s="7"/>
      <c r="M584" s="7"/>
      <c r="N584" s="7"/>
      <c r="O584" s="7"/>
      <c r="P584" s="7"/>
      <c r="Q584" s="7"/>
    </row>
    <row r="585" spans="1:17" ht="15.75" customHeight="1">
      <c r="A585" s="4"/>
      <c r="B585" s="5"/>
      <c r="C585" s="5"/>
      <c r="D585" s="43"/>
      <c r="E585" s="5"/>
      <c r="F585" s="5"/>
      <c r="G585" s="5"/>
      <c r="J585" s="6"/>
      <c r="L585" s="7"/>
      <c r="M585" s="7"/>
      <c r="N585" s="7"/>
      <c r="O585" s="7"/>
      <c r="P585" s="7"/>
      <c r="Q585" s="7"/>
    </row>
    <row r="586" spans="1:17" ht="15.75" customHeight="1">
      <c r="A586" s="4"/>
      <c r="B586" s="5"/>
      <c r="C586" s="5"/>
      <c r="D586" s="43"/>
      <c r="E586" s="5"/>
      <c r="F586" s="5"/>
      <c r="G586" s="5"/>
      <c r="J586" s="6"/>
      <c r="L586" s="7"/>
      <c r="M586" s="7"/>
      <c r="N586" s="7"/>
      <c r="O586" s="7"/>
      <c r="P586" s="7"/>
      <c r="Q586" s="7"/>
    </row>
    <row r="587" spans="1:17" ht="15.75" customHeight="1">
      <c r="A587" s="4"/>
      <c r="B587" s="5"/>
      <c r="C587" s="5"/>
      <c r="D587" s="43"/>
      <c r="E587" s="5"/>
      <c r="F587" s="5"/>
      <c r="G587" s="5"/>
      <c r="J587" s="6"/>
      <c r="L587" s="7"/>
      <c r="M587" s="7"/>
      <c r="N587" s="7"/>
      <c r="O587" s="7"/>
      <c r="P587" s="7"/>
      <c r="Q587" s="7"/>
    </row>
    <row r="588" spans="1:17" ht="15.75" customHeight="1">
      <c r="A588" s="4"/>
      <c r="B588" s="5"/>
      <c r="C588" s="5"/>
      <c r="D588" s="43"/>
      <c r="E588" s="5"/>
      <c r="F588" s="5"/>
      <c r="G588" s="5"/>
      <c r="J588" s="6"/>
      <c r="L588" s="7"/>
      <c r="M588" s="7"/>
      <c r="N588" s="7"/>
      <c r="O588" s="7"/>
      <c r="P588" s="7"/>
      <c r="Q588" s="7"/>
    </row>
    <row r="589" spans="1:17" ht="15.75" customHeight="1">
      <c r="A589" s="4"/>
      <c r="B589" s="5"/>
      <c r="C589" s="5"/>
      <c r="D589" s="43"/>
      <c r="E589" s="5"/>
      <c r="F589" s="5"/>
      <c r="G589" s="5"/>
      <c r="J589" s="6"/>
      <c r="L589" s="7"/>
      <c r="M589" s="7"/>
      <c r="N589" s="7"/>
      <c r="O589" s="7"/>
      <c r="P589" s="7"/>
      <c r="Q589" s="7"/>
    </row>
    <row r="590" spans="1:17" ht="15.75" customHeight="1">
      <c r="A590" s="4"/>
      <c r="B590" s="5"/>
      <c r="C590" s="5"/>
      <c r="D590" s="43"/>
      <c r="E590" s="5"/>
      <c r="F590" s="5"/>
      <c r="G590" s="5"/>
      <c r="J590" s="6"/>
      <c r="L590" s="7"/>
      <c r="M590" s="7"/>
      <c r="N590" s="7"/>
      <c r="O590" s="7"/>
      <c r="P590" s="7"/>
      <c r="Q590" s="7"/>
    </row>
    <row r="591" spans="1:17" ht="15.75" customHeight="1">
      <c r="A591" s="4"/>
      <c r="B591" s="5"/>
      <c r="C591" s="5"/>
      <c r="D591" s="43"/>
      <c r="E591" s="5"/>
      <c r="F591" s="5"/>
      <c r="G591" s="5"/>
      <c r="J591" s="6"/>
      <c r="L591" s="7"/>
      <c r="M591" s="7"/>
      <c r="N591" s="7"/>
      <c r="O591" s="7"/>
      <c r="P591" s="7"/>
      <c r="Q591" s="7"/>
    </row>
    <row r="592" spans="1:17" ht="15.75" customHeight="1">
      <c r="A592" s="4"/>
      <c r="B592" s="5"/>
      <c r="C592" s="5"/>
      <c r="D592" s="43"/>
      <c r="E592" s="5"/>
      <c r="F592" s="5"/>
      <c r="G592" s="5"/>
      <c r="J592" s="6"/>
      <c r="L592" s="7"/>
      <c r="M592" s="7"/>
      <c r="N592" s="7"/>
      <c r="O592" s="7"/>
      <c r="P592" s="7"/>
      <c r="Q592" s="7"/>
    </row>
    <row r="593" spans="1:17" ht="15.75" customHeight="1">
      <c r="A593" s="4"/>
      <c r="B593" s="5"/>
      <c r="C593" s="5"/>
      <c r="D593" s="43"/>
      <c r="E593" s="5"/>
      <c r="F593" s="5"/>
      <c r="G593" s="5"/>
      <c r="J593" s="6"/>
      <c r="L593" s="7"/>
      <c r="M593" s="7"/>
      <c r="N593" s="7"/>
      <c r="O593" s="7"/>
      <c r="P593" s="7"/>
      <c r="Q593" s="7"/>
    </row>
    <row r="594" spans="1:17" ht="15.75" customHeight="1">
      <c r="A594" s="4"/>
      <c r="B594" s="5"/>
      <c r="C594" s="5"/>
      <c r="D594" s="43"/>
      <c r="E594" s="5"/>
      <c r="F594" s="5"/>
      <c r="G594" s="5"/>
      <c r="J594" s="6"/>
      <c r="L594" s="7"/>
      <c r="M594" s="7"/>
      <c r="N594" s="7"/>
      <c r="O594" s="7"/>
      <c r="P594" s="7"/>
      <c r="Q594" s="7"/>
    </row>
    <row r="595" spans="1:17" ht="15.75" customHeight="1">
      <c r="A595" s="4"/>
      <c r="B595" s="5"/>
      <c r="C595" s="5"/>
      <c r="D595" s="43"/>
      <c r="E595" s="5"/>
      <c r="F595" s="5"/>
      <c r="G595" s="5"/>
      <c r="J595" s="6"/>
      <c r="L595" s="7"/>
      <c r="M595" s="7"/>
      <c r="N595" s="7"/>
      <c r="O595" s="7"/>
      <c r="P595" s="7"/>
      <c r="Q595" s="7"/>
    </row>
    <row r="596" spans="1:17" ht="15.75" customHeight="1">
      <c r="A596" s="4"/>
      <c r="B596" s="5"/>
      <c r="C596" s="5"/>
      <c r="D596" s="43"/>
      <c r="E596" s="5"/>
      <c r="F596" s="5"/>
      <c r="G596" s="5"/>
      <c r="J596" s="6"/>
      <c r="L596" s="7"/>
      <c r="M596" s="7"/>
      <c r="N596" s="7"/>
      <c r="O596" s="7"/>
      <c r="P596" s="7"/>
      <c r="Q596" s="7"/>
    </row>
    <row r="597" spans="1:17" ht="15.75" customHeight="1">
      <c r="A597" s="4"/>
      <c r="B597" s="5"/>
      <c r="C597" s="5"/>
      <c r="D597" s="43"/>
      <c r="E597" s="5"/>
      <c r="F597" s="5"/>
      <c r="G597" s="5"/>
      <c r="J597" s="6"/>
      <c r="L597" s="7"/>
      <c r="M597" s="7"/>
      <c r="N597" s="7"/>
      <c r="O597" s="7"/>
      <c r="P597" s="7"/>
      <c r="Q597" s="7"/>
    </row>
    <row r="598" spans="1:17" ht="15.75" customHeight="1">
      <c r="A598" s="4"/>
      <c r="B598" s="5"/>
      <c r="C598" s="5"/>
      <c r="D598" s="43"/>
      <c r="E598" s="5"/>
      <c r="F598" s="5"/>
      <c r="G598" s="5"/>
      <c r="J598" s="6"/>
      <c r="L598" s="7"/>
      <c r="M598" s="7"/>
      <c r="N598" s="7"/>
      <c r="O598" s="7"/>
      <c r="P598" s="7"/>
      <c r="Q598" s="7"/>
    </row>
    <row r="599" spans="1:17" ht="15.75" customHeight="1">
      <c r="A599" s="4"/>
      <c r="B599" s="5"/>
      <c r="C599" s="5"/>
      <c r="D599" s="43"/>
      <c r="E599" s="5"/>
      <c r="F599" s="5"/>
      <c r="G599" s="5"/>
      <c r="J599" s="6"/>
      <c r="L599" s="7"/>
      <c r="M599" s="7"/>
      <c r="N599" s="7"/>
      <c r="O599" s="7"/>
      <c r="P599" s="7"/>
      <c r="Q599" s="7"/>
    </row>
    <row r="600" spans="1:17" ht="15.75" customHeight="1">
      <c r="A600" s="4"/>
      <c r="B600" s="5"/>
      <c r="C600" s="5"/>
      <c r="D600" s="43"/>
      <c r="E600" s="5"/>
      <c r="F600" s="5"/>
      <c r="G600" s="5"/>
      <c r="J600" s="6"/>
      <c r="L600" s="7"/>
      <c r="M600" s="7"/>
      <c r="N600" s="7"/>
      <c r="O600" s="7"/>
      <c r="P600" s="7"/>
      <c r="Q600" s="7"/>
    </row>
    <row r="601" spans="1:17" ht="15.75" customHeight="1">
      <c r="A601" s="4"/>
      <c r="B601" s="5"/>
      <c r="C601" s="5"/>
      <c r="D601" s="43"/>
      <c r="E601" s="5"/>
      <c r="F601" s="5"/>
      <c r="G601" s="5"/>
      <c r="J601" s="6"/>
      <c r="L601" s="7"/>
      <c r="M601" s="7"/>
      <c r="N601" s="7"/>
      <c r="O601" s="7"/>
      <c r="P601" s="7"/>
      <c r="Q601" s="7"/>
    </row>
    <row r="602" spans="1:17" ht="15.75" customHeight="1">
      <c r="A602" s="4"/>
      <c r="B602" s="5"/>
      <c r="C602" s="5"/>
      <c r="D602" s="43"/>
      <c r="E602" s="5"/>
      <c r="F602" s="5"/>
      <c r="G602" s="5"/>
      <c r="J602" s="6"/>
      <c r="L602" s="7"/>
      <c r="M602" s="7"/>
      <c r="N602" s="7"/>
      <c r="O602" s="7"/>
      <c r="P602" s="7"/>
      <c r="Q602" s="7"/>
    </row>
    <row r="603" spans="1:17" ht="15.75" customHeight="1">
      <c r="A603" s="4"/>
      <c r="B603" s="5"/>
      <c r="C603" s="5"/>
      <c r="D603" s="43"/>
      <c r="E603" s="5"/>
      <c r="F603" s="5"/>
      <c r="G603" s="5"/>
      <c r="J603" s="6"/>
      <c r="L603" s="7"/>
      <c r="M603" s="7"/>
      <c r="N603" s="7"/>
      <c r="O603" s="7"/>
      <c r="P603" s="7"/>
      <c r="Q603" s="7"/>
    </row>
    <row r="604" spans="1:17" ht="15.75" customHeight="1">
      <c r="A604" s="4"/>
      <c r="B604" s="5"/>
      <c r="C604" s="5"/>
      <c r="D604" s="43"/>
      <c r="E604" s="5"/>
      <c r="F604" s="5"/>
      <c r="G604" s="5"/>
      <c r="J604" s="6"/>
      <c r="L604" s="7"/>
      <c r="M604" s="7"/>
      <c r="N604" s="7"/>
      <c r="O604" s="7"/>
      <c r="P604" s="7"/>
      <c r="Q604" s="7"/>
    </row>
    <row r="605" spans="1:17" ht="15.75" customHeight="1">
      <c r="A605" s="4"/>
      <c r="B605" s="5"/>
      <c r="C605" s="5"/>
      <c r="D605" s="43"/>
      <c r="E605" s="5"/>
      <c r="F605" s="5"/>
      <c r="G605" s="5"/>
      <c r="J605" s="6"/>
      <c r="L605" s="7"/>
      <c r="M605" s="7"/>
      <c r="N605" s="7"/>
      <c r="O605" s="7"/>
      <c r="P605" s="7"/>
      <c r="Q605" s="7"/>
    </row>
    <row r="606" spans="1:17" ht="15.75" customHeight="1">
      <c r="A606" s="4"/>
      <c r="B606" s="5"/>
      <c r="C606" s="5"/>
      <c r="D606" s="43"/>
      <c r="E606" s="5"/>
      <c r="F606" s="5"/>
      <c r="G606" s="5"/>
      <c r="J606" s="6"/>
      <c r="L606" s="7"/>
      <c r="M606" s="7"/>
      <c r="N606" s="7"/>
      <c r="O606" s="7"/>
      <c r="P606" s="7"/>
      <c r="Q606" s="7"/>
    </row>
    <row r="607" spans="1:17" ht="15.75" customHeight="1">
      <c r="A607" s="4"/>
      <c r="B607" s="5"/>
      <c r="C607" s="5"/>
      <c r="D607" s="43"/>
      <c r="E607" s="5"/>
      <c r="F607" s="5"/>
      <c r="G607" s="5"/>
      <c r="J607" s="6"/>
      <c r="L607" s="7"/>
      <c r="M607" s="7"/>
      <c r="N607" s="7"/>
      <c r="O607" s="7"/>
      <c r="P607" s="7"/>
      <c r="Q607" s="7"/>
    </row>
    <row r="608" spans="1:17" ht="15.75" customHeight="1">
      <c r="A608" s="4"/>
      <c r="B608" s="5"/>
      <c r="C608" s="5"/>
      <c r="D608" s="43"/>
      <c r="E608" s="5"/>
      <c r="F608" s="5"/>
      <c r="G608" s="5"/>
      <c r="J608" s="6"/>
      <c r="L608" s="7"/>
      <c r="M608" s="7"/>
      <c r="N608" s="7"/>
      <c r="O608" s="7"/>
      <c r="P608" s="7"/>
      <c r="Q608" s="7"/>
    </row>
    <row r="609" spans="1:17" ht="15.75" customHeight="1">
      <c r="A609" s="4"/>
      <c r="B609" s="5"/>
      <c r="C609" s="5"/>
      <c r="D609" s="43"/>
      <c r="E609" s="5"/>
      <c r="F609" s="5"/>
      <c r="G609" s="5"/>
      <c r="J609" s="6"/>
      <c r="L609" s="7"/>
      <c r="M609" s="7"/>
      <c r="N609" s="7"/>
      <c r="O609" s="7"/>
      <c r="P609" s="7"/>
      <c r="Q609" s="7"/>
    </row>
    <row r="610" spans="1:17" ht="15.75" customHeight="1">
      <c r="A610" s="4"/>
      <c r="B610" s="5"/>
      <c r="C610" s="5"/>
      <c r="D610" s="43"/>
      <c r="E610" s="5"/>
      <c r="F610" s="5"/>
      <c r="G610" s="5"/>
      <c r="J610" s="6"/>
      <c r="L610" s="7"/>
      <c r="M610" s="7"/>
      <c r="N610" s="7"/>
      <c r="O610" s="7"/>
      <c r="P610" s="7"/>
      <c r="Q610" s="7"/>
    </row>
    <row r="611" spans="1:17" ht="15.75" customHeight="1">
      <c r="A611" s="4"/>
      <c r="B611" s="5"/>
      <c r="C611" s="5"/>
      <c r="D611" s="43"/>
      <c r="E611" s="5"/>
      <c r="F611" s="5"/>
      <c r="G611" s="5"/>
      <c r="J611" s="6"/>
      <c r="L611" s="7"/>
      <c r="M611" s="7"/>
      <c r="N611" s="7"/>
      <c r="O611" s="7"/>
      <c r="P611" s="7"/>
      <c r="Q611" s="7"/>
    </row>
    <row r="612" spans="1:17" ht="15.75" customHeight="1">
      <c r="A612" s="4"/>
      <c r="B612" s="5"/>
      <c r="C612" s="5"/>
      <c r="D612" s="43"/>
      <c r="E612" s="5"/>
      <c r="F612" s="5"/>
      <c r="G612" s="5"/>
      <c r="J612" s="6"/>
      <c r="L612" s="7"/>
      <c r="M612" s="7"/>
      <c r="N612" s="7"/>
      <c r="O612" s="7"/>
      <c r="P612" s="7"/>
      <c r="Q612" s="7"/>
    </row>
    <row r="613" spans="1:17" ht="15.75" customHeight="1">
      <c r="A613" s="4"/>
      <c r="B613" s="5"/>
      <c r="C613" s="5"/>
      <c r="D613" s="43"/>
      <c r="E613" s="5"/>
      <c r="F613" s="5"/>
      <c r="G613" s="5"/>
      <c r="J613" s="6"/>
      <c r="L613" s="7"/>
      <c r="M613" s="7"/>
      <c r="N613" s="7"/>
      <c r="O613" s="7"/>
      <c r="P613" s="7"/>
      <c r="Q613" s="7"/>
    </row>
    <row r="614" spans="1:17" ht="15.75" customHeight="1">
      <c r="A614" s="4"/>
      <c r="B614" s="5"/>
      <c r="C614" s="5"/>
      <c r="D614" s="43"/>
      <c r="E614" s="5"/>
      <c r="F614" s="5"/>
      <c r="G614" s="5"/>
      <c r="J614" s="6"/>
      <c r="L614" s="7"/>
      <c r="M614" s="7"/>
      <c r="N614" s="7"/>
      <c r="O614" s="7"/>
      <c r="P614" s="7"/>
      <c r="Q614" s="7"/>
    </row>
    <row r="615" spans="1:17" ht="15.75" customHeight="1">
      <c r="A615" s="4"/>
      <c r="B615" s="5"/>
      <c r="C615" s="5"/>
      <c r="D615" s="43"/>
      <c r="E615" s="5"/>
      <c r="F615" s="5"/>
      <c r="G615" s="5"/>
      <c r="J615" s="6"/>
      <c r="L615" s="7"/>
      <c r="M615" s="7"/>
      <c r="N615" s="7"/>
      <c r="O615" s="7"/>
      <c r="P615" s="7"/>
      <c r="Q615" s="7"/>
    </row>
    <row r="616" spans="1:17" ht="15.75" customHeight="1">
      <c r="A616" s="4"/>
      <c r="B616" s="5"/>
      <c r="C616" s="5"/>
      <c r="D616" s="43"/>
      <c r="E616" s="5"/>
      <c r="F616" s="5"/>
      <c r="G616" s="5"/>
      <c r="J616" s="6"/>
      <c r="L616" s="7"/>
      <c r="M616" s="7"/>
      <c r="N616" s="7"/>
      <c r="O616" s="7"/>
      <c r="P616" s="7"/>
      <c r="Q616" s="7"/>
    </row>
    <row r="617" spans="1:17" ht="15.75" customHeight="1">
      <c r="A617" s="4"/>
      <c r="B617" s="5"/>
      <c r="C617" s="5"/>
      <c r="D617" s="43"/>
      <c r="E617" s="5"/>
      <c r="F617" s="5"/>
      <c r="G617" s="5"/>
      <c r="J617" s="6"/>
      <c r="L617" s="7"/>
      <c r="M617" s="7"/>
      <c r="N617" s="7"/>
      <c r="O617" s="7"/>
      <c r="P617" s="7"/>
      <c r="Q617" s="7"/>
    </row>
    <row r="618" spans="1:17" ht="15.75" customHeight="1">
      <c r="A618" s="4"/>
      <c r="B618" s="5"/>
      <c r="C618" s="5"/>
      <c r="D618" s="43"/>
      <c r="E618" s="5"/>
      <c r="F618" s="5"/>
      <c r="G618" s="5"/>
      <c r="J618" s="6"/>
      <c r="L618" s="7"/>
      <c r="M618" s="7"/>
      <c r="N618" s="7"/>
      <c r="O618" s="7"/>
      <c r="P618" s="7"/>
      <c r="Q618" s="7"/>
    </row>
    <row r="619" spans="1:17" ht="15.75" customHeight="1">
      <c r="A619" s="4"/>
      <c r="B619" s="5"/>
      <c r="C619" s="5"/>
      <c r="D619" s="43"/>
      <c r="E619" s="5"/>
      <c r="F619" s="5"/>
      <c r="G619" s="5"/>
      <c r="J619" s="6"/>
      <c r="L619" s="7"/>
      <c r="M619" s="7"/>
      <c r="N619" s="7"/>
      <c r="O619" s="7"/>
      <c r="P619" s="7"/>
      <c r="Q619" s="7"/>
    </row>
    <row r="620" spans="1:17" ht="15.75" customHeight="1">
      <c r="A620" s="4"/>
      <c r="B620" s="5"/>
      <c r="C620" s="5"/>
      <c r="D620" s="43"/>
      <c r="E620" s="5"/>
      <c r="F620" s="5"/>
      <c r="G620" s="5"/>
      <c r="J620" s="6"/>
      <c r="L620" s="7"/>
      <c r="M620" s="7"/>
      <c r="N620" s="7"/>
      <c r="O620" s="7"/>
      <c r="P620" s="7"/>
      <c r="Q620" s="7"/>
    </row>
    <row r="621" spans="1:17" ht="15.75" customHeight="1">
      <c r="A621" s="4"/>
      <c r="B621" s="5"/>
      <c r="C621" s="5"/>
      <c r="D621" s="43"/>
      <c r="E621" s="5"/>
      <c r="F621" s="5"/>
      <c r="G621" s="5"/>
      <c r="J621" s="6"/>
      <c r="L621" s="7"/>
      <c r="M621" s="7"/>
      <c r="N621" s="7"/>
      <c r="O621" s="7"/>
      <c r="P621" s="7"/>
      <c r="Q621" s="7"/>
    </row>
    <row r="622" spans="1:17" ht="15.75" customHeight="1">
      <c r="A622" s="4"/>
      <c r="B622" s="5"/>
      <c r="C622" s="5"/>
      <c r="D622" s="43"/>
      <c r="E622" s="5"/>
      <c r="F622" s="5"/>
      <c r="G622" s="5"/>
      <c r="J622" s="6"/>
      <c r="L622" s="7"/>
      <c r="M622" s="7"/>
      <c r="N622" s="7"/>
      <c r="O622" s="7"/>
      <c r="P622" s="7"/>
      <c r="Q622" s="7"/>
    </row>
    <row r="623" spans="1:17" ht="15.75" customHeight="1">
      <c r="A623" s="4"/>
      <c r="B623" s="5"/>
      <c r="C623" s="5"/>
      <c r="D623" s="43"/>
      <c r="E623" s="5"/>
      <c r="F623" s="5"/>
      <c r="G623" s="5"/>
      <c r="J623" s="6"/>
      <c r="L623" s="7"/>
      <c r="M623" s="7"/>
      <c r="N623" s="7"/>
      <c r="O623" s="7"/>
      <c r="P623" s="7"/>
      <c r="Q623" s="7"/>
    </row>
    <row r="624" spans="1:17" ht="15.75" customHeight="1">
      <c r="A624" s="4"/>
      <c r="B624" s="5"/>
      <c r="C624" s="5"/>
      <c r="D624" s="43"/>
      <c r="E624" s="5"/>
      <c r="F624" s="5"/>
      <c r="G624" s="5"/>
      <c r="J624" s="6"/>
      <c r="L624" s="7"/>
      <c r="M624" s="7"/>
      <c r="N624" s="7"/>
      <c r="O624" s="7"/>
      <c r="P624" s="7"/>
      <c r="Q624" s="7"/>
    </row>
    <row r="625" spans="1:17" ht="15.75" customHeight="1">
      <c r="A625" s="4"/>
      <c r="B625" s="5"/>
      <c r="C625" s="5"/>
      <c r="D625" s="43"/>
      <c r="E625" s="5"/>
      <c r="F625" s="5"/>
      <c r="G625" s="5"/>
      <c r="J625" s="6"/>
      <c r="L625" s="7"/>
      <c r="M625" s="7"/>
      <c r="N625" s="7"/>
      <c r="O625" s="7"/>
      <c r="P625" s="7"/>
      <c r="Q625" s="7"/>
    </row>
    <row r="626" spans="1:17" ht="15.75" customHeight="1">
      <c r="A626" s="4"/>
      <c r="B626" s="5"/>
      <c r="C626" s="5"/>
      <c r="D626" s="43"/>
      <c r="E626" s="5"/>
      <c r="F626" s="5"/>
      <c r="G626" s="5"/>
      <c r="J626" s="6"/>
      <c r="L626" s="7"/>
      <c r="M626" s="7"/>
      <c r="N626" s="7"/>
      <c r="O626" s="7"/>
      <c r="P626" s="7"/>
      <c r="Q626" s="7"/>
    </row>
    <row r="627" spans="1:17" ht="15.75" customHeight="1">
      <c r="A627" s="4"/>
      <c r="B627" s="5"/>
      <c r="C627" s="5"/>
      <c r="D627" s="43"/>
      <c r="E627" s="5"/>
      <c r="F627" s="5"/>
      <c r="G627" s="5"/>
      <c r="J627" s="6"/>
      <c r="L627" s="7"/>
      <c r="M627" s="7"/>
      <c r="N627" s="7"/>
      <c r="O627" s="7"/>
      <c r="P627" s="7"/>
      <c r="Q627" s="7"/>
    </row>
    <row r="628" spans="1:17" ht="15.75" customHeight="1">
      <c r="A628" s="4"/>
      <c r="B628" s="5"/>
      <c r="C628" s="5"/>
      <c r="D628" s="43"/>
      <c r="E628" s="5"/>
      <c r="F628" s="5"/>
      <c r="G628" s="5"/>
      <c r="J628" s="6"/>
      <c r="L628" s="7"/>
      <c r="M628" s="7"/>
      <c r="N628" s="7"/>
      <c r="O628" s="7"/>
      <c r="P628" s="7"/>
      <c r="Q628" s="7"/>
    </row>
    <row r="629" spans="1:17" ht="15.75" customHeight="1">
      <c r="A629" s="4"/>
      <c r="B629" s="5"/>
      <c r="C629" s="5"/>
      <c r="D629" s="43"/>
      <c r="E629" s="5"/>
      <c r="F629" s="5"/>
      <c r="G629" s="5"/>
      <c r="J629" s="6"/>
      <c r="L629" s="7"/>
      <c r="M629" s="7"/>
      <c r="N629" s="7"/>
      <c r="O629" s="7"/>
      <c r="P629" s="7"/>
      <c r="Q629" s="7"/>
    </row>
    <row r="630" spans="1:17" ht="15.75" customHeight="1">
      <c r="A630" s="4"/>
      <c r="B630" s="5"/>
      <c r="C630" s="5"/>
      <c r="D630" s="43"/>
      <c r="E630" s="5"/>
      <c r="F630" s="5"/>
      <c r="G630" s="5"/>
      <c r="J630" s="6"/>
      <c r="L630" s="7"/>
      <c r="M630" s="7"/>
      <c r="N630" s="7"/>
      <c r="O630" s="7"/>
      <c r="P630" s="7"/>
      <c r="Q630" s="7"/>
    </row>
    <row r="631" spans="1:17" ht="15.75" customHeight="1">
      <c r="A631" s="4"/>
      <c r="B631" s="5"/>
      <c r="C631" s="5"/>
      <c r="D631" s="43"/>
      <c r="E631" s="5"/>
      <c r="F631" s="5"/>
      <c r="G631" s="5"/>
      <c r="J631" s="6"/>
      <c r="L631" s="7"/>
      <c r="M631" s="7"/>
      <c r="N631" s="7"/>
      <c r="O631" s="7"/>
      <c r="P631" s="7"/>
      <c r="Q631" s="7"/>
    </row>
    <row r="632" spans="1:17" ht="15.75" customHeight="1">
      <c r="A632" s="4"/>
      <c r="B632" s="5"/>
      <c r="C632" s="5"/>
      <c r="D632" s="43"/>
      <c r="E632" s="5"/>
      <c r="F632" s="5"/>
      <c r="G632" s="5"/>
      <c r="J632" s="6"/>
      <c r="L632" s="7"/>
      <c r="M632" s="7"/>
      <c r="N632" s="7"/>
      <c r="O632" s="7"/>
      <c r="P632" s="7"/>
      <c r="Q632" s="7"/>
    </row>
    <row r="633" spans="1:17" ht="15.75" customHeight="1">
      <c r="A633" s="4"/>
      <c r="B633" s="5"/>
      <c r="C633" s="5"/>
      <c r="D633" s="43"/>
      <c r="E633" s="5"/>
      <c r="F633" s="5"/>
      <c r="G633" s="5"/>
      <c r="J633" s="6"/>
      <c r="L633" s="7"/>
      <c r="M633" s="7"/>
      <c r="N633" s="7"/>
      <c r="O633" s="7"/>
      <c r="P633" s="7"/>
      <c r="Q633" s="7"/>
    </row>
    <row r="634" spans="1:17" ht="15.75" customHeight="1">
      <c r="A634" s="4"/>
      <c r="B634" s="5"/>
      <c r="C634" s="5"/>
      <c r="D634" s="43"/>
      <c r="E634" s="5"/>
      <c r="F634" s="5"/>
      <c r="G634" s="5"/>
      <c r="J634" s="6"/>
      <c r="L634" s="7"/>
      <c r="M634" s="7"/>
      <c r="N634" s="7"/>
      <c r="O634" s="7"/>
      <c r="P634" s="7"/>
      <c r="Q634" s="7"/>
    </row>
    <row r="635" spans="1:17" ht="15.75" customHeight="1">
      <c r="A635" s="4"/>
      <c r="B635" s="5"/>
      <c r="C635" s="5"/>
      <c r="D635" s="43"/>
      <c r="E635" s="5"/>
      <c r="F635" s="5"/>
      <c r="G635" s="5"/>
      <c r="J635" s="6"/>
      <c r="L635" s="7"/>
      <c r="M635" s="7"/>
      <c r="N635" s="7"/>
      <c r="O635" s="7"/>
      <c r="P635" s="7"/>
      <c r="Q635" s="7"/>
    </row>
    <row r="636" spans="1:17" ht="15.75" customHeight="1">
      <c r="A636" s="4"/>
      <c r="B636" s="5"/>
      <c r="C636" s="5"/>
      <c r="D636" s="43"/>
      <c r="E636" s="5"/>
      <c r="F636" s="5"/>
      <c r="G636" s="5"/>
      <c r="J636" s="6"/>
      <c r="L636" s="7"/>
      <c r="M636" s="7"/>
      <c r="N636" s="7"/>
      <c r="O636" s="7"/>
      <c r="P636" s="7"/>
      <c r="Q636" s="7"/>
    </row>
    <row r="637" spans="1:17" ht="15.75" customHeight="1">
      <c r="A637" s="4"/>
      <c r="B637" s="5"/>
      <c r="C637" s="5"/>
      <c r="D637" s="43"/>
      <c r="E637" s="5"/>
      <c r="F637" s="5"/>
      <c r="G637" s="5"/>
      <c r="J637" s="6"/>
      <c r="L637" s="7"/>
      <c r="M637" s="7"/>
      <c r="N637" s="7"/>
      <c r="O637" s="7"/>
      <c r="P637" s="7"/>
      <c r="Q637" s="7"/>
    </row>
    <row r="638" spans="1:17" ht="15.75" customHeight="1">
      <c r="A638" s="4"/>
      <c r="B638" s="5"/>
      <c r="C638" s="5"/>
      <c r="D638" s="43"/>
      <c r="E638" s="5"/>
      <c r="F638" s="5"/>
      <c r="G638" s="5"/>
      <c r="J638" s="6"/>
      <c r="L638" s="7"/>
      <c r="M638" s="7"/>
      <c r="N638" s="7"/>
      <c r="O638" s="7"/>
      <c r="P638" s="7"/>
      <c r="Q638" s="7"/>
    </row>
    <row r="639" spans="1:17" ht="15.75" customHeight="1">
      <c r="A639" s="4"/>
      <c r="B639" s="5"/>
      <c r="C639" s="5"/>
      <c r="D639" s="43"/>
      <c r="E639" s="5"/>
      <c r="F639" s="5"/>
      <c r="G639" s="5"/>
      <c r="J639" s="6"/>
      <c r="L639" s="7"/>
      <c r="M639" s="7"/>
      <c r="N639" s="7"/>
      <c r="O639" s="7"/>
      <c r="P639" s="7"/>
      <c r="Q639" s="7"/>
    </row>
    <row r="640" spans="1:17" ht="15.75" customHeight="1">
      <c r="A640" s="4"/>
      <c r="B640" s="5"/>
      <c r="C640" s="5"/>
      <c r="D640" s="43"/>
      <c r="E640" s="5"/>
      <c r="F640" s="5"/>
      <c r="G640" s="5"/>
      <c r="J640" s="6"/>
      <c r="L640" s="7"/>
      <c r="M640" s="7"/>
      <c r="N640" s="7"/>
      <c r="O640" s="7"/>
      <c r="P640" s="7"/>
      <c r="Q640" s="7"/>
    </row>
    <row r="641" spans="1:17" ht="15.75" customHeight="1">
      <c r="A641" s="4"/>
      <c r="B641" s="5"/>
      <c r="C641" s="5"/>
      <c r="D641" s="43"/>
      <c r="E641" s="5"/>
      <c r="F641" s="5"/>
      <c r="G641" s="5"/>
      <c r="J641" s="6"/>
      <c r="L641" s="7"/>
      <c r="M641" s="7"/>
      <c r="N641" s="7"/>
      <c r="O641" s="7"/>
      <c r="P641" s="7"/>
      <c r="Q641" s="7"/>
    </row>
    <row r="642" spans="1:17" ht="15.75" customHeight="1">
      <c r="A642" s="4"/>
      <c r="B642" s="5"/>
      <c r="C642" s="5"/>
      <c r="D642" s="43"/>
      <c r="E642" s="5"/>
      <c r="F642" s="5"/>
      <c r="G642" s="5"/>
      <c r="J642" s="6"/>
      <c r="L642" s="7"/>
      <c r="M642" s="7"/>
      <c r="N642" s="7"/>
      <c r="O642" s="7"/>
      <c r="P642" s="7"/>
      <c r="Q642" s="7"/>
    </row>
    <row r="643" spans="1:17" ht="15.75" customHeight="1">
      <c r="A643" s="4"/>
      <c r="B643" s="5"/>
      <c r="C643" s="5"/>
      <c r="D643" s="43"/>
      <c r="E643" s="5"/>
      <c r="F643" s="5"/>
      <c r="G643" s="5"/>
      <c r="J643" s="6"/>
      <c r="L643" s="7"/>
      <c r="M643" s="7"/>
      <c r="N643" s="7"/>
      <c r="O643" s="7"/>
      <c r="P643" s="7"/>
      <c r="Q643" s="7"/>
    </row>
    <row r="644" spans="1:17" ht="15.75" customHeight="1">
      <c r="A644" s="4"/>
      <c r="B644" s="5"/>
      <c r="C644" s="5"/>
      <c r="D644" s="43"/>
      <c r="E644" s="5"/>
      <c r="F644" s="5"/>
      <c r="G644" s="5"/>
      <c r="J644" s="6"/>
      <c r="L644" s="7"/>
      <c r="M644" s="7"/>
      <c r="N644" s="7"/>
      <c r="O644" s="7"/>
      <c r="P644" s="7"/>
      <c r="Q644" s="7"/>
    </row>
    <row r="645" spans="1:17" ht="15.75" customHeight="1">
      <c r="A645" s="4"/>
      <c r="B645" s="5"/>
      <c r="C645" s="5"/>
      <c r="D645" s="43"/>
      <c r="E645" s="5"/>
      <c r="F645" s="5"/>
      <c r="G645" s="5"/>
      <c r="J645" s="6"/>
      <c r="L645" s="7"/>
      <c r="M645" s="7"/>
      <c r="N645" s="7"/>
      <c r="O645" s="7"/>
      <c r="P645" s="7"/>
      <c r="Q645" s="7"/>
    </row>
    <row r="646" spans="1:17" ht="15.75" customHeight="1">
      <c r="A646" s="4"/>
      <c r="B646" s="5"/>
      <c r="C646" s="5"/>
      <c r="D646" s="43"/>
      <c r="E646" s="5"/>
      <c r="F646" s="5"/>
      <c r="G646" s="5"/>
      <c r="J646" s="6"/>
      <c r="L646" s="7"/>
      <c r="M646" s="7"/>
      <c r="N646" s="7"/>
      <c r="O646" s="7"/>
      <c r="P646" s="7"/>
      <c r="Q646" s="7"/>
    </row>
    <row r="647" spans="1:17" ht="15.75" customHeight="1">
      <c r="A647" s="4"/>
      <c r="B647" s="5"/>
      <c r="C647" s="5"/>
      <c r="D647" s="43"/>
      <c r="E647" s="5"/>
      <c r="F647" s="5"/>
      <c r="G647" s="5"/>
      <c r="J647" s="6"/>
      <c r="L647" s="7"/>
      <c r="M647" s="7"/>
      <c r="N647" s="7"/>
      <c r="O647" s="7"/>
      <c r="P647" s="7"/>
      <c r="Q647" s="7"/>
    </row>
    <row r="648" spans="1:17" ht="15.75" customHeight="1">
      <c r="A648" s="4"/>
      <c r="B648" s="5"/>
      <c r="C648" s="5"/>
      <c r="D648" s="43"/>
      <c r="E648" s="5"/>
      <c r="F648" s="5"/>
      <c r="G648" s="5"/>
      <c r="J648" s="6"/>
      <c r="L648" s="7"/>
      <c r="M648" s="7"/>
      <c r="N648" s="7"/>
      <c r="O648" s="7"/>
      <c r="P648" s="7"/>
      <c r="Q648" s="7"/>
    </row>
    <row r="649" spans="1:17" ht="15.75" customHeight="1">
      <c r="A649" s="4"/>
      <c r="B649" s="5"/>
      <c r="C649" s="5"/>
      <c r="D649" s="43"/>
      <c r="E649" s="5"/>
      <c r="F649" s="5"/>
      <c r="G649" s="5"/>
      <c r="J649" s="6"/>
      <c r="L649" s="7"/>
      <c r="M649" s="7"/>
      <c r="N649" s="7"/>
      <c r="O649" s="7"/>
      <c r="P649" s="7"/>
      <c r="Q649" s="7"/>
    </row>
    <row r="650" spans="1:17" ht="15.75" customHeight="1">
      <c r="A650" s="4"/>
      <c r="B650" s="5"/>
      <c r="C650" s="5"/>
      <c r="D650" s="43"/>
      <c r="E650" s="5"/>
      <c r="F650" s="5"/>
      <c r="G650" s="5"/>
      <c r="J650" s="6"/>
      <c r="L650" s="7"/>
      <c r="M650" s="7"/>
      <c r="N650" s="7"/>
      <c r="O650" s="7"/>
      <c r="P650" s="7"/>
      <c r="Q650" s="7"/>
    </row>
    <row r="651" spans="1:17" ht="15.75" customHeight="1">
      <c r="A651" s="4"/>
      <c r="B651" s="5"/>
      <c r="C651" s="5"/>
      <c r="D651" s="43"/>
      <c r="E651" s="5"/>
      <c r="F651" s="5"/>
      <c r="G651" s="5"/>
      <c r="J651" s="6"/>
      <c r="L651" s="7"/>
      <c r="M651" s="7"/>
      <c r="N651" s="7"/>
      <c r="O651" s="7"/>
      <c r="P651" s="7"/>
      <c r="Q651" s="7"/>
    </row>
    <row r="652" spans="1:17" ht="15.75" customHeight="1">
      <c r="A652" s="4"/>
      <c r="B652" s="5"/>
      <c r="C652" s="5"/>
      <c r="D652" s="43"/>
      <c r="E652" s="5"/>
      <c r="F652" s="5"/>
      <c r="G652" s="5"/>
      <c r="J652" s="6"/>
      <c r="L652" s="7"/>
      <c r="M652" s="7"/>
      <c r="N652" s="7"/>
      <c r="O652" s="7"/>
      <c r="P652" s="7"/>
      <c r="Q652" s="7"/>
    </row>
    <row r="653" spans="1:17" ht="15.75" customHeight="1">
      <c r="A653" s="4"/>
      <c r="B653" s="5"/>
      <c r="C653" s="5"/>
      <c r="D653" s="43"/>
      <c r="E653" s="5"/>
      <c r="F653" s="5"/>
      <c r="G653" s="5"/>
      <c r="J653" s="6"/>
      <c r="L653" s="7"/>
      <c r="M653" s="7"/>
      <c r="N653" s="7"/>
      <c r="O653" s="7"/>
      <c r="P653" s="7"/>
      <c r="Q653" s="7"/>
    </row>
    <row r="654" spans="1:17" ht="15.75" customHeight="1">
      <c r="A654" s="4"/>
      <c r="B654" s="5"/>
      <c r="C654" s="5"/>
      <c r="D654" s="43"/>
      <c r="E654" s="5"/>
      <c r="F654" s="5"/>
      <c r="G654" s="5"/>
      <c r="J654" s="6"/>
      <c r="L654" s="7"/>
      <c r="M654" s="7"/>
      <c r="N654" s="7"/>
      <c r="O654" s="7"/>
      <c r="P654" s="7"/>
      <c r="Q654" s="7"/>
    </row>
    <row r="655" spans="1:17" ht="15.75" customHeight="1">
      <c r="A655" s="4"/>
      <c r="B655" s="5"/>
      <c r="C655" s="5"/>
      <c r="D655" s="43"/>
      <c r="E655" s="5"/>
      <c r="F655" s="5"/>
      <c r="G655" s="5"/>
      <c r="J655" s="6"/>
      <c r="L655" s="7"/>
      <c r="M655" s="7"/>
      <c r="N655" s="7"/>
      <c r="O655" s="7"/>
      <c r="P655" s="7"/>
      <c r="Q655" s="7"/>
    </row>
    <row r="656" spans="1:17" ht="15.75" customHeight="1">
      <c r="A656" s="4"/>
      <c r="B656" s="5"/>
      <c r="C656" s="5"/>
      <c r="D656" s="43"/>
      <c r="E656" s="5"/>
      <c r="F656" s="5"/>
      <c r="G656" s="5"/>
      <c r="J656" s="6"/>
      <c r="L656" s="7"/>
      <c r="M656" s="7"/>
      <c r="N656" s="7"/>
      <c r="O656" s="7"/>
      <c r="P656" s="7"/>
      <c r="Q656" s="7"/>
    </row>
    <row r="657" spans="1:17" ht="15.75" customHeight="1">
      <c r="A657" s="4"/>
      <c r="B657" s="5"/>
      <c r="C657" s="5"/>
      <c r="D657" s="43"/>
      <c r="E657" s="5"/>
      <c r="F657" s="5"/>
      <c r="G657" s="5"/>
      <c r="J657" s="6"/>
      <c r="L657" s="7"/>
      <c r="M657" s="7"/>
      <c r="N657" s="7"/>
      <c r="O657" s="7"/>
      <c r="P657" s="7"/>
      <c r="Q657" s="7"/>
    </row>
    <row r="658" spans="1:17" ht="15.75" customHeight="1">
      <c r="A658" s="4"/>
      <c r="B658" s="5"/>
      <c r="C658" s="5"/>
      <c r="D658" s="43"/>
      <c r="E658" s="5"/>
      <c r="F658" s="5"/>
      <c r="G658" s="5"/>
      <c r="J658" s="6"/>
      <c r="L658" s="7"/>
      <c r="M658" s="7"/>
      <c r="N658" s="7"/>
      <c r="O658" s="7"/>
      <c r="P658" s="7"/>
      <c r="Q658" s="7"/>
    </row>
    <row r="659" spans="1:17" ht="15.75" customHeight="1">
      <c r="A659" s="4"/>
      <c r="B659" s="5"/>
      <c r="C659" s="5"/>
      <c r="D659" s="43"/>
      <c r="E659" s="5"/>
      <c r="F659" s="5"/>
      <c r="G659" s="5"/>
      <c r="J659" s="6"/>
      <c r="L659" s="7"/>
      <c r="M659" s="7"/>
      <c r="N659" s="7"/>
      <c r="O659" s="7"/>
      <c r="P659" s="7"/>
      <c r="Q659" s="7"/>
    </row>
    <row r="660" spans="1:17" ht="15.75" customHeight="1">
      <c r="A660" s="4"/>
      <c r="B660" s="5"/>
      <c r="C660" s="5"/>
      <c r="D660" s="43"/>
      <c r="E660" s="5"/>
      <c r="F660" s="5"/>
      <c r="G660" s="5"/>
      <c r="J660" s="6"/>
      <c r="L660" s="7"/>
      <c r="M660" s="7"/>
      <c r="N660" s="7"/>
      <c r="O660" s="7"/>
      <c r="P660" s="7"/>
      <c r="Q660" s="7"/>
    </row>
    <row r="661" spans="1:17" ht="15.75" customHeight="1">
      <c r="A661" s="4"/>
      <c r="B661" s="5"/>
      <c r="C661" s="5"/>
      <c r="D661" s="43"/>
      <c r="E661" s="5"/>
      <c r="F661" s="5"/>
      <c r="G661" s="5"/>
      <c r="J661" s="6"/>
      <c r="L661" s="7"/>
      <c r="M661" s="7"/>
      <c r="N661" s="7"/>
      <c r="O661" s="7"/>
      <c r="P661" s="7"/>
      <c r="Q661" s="7"/>
    </row>
    <row r="662" spans="1:17" ht="15.75" customHeight="1">
      <c r="A662" s="4"/>
      <c r="B662" s="5"/>
      <c r="C662" s="5"/>
      <c r="D662" s="43"/>
      <c r="E662" s="5"/>
      <c r="F662" s="5"/>
      <c r="G662" s="5"/>
      <c r="J662" s="6"/>
      <c r="L662" s="7"/>
      <c r="M662" s="7"/>
      <c r="N662" s="7"/>
      <c r="O662" s="7"/>
      <c r="P662" s="7"/>
      <c r="Q662" s="7"/>
    </row>
    <row r="663" spans="1:17" ht="15.75" customHeight="1">
      <c r="A663" s="4"/>
      <c r="B663" s="5"/>
      <c r="C663" s="5"/>
      <c r="D663" s="43"/>
      <c r="E663" s="5"/>
      <c r="F663" s="5"/>
      <c r="G663" s="5"/>
      <c r="J663" s="6"/>
      <c r="L663" s="7"/>
      <c r="M663" s="7"/>
      <c r="N663" s="7"/>
      <c r="O663" s="7"/>
      <c r="P663" s="7"/>
      <c r="Q663" s="7"/>
    </row>
    <row r="664" spans="1:17" ht="15.75" customHeight="1">
      <c r="A664" s="4"/>
      <c r="B664" s="5"/>
      <c r="C664" s="5"/>
      <c r="D664" s="43"/>
      <c r="E664" s="5"/>
      <c r="F664" s="5"/>
      <c r="G664" s="5"/>
      <c r="J664" s="6"/>
      <c r="L664" s="7"/>
      <c r="M664" s="7"/>
      <c r="N664" s="7"/>
      <c r="O664" s="7"/>
      <c r="P664" s="7"/>
      <c r="Q664" s="7"/>
    </row>
    <row r="665" spans="1:17" ht="15.75" customHeight="1">
      <c r="A665" s="4"/>
      <c r="B665" s="5"/>
      <c r="C665" s="5"/>
      <c r="D665" s="43"/>
      <c r="E665" s="5"/>
      <c r="F665" s="5"/>
      <c r="G665" s="5"/>
      <c r="J665" s="6"/>
      <c r="L665" s="7"/>
      <c r="M665" s="7"/>
      <c r="N665" s="7"/>
      <c r="O665" s="7"/>
      <c r="P665" s="7"/>
      <c r="Q665" s="7"/>
    </row>
    <row r="666" spans="1:17" ht="15.75" customHeight="1">
      <c r="A666" s="4"/>
      <c r="B666" s="5"/>
      <c r="C666" s="5"/>
      <c r="D666" s="43"/>
      <c r="E666" s="5"/>
      <c r="F666" s="5"/>
      <c r="G666" s="5"/>
      <c r="J666" s="6"/>
      <c r="L666" s="7"/>
      <c r="M666" s="7"/>
      <c r="N666" s="7"/>
      <c r="O666" s="7"/>
      <c r="P666" s="7"/>
      <c r="Q666" s="7"/>
    </row>
    <row r="667" spans="1:17" ht="15.75" customHeight="1">
      <c r="A667" s="4"/>
      <c r="B667" s="5"/>
      <c r="C667" s="5"/>
      <c r="D667" s="43"/>
      <c r="E667" s="5"/>
      <c r="F667" s="5"/>
      <c r="G667" s="5"/>
      <c r="J667" s="6"/>
      <c r="L667" s="7"/>
      <c r="M667" s="7"/>
      <c r="N667" s="7"/>
      <c r="O667" s="7"/>
      <c r="P667" s="7"/>
      <c r="Q667" s="7"/>
    </row>
    <row r="668" spans="1:17" ht="15.75" customHeight="1">
      <c r="A668" s="4"/>
      <c r="B668" s="5"/>
      <c r="C668" s="5"/>
      <c r="D668" s="43"/>
      <c r="E668" s="5"/>
      <c r="F668" s="5"/>
      <c r="G668" s="5"/>
      <c r="J668" s="6"/>
      <c r="L668" s="7"/>
      <c r="M668" s="7"/>
      <c r="N668" s="7"/>
      <c r="O668" s="7"/>
      <c r="P668" s="7"/>
      <c r="Q668" s="7"/>
    </row>
    <row r="669" spans="1:17" ht="15.75" customHeight="1">
      <c r="A669" s="4"/>
      <c r="B669" s="5"/>
      <c r="C669" s="5"/>
      <c r="D669" s="43"/>
      <c r="E669" s="5"/>
      <c r="F669" s="5"/>
      <c r="G669" s="5"/>
      <c r="J669" s="6"/>
      <c r="L669" s="7"/>
      <c r="M669" s="7"/>
      <c r="N669" s="7"/>
      <c r="O669" s="7"/>
      <c r="P669" s="7"/>
      <c r="Q669" s="7"/>
    </row>
    <row r="670" spans="1:17" ht="15.75" customHeight="1">
      <c r="A670" s="4"/>
      <c r="B670" s="5"/>
      <c r="C670" s="5"/>
      <c r="D670" s="43"/>
      <c r="E670" s="5"/>
      <c r="F670" s="5"/>
      <c r="G670" s="5"/>
      <c r="J670" s="6"/>
      <c r="L670" s="7"/>
      <c r="M670" s="7"/>
      <c r="N670" s="7"/>
      <c r="O670" s="7"/>
      <c r="P670" s="7"/>
      <c r="Q670" s="7"/>
    </row>
    <row r="671" spans="1:17" ht="15.75" customHeight="1">
      <c r="A671" s="4"/>
      <c r="B671" s="5"/>
      <c r="C671" s="5"/>
      <c r="D671" s="43"/>
      <c r="E671" s="5"/>
      <c r="F671" s="5"/>
      <c r="G671" s="5"/>
      <c r="J671" s="6"/>
      <c r="L671" s="7"/>
      <c r="M671" s="7"/>
      <c r="N671" s="7"/>
      <c r="O671" s="7"/>
      <c r="P671" s="7"/>
      <c r="Q671" s="7"/>
    </row>
    <row r="672" spans="1:17" ht="15.75" customHeight="1">
      <c r="A672" s="4"/>
      <c r="B672" s="5"/>
      <c r="C672" s="5"/>
      <c r="D672" s="43"/>
      <c r="E672" s="5"/>
      <c r="F672" s="5"/>
      <c r="G672" s="5"/>
      <c r="J672" s="6"/>
      <c r="L672" s="7"/>
      <c r="M672" s="7"/>
      <c r="N672" s="7"/>
      <c r="O672" s="7"/>
      <c r="P672" s="7"/>
      <c r="Q672" s="7"/>
    </row>
    <row r="673" spans="1:17" ht="15.75" customHeight="1">
      <c r="A673" s="4"/>
      <c r="B673" s="5"/>
      <c r="C673" s="5"/>
      <c r="D673" s="43"/>
      <c r="E673" s="5"/>
      <c r="F673" s="5"/>
      <c r="G673" s="5"/>
      <c r="J673" s="6"/>
      <c r="L673" s="7"/>
      <c r="M673" s="7"/>
      <c r="N673" s="7"/>
      <c r="O673" s="7"/>
      <c r="P673" s="7"/>
      <c r="Q673" s="7"/>
    </row>
    <row r="674" spans="1:17" ht="15.75" customHeight="1">
      <c r="A674" s="4"/>
      <c r="B674" s="5"/>
      <c r="C674" s="5"/>
      <c r="D674" s="43"/>
      <c r="E674" s="5"/>
      <c r="F674" s="5"/>
      <c r="G674" s="5"/>
      <c r="J674" s="6"/>
      <c r="L674" s="7"/>
      <c r="M674" s="7"/>
      <c r="N674" s="7"/>
      <c r="O674" s="7"/>
      <c r="P674" s="7"/>
      <c r="Q674" s="7"/>
    </row>
    <row r="675" spans="1:17" ht="15.75" customHeight="1">
      <c r="A675" s="4"/>
      <c r="B675" s="5"/>
      <c r="C675" s="5"/>
      <c r="D675" s="43"/>
      <c r="E675" s="5"/>
      <c r="F675" s="5"/>
      <c r="G675" s="5"/>
      <c r="J675" s="6"/>
      <c r="L675" s="7"/>
      <c r="M675" s="7"/>
      <c r="N675" s="7"/>
      <c r="O675" s="7"/>
      <c r="P675" s="7"/>
      <c r="Q675" s="7"/>
    </row>
    <row r="676" spans="1:17" ht="15.75" customHeight="1">
      <c r="A676" s="4"/>
      <c r="B676" s="5"/>
      <c r="C676" s="5"/>
      <c r="D676" s="43"/>
      <c r="E676" s="5"/>
      <c r="F676" s="5"/>
      <c r="G676" s="5"/>
      <c r="J676" s="6"/>
      <c r="L676" s="7"/>
      <c r="M676" s="7"/>
      <c r="N676" s="7"/>
      <c r="O676" s="7"/>
      <c r="P676" s="7"/>
      <c r="Q676" s="7"/>
    </row>
    <row r="677" spans="1:17" ht="15.75" customHeight="1">
      <c r="A677" s="4"/>
      <c r="B677" s="5"/>
      <c r="C677" s="5"/>
      <c r="D677" s="43"/>
      <c r="E677" s="5"/>
      <c r="F677" s="5"/>
      <c r="G677" s="5"/>
      <c r="J677" s="6"/>
      <c r="L677" s="7"/>
      <c r="M677" s="7"/>
      <c r="N677" s="7"/>
      <c r="O677" s="7"/>
      <c r="P677" s="7"/>
      <c r="Q677" s="7"/>
    </row>
    <row r="678" spans="1:17" ht="15.75" customHeight="1">
      <c r="A678" s="4"/>
      <c r="B678" s="5"/>
      <c r="C678" s="5"/>
      <c r="D678" s="43"/>
      <c r="E678" s="5"/>
      <c r="F678" s="5"/>
      <c r="G678" s="5"/>
      <c r="J678" s="6"/>
      <c r="L678" s="7"/>
      <c r="M678" s="7"/>
      <c r="N678" s="7"/>
      <c r="O678" s="7"/>
      <c r="P678" s="7"/>
      <c r="Q678" s="7"/>
    </row>
    <row r="679" spans="1:17" ht="15.75" customHeight="1">
      <c r="A679" s="4"/>
      <c r="B679" s="5"/>
      <c r="C679" s="5"/>
      <c r="D679" s="43"/>
      <c r="E679" s="5"/>
      <c r="F679" s="5"/>
      <c r="G679" s="5"/>
      <c r="J679" s="6"/>
      <c r="L679" s="7"/>
      <c r="M679" s="7"/>
      <c r="N679" s="7"/>
      <c r="O679" s="7"/>
      <c r="P679" s="7"/>
      <c r="Q679" s="7"/>
    </row>
    <row r="680" spans="1:17" ht="15.75" customHeight="1">
      <c r="A680" s="4"/>
      <c r="B680" s="5"/>
      <c r="C680" s="5"/>
      <c r="D680" s="43"/>
      <c r="E680" s="5"/>
      <c r="F680" s="5"/>
      <c r="G680" s="5"/>
      <c r="J680" s="6"/>
      <c r="L680" s="7"/>
      <c r="M680" s="7"/>
      <c r="N680" s="7"/>
      <c r="O680" s="7"/>
      <c r="P680" s="7"/>
      <c r="Q680" s="7"/>
    </row>
    <row r="681" spans="1:17" ht="15.75" customHeight="1">
      <c r="A681" s="4"/>
      <c r="B681" s="5"/>
      <c r="C681" s="5"/>
      <c r="D681" s="43"/>
      <c r="E681" s="5"/>
      <c r="F681" s="5"/>
      <c r="G681" s="5"/>
      <c r="J681" s="6"/>
      <c r="L681" s="7"/>
      <c r="M681" s="7"/>
      <c r="N681" s="7"/>
      <c r="O681" s="7"/>
      <c r="P681" s="7"/>
      <c r="Q681" s="7"/>
    </row>
    <row r="682" spans="1:17" ht="15.75" customHeight="1">
      <c r="A682" s="4"/>
      <c r="B682" s="5"/>
      <c r="C682" s="5"/>
      <c r="D682" s="43"/>
      <c r="E682" s="5"/>
      <c r="F682" s="5"/>
      <c r="G682" s="5"/>
      <c r="J682" s="6"/>
      <c r="L682" s="7"/>
      <c r="M682" s="7"/>
      <c r="N682" s="7"/>
      <c r="O682" s="7"/>
      <c r="P682" s="7"/>
      <c r="Q682" s="7"/>
    </row>
    <row r="683" spans="1:17" ht="15.75" customHeight="1">
      <c r="A683" s="4"/>
      <c r="B683" s="5"/>
      <c r="C683" s="5"/>
      <c r="D683" s="43"/>
      <c r="E683" s="5"/>
      <c r="F683" s="5"/>
      <c r="G683" s="5"/>
      <c r="J683" s="6"/>
      <c r="L683" s="7"/>
      <c r="M683" s="7"/>
      <c r="N683" s="7"/>
      <c r="O683" s="7"/>
      <c r="P683" s="7"/>
      <c r="Q683" s="7"/>
    </row>
    <row r="684" spans="1:17" ht="15.75" customHeight="1">
      <c r="A684" s="4"/>
      <c r="B684" s="5"/>
      <c r="C684" s="5"/>
      <c r="D684" s="43"/>
      <c r="E684" s="5"/>
      <c r="F684" s="5"/>
      <c r="G684" s="5"/>
      <c r="J684" s="6"/>
      <c r="L684" s="7"/>
      <c r="M684" s="7"/>
      <c r="N684" s="7"/>
      <c r="O684" s="7"/>
      <c r="P684" s="7"/>
      <c r="Q684" s="7"/>
    </row>
    <row r="685" spans="1:17" ht="15.75" customHeight="1">
      <c r="A685" s="4"/>
      <c r="B685" s="5"/>
      <c r="C685" s="5"/>
      <c r="D685" s="43"/>
      <c r="E685" s="5"/>
      <c r="F685" s="5"/>
      <c r="G685" s="5"/>
      <c r="J685" s="6"/>
      <c r="L685" s="7"/>
      <c r="M685" s="7"/>
      <c r="N685" s="7"/>
      <c r="O685" s="7"/>
      <c r="P685" s="7"/>
      <c r="Q685" s="7"/>
    </row>
    <row r="686" spans="1:17" ht="15.75" customHeight="1">
      <c r="A686" s="4"/>
      <c r="B686" s="5"/>
      <c r="C686" s="5"/>
      <c r="D686" s="43"/>
      <c r="E686" s="5"/>
      <c r="F686" s="5"/>
      <c r="G686" s="5"/>
      <c r="J686" s="6"/>
      <c r="L686" s="7"/>
      <c r="M686" s="7"/>
      <c r="N686" s="7"/>
      <c r="O686" s="7"/>
      <c r="P686" s="7"/>
      <c r="Q686" s="7"/>
    </row>
    <row r="687" spans="1:17" ht="15.75" customHeight="1">
      <c r="A687" s="4"/>
      <c r="B687" s="5"/>
      <c r="C687" s="5"/>
      <c r="D687" s="43"/>
      <c r="E687" s="5"/>
      <c r="F687" s="5"/>
      <c r="G687" s="5"/>
      <c r="J687" s="6"/>
      <c r="L687" s="7"/>
      <c r="M687" s="7"/>
      <c r="N687" s="7"/>
      <c r="O687" s="7"/>
      <c r="P687" s="7"/>
      <c r="Q687" s="7"/>
    </row>
    <row r="688" spans="1:17" ht="15.75" customHeight="1">
      <c r="A688" s="4"/>
      <c r="B688" s="5"/>
      <c r="C688" s="5"/>
      <c r="D688" s="43"/>
      <c r="E688" s="5"/>
      <c r="F688" s="5"/>
      <c r="G688" s="5"/>
      <c r="J688" s="6"/>
      <c r="L688" s="7"/>
      <c r="M688" s="7"/>
      <c r="N688" s="7"/>
      <c r="O688" s="7"/>
      <c r="P688" s="7"/>
      <c r="Q688" s="7"/>
    </row>
    <row r="689" spans="1:17" ht="15.75" customHeight="1">
      <c r="A689" s="4"/>
      <c r="B689" s="5"/>
      <c r="C689" s="5"/>
      <c r="D689" s="43"/>
      <c r="E689" s="5"/>
      <c r="F689" s="5"/>
      <c r="G689" s="5"/>
      <c r="J689" s="6"/>
      <c r="L689" s="7"/>
      <c r="M689" s="7"/>
      <c r="N689" s="7"/>
      <c r="O689" s="7"/>
      <c r="P689" s="7"/>
      <c r="Q689" s="7"/>
    </row>
    <row r="690" spans="1:17" ht="15.75" customHeight="1">
      <c r="A690" s="4"/>
      <c r="B690" s="5"/>
      <c r="C690" s="5"/>
      <c r="D690" s="43"/>
      <c r="E690" s="5"/>
      <c r="F690" s="5"/>
      <c r="G690" s="5"/>
      <c r="J690" s="6"/>
      <c r="L690" s="7"/>
      <c r="M690" s="7"/>
      <c r="N690" s="7"/>
      <c r="O690" s="7"/>
      <c r="P690" s="7"/>
      <c r="Q690" s="7"/>
    </row>
    <row r="691" spans="1:17" ht="15.75" customHeight="1">
      <c r="A691" s="4"/>
      <c r="B691" s="5"/>
      <c r="C691" s="5"/>
      <c r="D691" s="43"/>
      <c r="E691" s="5"/>
      <c r="F691" s="5"/>
      <c r="G691" s="5"/>
      <c r="J691" s="6"/>
      <c r="L691" s="7"/>
      <c r="M691" s="7"/>
      <c r="N691" s="7"/>
      <c r="O691" s="7"/>
      <c r="P691" s="7"/>
      <c r="Q691" s="7"/>
    </row>
    <row r="692" spans="1:17" ht="15.75" customHeight="1">
      <c r="A692" s="4"/>
      <c r="B692" s="5"/>
      <c r="C692" s="5"/>
      <c r="D692" s="43"/>
      <c r="E692" s="5"/>
      <c r="F692" s="5"/>
      <c r="G692" s="5"/>
      <c r="J692" s="6"/>
      <c r="L692" s="7"/>
      <c r="M692" s="7"/>
      <c r="N692" s="7"/>
      <c r="O692" s="7"/>
      <c r="P692" s="7"/>
      <c r="Q692" s="7"/>
    </row>
    <row r="693" spans="1:17" ht="15.75" customHeight="1">
      <c r="A693" s="4"/>
      <c r="B693" s="5"/>
      <c r="C693" s="5"/>
      <c r="D693" s="43"/>
      <c r="E693" s="5"/>
      <c r="F693" s="5"/>
      <c r="G693" s="5"/>
      <c r="J693" s="6"/>
      <c r="L693" s="7"/>
      <c r="M693" s="7"/>
      <c r="N693" s="7"/>
      <c r="O693" s="7"/>
      <c r="P693" s="7"/>
      <c r="Q693" s="7"/>
    </row>
    <row r="694" spans="1:17" ht="15.75" customHeight="1">
      <c r="A694" s="4"/>
      <c r="B694" s="5"/>
      <c r="C694" s="5"/>
      <c r="D694" s="43"/>
      <c r="E694" s="5"/>
      <c r="F694" s="5"/>
      <c r="G694" s="5"/>
      <c r="J694" s="6"/>
      <c r="L694" s="7"/>
      <c r="M694" s="7"/>
      <c r="N694" s="7"/>
      <c r="O694" s="7"/>
      <c r="P694" s="7"/>
      <c r="Q694" s="7"/>
    </row>
    <row r="695" spans="1:17" ht="15.75" customHeight="1">
      <c r="A695" s="4"/>
      <c r="B695" s="5"/>
      <c r="C695" s="5"/>
      <c r="D695" s="43"/>
      <c r="E695" s="5"/>
      <c r="F695" s="5"/>
      <c r="G695" s="5"/>
      <c r="J695" s="6"/>
      <c r="L695" s="7"/>
      <c r="M695" s="7"/>
      <c r="N695" s="7"/>
      <c r="O695" s="7"/>
      <c r="P695" s="7"/>
      <c r="Q695" s="7"/>
    </row>
    <row r="696" spans="1:17" ht="15.75" customHeight="1">
      <c r="A696" s="4"/>
      <c r="B696" s="5"/>
      <c r="C696" s="5"/>
      <c r="D696" s="43"/>
      <c r="E696" s="5"/>
      <c r="F696" s="5"/>
      <c r="G696" s="5"/>
      <c r="J696" s="6"/>
      <c r="L696" s="7"/>
      <c r="M696" s="7"/>
      <c r="N696" s="7"/>
      <c r="O696" s="7"/>
      <c r="P696" s="7"/>
      <c r="Q696" s="7"/>
    </row>
    <row r="697" spans="1:17" ht="15.75" customHeight="1">
      <c r="A697" s="4"/>
      <c r="B697" s="5"/>
      <c r="C697" s="5"/>
      <c r="D697" s="43"/>
      <c r="E697" s="5"/>
      <c r="F697" s="5"/>
      <c r="G697" s="5"/>
      <c r="J697" s="6"/>
      <c r="L697" s="7"/>
      <c r="M697" s="7"/>
      <c r="N697" s="7"/>
      <c r="O697" s="7"/>
      <c r="P697" s="7"/>
      <c r="Q697" s="7"/>
    </row>
    <row r="698" spans="1:17" ht="15.75" customHeight="1">
      <c r="A698" s="4"/>
      <c r="B698" s="5"/>
      <c r="C698" s="5"/>
      <c r="D698" s="43"/>
      <c r="E698" s="5"/>
      <c r="F698" s="5"/>
      <c r="G698" s="5"/>
      <c r="J698" s="6"/>
      <c r="L698" s="7"/>
      <c r="M698" s="7"/>
      <c r="N698" s="7"/>
      <c r="O698" s="7"/>
      <c r="P698" s="7"/>
      <c r="Q698" s="7"/>
    </row>
    <row r="699" spans="1:17" ht="15.75" customHeight="1">
      <c r="A699" s="4"/>
      <c r="B699" s="5"/>
      <c r="C699" s="5"/>
      <c r="D699" s="43"/>
      <c r="E699" s="5"/>
      <c r="F699" s="5"/>
      <c r="G699" s="5"/>
      <c r="J699" s="6"/>
      <c r="L699" s="7"/>
      <c r="M699" s="7"/>
      <c r="N699" s="7"/>
      <c r="O699" s="7"/>
      <c r="P699" s="7"/>
      <c r="Q699" s="7"/>
    </row>
    <row r="700" spans="1:17" ht="15.75" customHeight="1">
      <c r="A700" s="4"/>
      <c r="B700" s="5"/>
      <c r="C700" s="5"/>
      <c r="D700" s="43"/>
      <c r="E700" s="5"/>
      <c r="F700" s="5"/>
      <c r="G700" s="5"/>
      <c r="J700" s="6"/>
      <c r="L700" s="7"/>
      <c r="M700" s="7"/>
      <c r="N700" s="7"/>
      <c r="O700" s="7"/>
      <c r="P700" s="7"/>
      <c r="Q700" s="7"/>
    </row>
    <row r="701" spans="1:17" ht="15.75" customHeight="1">
      <c r="A701" s="4"/>
      <c r="B701" s="5"/>
      <c r="C701" s="5"/>
      <c r="D701" s="43"/>
      <c r="E701" s="5"/>
      <c r="F701" s="5"/>
      <c r="G701" s="5"/>
      <c r="J701" s="6"/>
      <c r="L701" s="7"/>
      <c r="M701" s="7"/>
      <c r="N701" s="7"/>
      <c r="O701" s="7"/>
      <c r="P701" s="7"/>
      <c r="Q701" s="7"/>
    </row>
    <row r="702" spans="1:17" ht="15.75" customHeight="1">
      <c r="A702" s="4"/>
      <c r="B702" s="5"/>
      <c r="C702" s="5"/>
      <c r="D702" s="43"/>
      <c r="E702" s="5"/>
      <c r="F702" s="5"/>
      <c r="G702" s="5"/>
      <c r="J702" s="6"/>
      <c r="L702" s="7"/>
      <c r="M702" s="7"/>
      <c r="N702" s="7"/>
      <c r="O702" s="7"/>
      <c r="P702" s="7"/>
      <c r="Q702" s="7"/>
    </row>
    <row r="703" spans="1:17" ht="15.75" customHeight="1">
      <c r="A703" s="4"/>
      <c r="B703" s="5"/>
      <c r="C703" s="5"/>
      <c r="D703" s="43"/>
      <c r="E703" s="5"/>
      <c r="F703" s="5"/>
      <c r="G703" s="5"/>
      <c r="J703" s="6"/>
      <c r="L703" s="7"/>
      <c r="M703" s="7"/>
      <c r="N703" s="7"/>
      <c r="O703" s="7"/>
      <c r="P703" s="7"/>
      <c r="Q703" s="7"/>
    </row>
    <row r="704" spans="1:17" ht="15.75" customHeight="1">
      <c r="A704" s="4"/>
      <c r="B704" s="5"/>
      <c r="C704" s="5"/>
      <c r="D704" s="43"/>
      <c r="E704" s="5"/>
      <c r="F704" s="5"/>
      <c r="G704" s="5"/>
      <c r="J704" s="6"/>
      <c r="L704" s="7"/>
      <c r="M704" s="7"/>
      <c r="N704" s="7"/>
      <c r="O704" s="7"/>
      <c r="P704" s="7"/>
      <c r="Q704" s="7"/>
    </row>
    <row r="705" spans="1:17" ht="15.75" customHeight="1">
      <c r="A705" s="4"/>
      <c r="B705" s="5"/>
      <c r="C705" s="5"/>
      <c r="D705" s="43"/>
      <c r="E705" s="5"/>
      <c r="F705" s="5"/>
      <c r="G705" s="5"/>
      <c r="J705" s="6"/>
      <c r="L705" s="7"/>
      <c r="M705" s="7"/>
      <c r="N705" s="7"/>
      <c r="O705" s="7"/>
      <c r="P705" s="7"/>
      <c r="Q705" s="7"/>
    </row>
    <row r="706" spans="1:17" ht="15.75" customHeight="1">
      <c r="A706" s="4"/>
      <c r="B706" s="5"/>
      <c r="C706" s="5"/>
      <c r="D706" s="43"/>
      <c r="E706" s="5"/>
      <c r="F706" s="5"/>
      <c r="G706" s="5"/>
      <c r="J706" s="6"/>
      <c r="L706" s="7"/>
      <c r="M706" s="7"/>
      <c r="N706" s="7"/>
      <c r="O706" s="7"/>
      <c r="P706" s="7"/>
      <c r="Q706" s="7"/>
    </row>
    <row r="707" spans="1:17" ht="15.75" customHeight="1">
      <c r="A707" s="4"/>
      <c r="B707" s="5"/>
      <c r="C707" s="5"/>
      <c r="D707" s="43"/>
      <c r="E707" s="5"/>
      <c r="F707" s="5"/>
      <c r="G707" s="5"/>
      <c r="J707" s="6"/>
      <c r="L707" s="7"/>
      <c r="M707" s="7"/>
      <c r="N707" s="7"/>
      <c r="O707" s="7"/>
      <c r="P707" s="7"/>
      <c r="Q707" s="7"/>
    </row>
    <row r="708" spans="1:17" ht="15.75" customHeight="1">
      <c r="A708" s="4"/>
      <c r="B708" s="5"/>
      <c r="C708" s="5"/>
      <c r="D708" s="43"/>
      <c r="E708" s="5"/>
      <c r="F708" s="5"/>
      <c r="G708" s="5"/>
      <c r="J708" s="6"/>
      <c r="L708" s="7"/>
      <c r="M708" s="7"/>
      <c r="N708" s="7"/>
      <c r="O708" s="7"/>
      <c r="P708" s="7"/>
      <c r="Q708" s="7"/>
    </row>
    <row r="709" spans="1:17" ht="15.75" customHeight="1">
      <c r="A709" s="4"/>
      <c r="B709" s="5"/>
      <c r="C709" s="5"/>
      <c r="D709" s="43"/>
      <c r="E709" s="5"/>
      <c r="F709" s="5"/>
      <c r="G709" s="5"/>
      <c r="J709" s="6"/>
      <c r="L709" s="7"/>
      <c r="M709" s="7"/>
      <c r="N709" s="7"/>
      <c r="O709" s="7"/>
      <c r="P709" s="7"/>
      <c r="Q709" s="7"/>
    </row>
    <row r="710" spans="1:17" ht="15.75" customHeight="1">
      <c r="A710" s="4"/>
      <c r="B710" s="5"/>
      <c r="C710" s="5"/>
      <c r="D710" s="43"/>
      <c r="E710" s="5"/>
      <c r="F710" s="5"/>
      <c r="G710" s="5"/>
      <c r="J710" s="6"/>
      <c r="L710" s="7"/>
      <c r="M710" s="7"/>
      <c r="N710" s="7"/>
      <c r="O710" s="7"/>
      <c r="P710" s="7"/>
      <c r="Q710" s="7"/>
    </row>
    <row r="711" spans="1:17" ht="15.75" customHeight="1">
      <c r="A711" s="4"/>
      <c r="B711" s="5"/>
      <c r="C711" s="5"/>
      <c r="D711" s="43"/>
      <c r="E711" s="5"/>
      <c r="F711" s="5"/>
      <c r="G711" s="5"/>
      <c r="J711" s="6"/>
      <c r="L711" s="7"/>
      <c r="M711" s="7"/>
      <c r="N711" s="7"/>
      <c r="O711" s="7"/>
      <c r="P711" s="7"/>
      <c r="Q711" s="7"/>
    </row>
    <row r="712" spans="1:17" ht="15.75" customHeight="1">
      <c r="A712" s="4"/>
      <c r="B712" s="5"/>
      <c r="C712" s="5"/>
      <c r="D712" s="43"/>
      <c r="E712" s="5"/>
      <c r="F712" s="5"/>
      <c r="G712" s="5"/>
      <c r="J712" s="6"/>
      <c r="L712" s="7"/>
      <c r="M712" s="7"/>
      <c r="N712" s="7"/>
      <c r="O712" s="7"/>
      <c r="P712" s="7"/>
      <c r="Q712" s="7"/>
    </row>
    <row r="713" spans="1:17" ht="15.75" customHeight="1">
      <c r="A713" s="4"/>
      <c r="B713" s="5"/>
      <c r="C713" s="5"/>
      <c r="D713" s="43"/>
      <c r="E713" s="5"/>
      <c r="F713" s="5"/>
      <c r="G713" s="5"/>
      <c r="J713" s="6"/>
      <c r="L713" s="7"/>
      <c r="M713" s="7"/>
      <c r="N713" s="7"/>
      <c r="O713" s="7"/>
      <c r="P713" s="7"/>
      <c r="Q713" s="7"/>
    </row>
    <row r="714" spans="1:17" ht="15.75" customHeight="1">
      <c r="A714" s="4"/>
      <c r="B714" s="5"/>
      <c r="C714" s="5"/>
      <c r="D714" s="43"/>
      <c r="E714" s="5"/>
      <c r="F714" s="5"/>
      <c r="G714" s="5"/>
      <c r="J714" s="6"/>
      <c r="L714" s="7"/>
      <c r="M714" s="7"/>
      <c r="N714" s="7"/>
      <c r="O714" s="7"/>
      <c r="P714" s="7"/>
      <c r="Q714" s="7"/>
    </row>
    <row r="715" spans="1:17" ht="15.75" customHeight="1">
      <c r="A715" s="4"/>
      <c r="B715" s="5"/>
      <c r="C715" s="5"/>
      <c r="D715" s="43"/>
      <c r="E715" s="5"/>
      <c r="F715" s="5"/>
      <c r="G715" s="5"/>
      <c r="J715" s="6"/>
      <c r="L715" s="7"/>
      <c r="M715" s="7"/>
      <c r="N715" s="7"/>
      <c r="O715" s="7"/>
      <c r="P715" s="7"/>
      <c r="Q715" s="7"/>
    </row>
    <row r="716" spans="1:17" ht="15.75" customHeight="1">
      <c r="A716" s="4"/>
      <c r="B716" s="5"/>
      <c r="C716" s="5"/>
      <c r="D716" s="43"/>
      <c r="E716" s="5"/>
      <c r="F716" s="5"/>
      <c r="G716" s="5"/>
      <c r="J716" s="6"/>
      <c r="L716" s="7"/>
      <c r="M716" s="7"/>
      <c r="N716" s="7"/>
      <c r="O716" s="7"/>
      <c r="P716" s="7"/>
      <c r="Q716" s="7"/>
    </row>
    <row r="717" spans="1:17" ht="15.75" customHeight="1">
      <c r="A717" s="4"/>
      <c r="B717" s="5"/>
      <c r="C717" s="5"/>
      <c r="D717" s="43"/>
      <c r="E717" s="5"/>
      <c r="F717" s="5"/>
      <c r="G717" s="5"/>
      <c r="J717" s="6"/>
      <c r="L717" s="7"/>
      <c r="M717" s="7"/>
      <c r="N717" s="7"/>
      <c r="O717" s="7"/>
      <c r="P717" s="7"/>
      <c r="Q717" s="7"/>
    </row>
    <row r="718" spans="1:17" ht="15.75" customHeight="1">
      <c r="A718" s="4"/>
      <c r="B718" s="5"/>
      <c r="C718" s="5"/>
      <c r="D718" s="43"/>
      <c r="E718" s="5"/>
      <c r="F718" s="5"/>
      <c r="G718" s="5"/>
      <c r="J718" s="6"/>
      <c r="L718" s="7"/>
      <c r="M718" s="7"/>
      <c r="N718" s="7"/>
      <c r="O718" s="7"/>
      <c r="P718" s="7"/>
      <c r="Q718" s="7"/>
    </row>
    <row r="719" spans="1:17" ht="15.75" customHeight="1">
      <c r="A719" s="4"/>
      <c r="B719" s="5"/>
      <c r="C719" s="5"/>
      <c r="D719" s="43"/>
      <c r="E719" s="5"/>
      <c r="F719" s="5"/>
      <c r="G719" s="5"/>
      <c r="J719" s="6"/>
      <c r="L719" s="7"/>
      <c r="M719" s="7"/>
      <c r="N719" s="7"/>
      <c r="O719" s="7"/>
      <c r="P719" s="7"/>
      <c r="Q719" s="7"/>
    </row>
    <row r="720" spans="1:17" ht="15.75" customHeight="1">
      <c r="A720" s="4"/>
      <c r="B720" s="5"/>
      <c r="C720" s="5"/>
      <c r="D720" s="43"/>
      <c r="E720" s="5"/>
      <c r="F720" s="5"/>
      <c r="G720" s="5"/>
      <c r="J720" s="6"/>
      <c r="L720" s="7"/>
      <c r="M720" s="7"/>
      <c r="N720" s="7"/>
      <c r="O720" s="7"/>
      <c r="P720" s="7"/>
      <c r="Q720" s="7"/>
    </row>
    <row r="721" spans="1:17" ht="15.75" customHeight="1">
      <c r="A721" s="4"/>
      <c r="B721" s="5"/>
      <c r="C721" s="5"/>
      <c r="D721" s="43"/>
      <c r="E721" s="5"/>
      <c r="F721" s="5"/>
      <c r="G721" s="5"/>
      <c r="J721" s="6"/>
      <c r="L721" s="7"/>
      <c r="M721" s="7"/>
      <c r="N721" s="7"/>
      <c r="O721" s="7"/>
      <c r="P721" s="7"/>
      <c r="Q721" s="7"/>
    </row>
    <row r="722" spans="1:17" ht="15.75" customHeight="1">
      <c r="A722" s="4"/>
      <c r="B722" s="5"/>
      <c r="C722" s="5"/>
      <c r="D722" s="43"/>
      <c r="E722" s="5"/>
      <c r="F722" s="5"/>
      <c r="G722" s="5"/>
      <c r="J722" s="6"/>
      <c r="L722" s="7"/>
      <c r="M722" s="7"/>
      <c r="N722" s="7"/>
      <c r="O722" s="7"/>
      <c r="P722" s="7"/>
      <c r="Q722" s="7"/>
    </row>
    <row r="723" spans="1:17" ht="15.75" customHeight="1">
      <c r="A723" s="4"/>
      <c r="B723" s="5"/>
      <c r="C723" s="5"/>
      <c r="D723" s="43"/>
      <c r="E723" s="5"/>
      <c r="F723" s="5"/>
      <c r="G723" s="5"/>
      <c r="J723" s="6"/>
      <c r="L723" s="7"/>
      <c r="M723" s="7"/>
      <c r="N723" s="7"/>
      <c r="O723" s="7"/>
      <c r="P723" s="7"/>
      <c r="Q723" s="7"/>
    </row>
    <row r="724" spans="1:17" ht="15.75" customHeight="1">
      <c r="A724" s="4"/>
      <c r="B724" s="5"/>
      <c r="C724" s="5"/>
      <c r="D724" s="43"/>
      <c r="E724" s="5"/>
      <c r="F724" s="5"/>
      <c r="G724" s="5"/>
      <c r="J724" s="6"/>
      <c r="L724" s="7"/>
      <c r="M724" s="7"/>
      <c r="N724" s="7"/>
      <c r="O724" s="7"/>
      <c r="P724" s="7"/>
      <c r="Q724" s="7"/>
    </row>
    <row r="725" spans="1:17" ht="15.75" customHeight="1">
      <c r="A725" s="4"/>
      <c r="B725" s="5"/>
      <c r="C725" s="5"/>
      <c r="D725" s="43"/>
      <c r="E725" s="5"/>
      <c r="F725" s="5"/>
      <c r="G725" s="5"/>
      <c r="J725" s="6"/>
      <c r="L725" s="7"/>
      <c r="M725" s="7"/>
      <c r="N725" s="7"/>
      <c r="O725" s="7"/>
      <c r="P725" s="7"/>
      <c r="Q725" s="7"/>
    </row>
    <row r="726" spans="1:17" ht="15.75" customHeight="1">
      <c r="A726" s="4"/>
      <c r="B726" s="5"/>
      <c r="C726" s="5"/>
      <c r="D726" s="43"/>
      <c r="E726" s="5"/>
      <c r="F726" s="5"/>
      <c r="G726" s="5"/>
      <c r="J726" s="6"/>
      <c r="L726" s="7"/>
      <c r="M726" s="7"/>
      <c r="N726" s="7"/>
      <c r="O726" s="7"/>
      <c r="P726" s="7"/>
      <c r="Q726" s="7"/>
    </row>
    <row r="727" spans="1:17" ht="15.75" customHeight="1">
      <c r="A727" s="4"/>
      <c r="B727" s="5"/>
      <c r="C727" s="5"/>
      <c r="D727" s="43"/>
      <c r="E727" s="5"/>
      <c r="F727" s="5"/>
      <c r="G727" s="5"/>
      <c r="J727" s="6"/>
      <c r="L727" s="7"/>
      <c r="M727" s="7"/>
      <c r="N727" s="7"/>
      <c r="O727" s="7"/>
      <c r="P727" s="7"/>
      <c r="Q727" s="7"/>
    </row>
    <row r="728" spans="1:17" ht="15.75" customHeight="1">
      <c r="A728" s="4"/>
      <c r="B728" s="5"/>
      <c r="C728" s="5"/>
      <c r="D728" s="43"/>
      <c r="E728" s="5"/>
      <c r="F728" s="5"/>
      <c r="G728" s="5"/>
      <c r="J728" s="6"/>
      <c r="L728" s="7"/>
      <c r="M728" s="7"/>
      <c r="N728" s="7"/>
      <c r="O728" s="7"/>
      <c r="P728" s="7"/>
      <c r="Q728" s="7"/>
    </row>
    <row r="729" spans="1:17" ht="15.75" customHeight="1">
      <c r="A729" s="4"/>
      <c r="B729" s="5"/>
      <c r="C729" s="5"/>
      <c r="D729" s="43"/>
      <c r="E729" s="5"/>
      <c r="F729" s="5"/>
      <c r="G729" s="5"/>
      <c r="J729" s="6"/>
      <c r="L729" s="7"/>
      <c r="M729" s="7"/>
      <c r="N729" s="7"/>
      <c r="O729" s="7"/>
      <c r="P729" s="7"/>
      <c r="Q729" s="7"/>
    </row>
    <row r="730" spans="1:17" ht="15.75" customHeight="1">
      <c r="A730" s="4"/>
      <c r="B730" s="5"/>
      <c r="C730" s="5"/>
      <c r="D730" s="43"/>
      <c r="E730" s="5"/>
      <c r="F730" s="5"/>
      <c r="G730" s="5"/>
      <c r="J730" s="6"/>
      <c r="L730" s="7"/>
      <c r="M730" s="7"/>
      <c r="N730" s="7"/>
      <c r="O730" s="7"/>
      <c r="P730" s="7"/>
      <c r="Q730" s="7"/>
    </row>
    <row r="731" spans="1:17" ht="15.75" customHeight="1">
      <c r="A731" s="4"/>
      <c r="B731" s="5"/>
      <c r="C731" s="5"/>
      <c r="D731" s="43"/>
      <c r="E731" s="5"/>
      <c r="F731" s="5"/>
      <c r="G731" s="5"/>
      <c r="J731" s="6"/>
      <c r="L731" s="7"/>
      <c r="M731" s="7"/>
      <c r="N731" s="7"/>
      <c r="O731" s="7"/>
      <c r="P731" s="7"/>
      <c r="Q731" s="7"/>
    </row>
    <row r="732" spans="1:17" ht="15.75" customHeight="1">
      <c r="A732" s="4"/>
      <c r="B732" s="5"/>
      <c r="C732" s="5"/>
      <c r="D732" s="43"/>
      <c r="E732" s="5"/>
      <c r="F732" s="5"/>
      <c r="G732" s="5"/>
      <c r="J732" s="6"/>
      <c r="L732" s="7"/>
      <c r="M732" s="7"/>
      <c r="N732" s="7"/>
      <c r="O732" s="7"/>
      <c r="P732" s="7"/>
      <c r="Q732" s="7"/>
    </row>
    <row r="733" spans="1:17" ht="15.75" customHeight="1">
      <c r="A733" s="4"/>
      <c r="B733" s="5"/>
      <c r="C733" s="5"/>
      <c r="D733" s="43"/>
      <c r="E733" s="5"/>
      <c r="F733" s="5"/>
      <c r="G733" s="5"/>
      <c r="J733" s="6"/>
      <c r="L733" s="7"/>
      <c r="M733" s="7"/>
      <c r="N733" s="7"/>
      <c r="O733" s="7"/>
      <c r="P733" s="7"/>
      <c r="Q733" s="7"/>
    </row>
    <row r="734" spans="1:17" ht="15.75" customHeight="1">
      <c r="A734" s="4"/>
      <c r="B734" s="5"/>
      <c r="C734" s="5"/>
      <c r="D734" s="43"/>
      <c r="E734" s="5"/>
      <c r="F734" s="5"/>
      <c r="G734" s="5"/>
      <c r="J734" s="6"/>
      <c r="L734" s="7"/>
      <c r="M734" s="7"/>
      <c r="N734" s="7"/>
      <c r="O734" s="7"/>
      <c r="P734" s="7"/>
      <c r="Q734" s="7"/>
    </row>
    <row r="735" spans="1:17" ht="15.75" customHeight="1">
      <c r="A735" s="4"/>
      <c r="B735" s="5"/>
      <c r="C735" s="5"/>
      <c r="D735" s="43"/>
      <c r="E735" s="5"/>
      <c r="F735" s="5"/>
      <c r="G735" s="5"/>
      <c r="J735" s="6"/>
      <c r="L735" s="7"/>
      <c r="M735" s="7"/>
      <c r="N735" s="7"/>
      <c r="O735" s="7"/>
      <c r="P735" s="7"/>
      <c r="Q735" s="7"/>
    </row>
    <row r="736" spans="1:17" ht="15.75" customHeight="1">
      <c r="A736" s="4"/>
      <c r="B736" s="5"/>
      <c r="C736" s="5"/>
      <c r="D736" s="43"/>
      <c r="E736" s="5"/>
      <c r="F736" s="5"/>
      <c r="G736" s="5"/>
      <c r="J736" s="6"/>
      <c r="L736" s="7"/>
      <c r="M736" s="7"/>
      <c r="N736" s="7"/>
      <c r="O736" s="7"/>
      <c r="P736" s="7"/>
      <c r="Q736" s="7"/>
    </row>
    <row r="737" spans="1:17" ht="15.75" customHeight="1">
      <c r="A737" s="4"/>
      <c r="B737" s="5"/>
      <c r="C737" s="5"/>
      <c r="D737" s="43"/>
      <c r="E737" s="5"/>
      <c r="F737" s="5"/>
      <c r="G737" s="5"/>
      <c r="J737" s="6"/>
      <c r="L737" s="7"/>
      <c r="M737" s="7"/>
      <c r="N737" s="7"/>
      <c r="O737" s="7"/>
      <c r="P737" s="7"/>
      <c r="Q737" s="7"/>
    </row>
    <row r="738" spans="1:17" ht="15.75" customHeight="1">
      <c r="A738" s="4"/>
      <c r="B738" s="5"/>
      <c r="C738" s="5"/>
      <c r="D738" s="43"/>
      <c r="E738" s="5"/>
      <c r="F738" s="5"/>
      <c r="G738" s="5"/>
      <c r="J738" s="6"/>
      <c r="L738" s="7"/>
      <c r="M738" s="7"/>
      <c r="N738" s="7"/>
      <c r="O738" s="7"/>
      <c r="P738" s="7"/>
      <c r="Q738" s="7"/>
    </row>
    <row r="739" spans="1:17" ht="15.75" customHeight="1">
      <c r="A739" s="4"/>
      <c r="B739" s="5"/>
      <c r="C739" s="5"/>
      <c r="D739" s="43"/>
      <c r="E739" s="5"/>
      <c r="F739" s="5"/>
      <c r="G739" s="5"/>
      <c r="J739" s="6"/>
      <c r="L739" s="7"/>
      <c r="M739" s="7"/>
      <c r="N739" s="7"/>
      <c r="O739" s="7"/>
      <c r="P739" s="7"/>
      <c r="Q739" s="7"/>
    </row>
    <row r="740" spans="1:17" ht="15.75" customHeight="1">
      <c r="A740" s="4"/>
      <c r="B740" s="5"/>
      <c r="C740" s="5"/>
      <c r="D740" s="43"/>
      <c r="E740" s="5"/>
      <c r="F740" s="5"/>
      <c r="G740" s="5"/>
      <c r="J740" s="6"/>
      <c r="L740" s="7"/>
      <c r="M740" s="7"/>
      <c r="N740" s="7"/>
      <c r="O740" s="7"/>
      <c r="P740" s="7"/>
      <c r="Q740" s="7"/>
    </row>
    <row r="741" spans="1:17" ht="15.75" customHeight="1">
      <c r="A741" s="4"/>
      <c r="B741" s="5"/>
      <c r="C741" s="5"/>
      <c r="D741" s="43"/>
      <c r="E741" s="5"/>
      <c r="F741" s="5"/>
      <c r="G741" s="5"/>
      <c r="J741" s="6"/>
      <c r="L741" s="7"/>
      <c r="M741" s="7"/>
      <c r="N741" s="7"/>
      <c r="O741" s="7"/>
      <c r="P741" s="7"/>
      <c r="Q741" s="7"/>
    </row>
    <row r="742" spans="1:17" ht="15.75" customHeight="1">
      <c r="A742" s="4"/>
      <c r="B742" s="5"/>
      <c r="C742" s="5"/>
      <c r="D742" s="43"/>
      <c r="E742" s="5"/>
      <c r="F742" s="5"/>
      <c r="G742" s="5"/>
      <c r="J742" s="6"/>
      <c r="L742" s="7"/>
      <c r="M742" s="7"/>
      <c r="N742" s="7"/>
      <c r="O742" s="7"/>
      <c r="P742" s="7"/>
      <c r="Q742" s="7"/>
    </row>
    <row r="743" spans="1:17" ht="15.75" customHeight="1">
      <c r="A743" s="4"/>
      <c r="B743" s="5"/>
      <c r="C743" s="5"/>
      <c r="D743" s="43"/>
      <c r="E743" s="5"/>
      <c r="F743" s="5"/>
      <c r="G743" s="5"/>
      <c r="J743" s="6"/>
      <c r="L743" s="7"/>
      <c r="M743" s="7"/>
      <c r="N743" s="7"/>
      <c r="O743" s="7"/>
      <c r="P743" s="7"/>
      <c r="Q743" s="7"/>
    </row>
    <row r="744" spans="1:17" ht="15.75" customHeight="1">
      <c r="A744" s="4"/>
      <c r="B744" s="5"/>
      <c r="C744" s="5"/>
      <c r="D744" s="43"/>
      <c r="E744" s="5"/>
      <c r="F744" s="5"/>
      <c r="G744" s="5"/>
      <c r="J744" s="6"/>
      <c r="L744" s="7"/>
      <c r="M744" s="7"/>
      <c r="N744" s="7"/>
      <c r="O744" s="7"/>
      <c r="P744" s="7"/>
      <c r="Q744" s="7"/>
    </row>
    <row r="745" spans="1:17" ht="15.75" customHeight="1">
      <c r="A745" s="4"/>
      <c r="B745" s="5"/>
      <c r="C745" s="5"/>
      <c r="D745" s="43"/>
      <c r="E745" s="5"/>
      <c r="F745" s="5"/>
      <c r="G745" s="5"/>
      <c r="J745" s="6"/>
      <c r="L745" s="7"/>
      <c r="M745" s="7"/>
      <c r="N745" s="7"/>
      <c r="O745" s="7"/>
      <c r="P745" s="7"/>
      <c r="Q745" s="7"/>
    </row>
    <row r="746" spans="1:17" ht="15.75" customHeight="1">
      <c r="A746" s="4"/>
      <c r="B746" s="5"/>
      <c r="C746" s="5"/>
      <c r="D746" s="43"/>
      <c r="E746" s="5"/>
      <c r="F746" s="5"/>
      <c r="G746" s="5"/>
      <c r="J746" s="6"/>
      <c r="L746" s="7"/>
      <c r="M746" s="7"/>
      <c r="N746" s="7"/>
      <c r="O746" s="7"/>
      <c r="P746" s="7"/>
      <c r="Q746" s="7"/>
    </row>
    <row r="747" spans="1:17" ht="15.75" customHeight="1">
      <c r="A747" s="4"/>
      <c r="B747" s="5"/>
      <c r="C747" s="5"/>
      <c r="D747" s="43"/>
      <c r="E747" s="5"/>
      <c r="F747" s="5"/>
      <c r="G747" s="5"/>
      <c r="J747" s="6"/>
      <c r="L747" s="7"/>
      <c r="M747" s="7"/>
      <c r="N747" s="7"/>
      <c r="O747" s="7"/>
      <c r="P747" s="7"/>
      <c r="Q747" s="7"/>
    </row>
    <row r="748" spans="1:17" ht="15.75" customHeight="1">
      <c r="A748" s="4"/>
      <c r="B748" s="5"/>
      <c r="C748" s="5"/>
      <c r="D748" s="43"/>
      <c r="E748" s="5"/>
      <c r="F748" s="5"/>
      <c r="G748" s="5"/>
      <c r="J748" s="6"/>
      <c r="L748" s="7"/>
      <c r="M748" s="7"/>
      <c r="N748" s="7"/>
      <c r="O748" s="7"/>
      <c r="P748" s="7"/>
      <c r="Q748" s="7"/>
    </row>
    <row r="749" spans="1:17" ht="15.75" customHeight="1">
      <c r="A749" s="4"/>
      <c r="B749" s="5"/>
      <c r="C749" s="5"/>
      <c r="D749" s="43"/>
      <c r="E749" s="5"/>
      <c r="F749" s="5"/>
      <c r="G749" s="5"/>
      <c r="J749" s="6"/>
      <c r="L749" s="7"/>
      <c r="M749" s="7"/>
      <c r="N749" s="7"/>
      <c r="O749" s="7"/>
      <c r="P749" s="7"/>
      <c r="Q749" s="7"/>
    </row>
    <row r="750" spans="1:17" ht="15.75" customHeight="1">
      <c r="A750" s="4"/>
      <c r="B750" s="5"/>
      <c r="C750" s="5"/>
      <c r="D750" s="43"/>
      <c r="E750" s="5"/>
      <c r="F750" s="5"/>
      <c r="G750" s="5"/>
      <c r="J750" s="6"/>
      <c r="L750" s="7"/>
      <c r="M750" s="7"/>
      <c r="N750" s="7"/>
      <c r="O750" s="7"/>
      <c r="P750" s="7"/>
      <c r="Q750" s="7"/>
    </row>
    <row r="751" spans="1:17" ht="15.75" customHeight="1">
      <c r="A751" s="4"/>
      <c r="B751" s="5"/>
      <c r="C751" s="5"/>
      <c r="D751" s="43"/>
      <c r="E751" s="5"/>
      <c r="F751" s="5"/>
      <c r="G751" s="5"/>
      <c r="J751" s="6"/>
      <c r="L751" s="7"/>
      <c r="M751" s="7"/>
      <c r="N751" s="7"/>
      <c r="O751" s="7"/>
      <c r="P751" s="7"/>
      <c r="Q751" s="7"/>
    </row>
    <row r="752" spans="1:17" ht="15.75" customHeight="1">
      <c r="A752" s="4"/>
      <c r="B752" s="5"/>
      <c r="C752" s="5"/>
      <c r="D752" s="43"/>
      <c r="E752" s="5"/>
      <c r="F752" s="5"/>
      <c r="G752" s="5"/>
      <c r="J752" s="6"/>
      <c r="L752" s="7"/>
      <c r="M752" s="7"/>
      <c r="N752" s="7"/>
      <c r="O752" s="7"/>
      <c r="P752" s="7"/>
      <c r="Q752" s="7"/>
    </row>
    <row r="753" spans="1:17" ht="15.75" customHeight="1">
      <c r="A753" s="4"/>
      <c r="B753" s="5"/>
      <c r="C753" s="5"/>
      <c r="D753" s="43"/>
      <c r="E753" s="5"/>
      <c r="F753" s="5"/>
      <c r="G753" s="5"/>
      <c r="J753" s="6"/>
      <c r="L753" s="7"/>
      <c r="M753" s="7"/>
      <c r="N753" s="7"/>
      <c r="O753" s="7"/>
      <c r="P753" s="7"/>
      <c r="Q753" s="7"/>
    </row>
    <row r="754" spans="1:17" ht="15.75" customHeight="1">
      <c r="A754" s="4"/>
      <c r="B754" s="5"/>
      <c r="C754" s="5"/>
      <c r="D754" s="43"/>
      <c r="E754" s="5"/>
      <c r="F754" s="5"/>
      <c r="G754" s="5"/>
      <c r="J754" s="6"/>
      <c r="L754" s="7"/>
      <c r="M754" s="7"/>
      <c r="N754" s="7"/>
      <c r="O754" s="7"/>
      <c r="P754" s="7"/>
      <c r="Q754" s="7"/>
    </row>
    <row r="755" spans="1:17" ht="15.75" customHeight="1">
      <c r="A755" s="4"/>
      <c r="B755" s="5"/>
      <c r="C755" s="5"/>
      <c r="D755" s="43"/>
      <c r="E755" s="5"/>
      <c r="F755" s="5"/>
      <c r="G755" s="5"/>
      <c r="J755" s="6"/>
      <c r="L755" s="7"/>
      <c r="M755" s="7"/>
      <c r="N755" s="7"/>
      <c r="O755" s="7"/>
      <c r="P755" s="7"/>
      <c r="Q755" s="7"/>
    </row>
    <row r="756" spans="1:17" ht="15.75" customHeight="1">
      <c r="A756" s="4"/>
      <c r="B756" s="5"/>
      <c r="C756" s="5"/>
      <c r="D756" s="43"/>
      <c r="E756" s="5"/>
      <c r="F756" s="5"/>
      <c r="G756" s="5"/>
      <c r="J756" s="6"/>
      <c r="L756" s="7"/>
      <c r="M756" s="7"/>
      <c r="N756" s="7"/>
      <c r="O756" s="7"/>
      <c r="P756" s="7"/>
      <c r="Q756" s="7"/>
    </row>
    <row r="757" spans="1:17" ht="15.75" customHeight="1">
      <c r="A757" s="4"/>
      <c r="B757" s="5"/>
      <c r="C757" s="5"/>
      <c r="D757" s="43"/>
      <c r="E757" s="5"/>
      <c r="F757" s="5"/>
      <c r="G757" s="5"/>
      <c r="J757" s="6"/>
      <c r="L757" s="7"/>
      <c r="M757" s="7"/>
      <c r="N757" s="7"/>
      <c r="O757" s="7"/>
      <c r="P757" s="7"/>
      <c r="Q757" s="7"/>
    </row>
    <row r="758" spans="1:17" ht="15.75" customHeight="1">
      <c r="A758" s="4"/>
      <c r="B758" s="5"/>
      <c r="C758" s="5"/>
      <c r="D758" s="43"/>
      <c r="E758" s="5"/>
      <c r="F758" s="5"/>
      <c r="G758" s="5"/>
      <c r="J758" s="6"/>
      <c r="L758" s="7"/>
      <c r="M758" s="7"/>
      <c r="N758" s="7"/>
      <c r="O758" s="7"/>
      <c r="P758" s="7"/>
      <c r="Q758" s="7"/>
    </row>
    <row r="759" spans="1:17" ht="15.75" customHeight="1">
      <c r="A759" s="4"/>
      <c r="B759" s="5"/>
      <c r="C759" s="5"/>
      <c r="D759" s="43"/>
      <c r="E759" s="5"/>
      <c r="F759" s="5"/>
      <c r="G759" s="5"/>
      <c r="J759" s="6"/>
      <c r="L759" s="7"/>
      <c r="M759" s="7"/>
      <c r="N759" s="7"/>
      <c r="O759" s="7"/>
      <c r="P759" s="7"/>
      <c r="Q759" s="7"/>
    </row>
    <row r="760" spans="1:17" ht="15.75" customHeight="1">
      <c r="A760" s="4"/>
      <c r="B760" s="5"/>
      <c r="C760" s="5"/>
      <c r="D760" s="43"/>
      <c r="E760" s="5"/>
      <c r="F760" s="5"/>
      <c r="G760" s="5"/>
      <c r="J760" s="6"/>
      <c r="L760" s="7"/>
      <c r="M760" s="7"/>
      <c r="N760" s="7"/>
      <c r="O760" s="7"/>
      <c r="P760" s="7"/>
      <c r="Q760" s="7"/>
    </row>
    <row r="761" spans="1:17" ht="15.75" customHeight="1">
      <c r="A761" s="4"/>
      <c r="B761" s="5"/>
      <c r="C761" s="5"/>
      <c r="D761" s="43"/>
      <c r="E761" s="5"/>
      <c r="F761" s="5"/>
      <c r="G761" s="5"/>
      <c r="J761" s="6"/>
      <c r="L761" s="7"/>
      <c r="M761" s="7"/>
      <c r="N761" s="7"/>
      <c r="O761" s="7"/>
      <c r="P761" s="7"/>
      <c r="Q761" s="7"/>
    </row>
    <row r="762" spans="1:17" ht="15.75" customHeight="1">
      <c r="A762" s="4"/>
      <c r="B762" s="5"/>
      <c r="C762" s="5"/>
      <c r="D762" s="43"/>
      <c r="E762" s="5"/>
      <c r="F762" s="5"/>
      <c r="G762" s="5"/>
      <c r="J762" s="6"/>
      <c r="L762" s="7"/>
      <c r="M762" s="7"/>
      <c r="N762" s="7"/>
      <c r="O762" s="7"/>
      <c r="P762" s="7"/>
      <c r="Q762" s="7"/>
    </row>
    <row r="763" spans="1:17" ht="15.75" customHeight="1">
      <c r="A763" s="4"/>
      <c r="B763" s="5"/>
      <c r="C763" s="5"/>
      <c r="D763" s="43"/>
      <c r="E763" s="5"/>
      <c r="F763" s="5"/>
      <c r="G763" s="5"/>
      <c r="J763" s="6"/>
      <c r="L763" s="7"/>
      <c r="M763" s="7"/>
      <c r="N763" s="7"/>
      <c r="O763" s="7"/>
      <c r="P763" s="7"/>
      <c r="Q763" s="7"/>
    </row>
    <row r="764" spans="1:17" ht="15.75" customHeight="1">
      <c r="A764" s="4"/>
      <c r="B764" s="5"/>
      <c r="C764" s="5"/>
      <c r="D764" s="43"/>
      <c r="E764" s="5"/>
      <c r="F764" s="5"/>
      <c r="G764" s="5"/>
      <c r="J764" s="6"/>
      <c r="L764" s="7"/>
      <c r="M764" s="7"/>
      <c r="N764" s="7"/>
      <c r="O764" s="7"/>
      <c r="P764" s="7"/>
      <c r="Q764" s="7"/>
    </row>
    <row r="765" spans="1:17" ht="15.75" customHeight="1">
      <c r="A765" s="4"/>
      <c r="B765" s="5"/>
      <c r="C765" s="5"/>
      <c r="D765" s="43"/>
      <c r="E765" s="5"/>
      <c r="F765" s="5"/>
      <c r="G765" s="5"/>
      <c r="J765" s="6"/>
      <c r="L765" s="7"/>
      <c r="M765" s="7"/>
      <c r="N765" s="7"/>
      <c r="O765" s="7"/>
      <c r="P765" s="7"/>
      <c r="Q765" s="7"/>
    </row>
    <row r="766" spans="1:17" ht="15.75" customHeight="1">
      <c r="A766" s="4"/>
      <c r="B766" s="5"/>
      <c r="C766" s="5"/>
      <c r="D766" s="43"/>
      <c r="E766" s="5"/>
      <c r="F766" s="5"/>
      <c r="G766" s="5"/>
      <c r="J766" s="6"/>
      <c r="L766" s="7"/>
      <c r="M766" s="7"/>
      <c r="N766" s="7"/>
      <c r="O766" s="7"/>
      <c r="P766" s="7"/>
      <c r="Q766" s="7"/>
    </row>
    <row r="767" spans="1:17" ht="15.75" customHeight="1">
      <c r="A767" s="4"/>
      <c r="B767" s="5"/>
      <c r="C767" s="5"/>
      <c r="D767" s="43"/>
      <c r="E767" s="5"/>
      <c r="F767" s="5"/>
      <c r="G767" s="5"/>
      <c r="J767" s="6"/>
      <c r="L767" s="7"/>
      <c r="M767" s="7"/>
      <c r="N767" s="7"/>
      <c r="O767" s="7"/>
      <c r="P767" s="7"/>
      <c r="Q767" s="7"/>
    </row>
    <row r="768" spans="1:17" ht="15.75" customHeight="1">
      <c r="A768" s="4"/>
      <c r="B768" s="5"/>
      <c r="C768" s="5"/>
      <c r="D768" s="43"/>
      <c r="E768" s="5"/>
      <c r="F768" s="5"/>
      <c r="G768" s="5"/>
      <c r="J768" s="6"/>
      <c r="L768" s="7"/>
      <c r="M768" s="7"/>
      <c r="N768" s="7"/>
      <c r="O768" s="7"/>
      <c r="P768" s="7"/>
      <c r="Q768" s="7"/>
    </row>
    <row r="769" spans="1:17" ht="15.75" customHeight="1">
      <c r="A769" s="4"/>
      <c r="B769" s="5"/>
      <c r="C769" s="5"/>
      <c r="D769" s="43"/>
      <c r="E769" s="5"/>
      <c r="F769" s="5"/>
      <c r="G769" s="5"/>
      <c r="J769" s="6"/>
      <c r="L769" s="7"/>
      <c r="M769" s="7"/>
      <c r="N769" s="7"/>
      <c r="O769" s="7"/>
      <c r="P769" s="7"/>
      <c r="Q769" s="7"/>
    </row>
    <row r="770" spans="1:17" ht="15.75" customHeight="1">
      <c r="A770" s="4"/>
      <c r="B770" s="5"/>
      <c r="C770" s="5"/>
      <c r="D770" s="43"/>
      <c r="E770" s="5"/>
      <c r="F770" s="5"/>
      <c r="G770" s="5"/>
      <c r="J770" s="6"/>
      <c r="L770" s="7"/>
      <c r="M770" s="7"/>
      <c r="N770" s="7"/>
      <c r="O770" s="7"/>
      <c r="P770" s="7"/>
      <c r="Q770" s="7"/>
    </row>
    <row r="771" spans="1:17" ht="15.75" customHeight="1">
      <c r="A771" s="4"/>
      <c r="B771" s="5"/>
      <c r="C771" s="5"/>
      <c r="D771" s="43"/>
      <c r="E771" s="5"/>
      <c r="F771" s="5"/>
      <c r="G771" s="5"/>
      <c r="J771" s="6"/>
      <c r="L771" s="7"/>
      <c r="M771" s="7"/>
      <c r="N771" s="7"/>
      <c r="O771" s="7"/>
      <c r="P771" s="7"/>
      <c r="Q771" s="7"/>
    </row>
    <row r="772" spans="1:17" ht="15.75" customHeight="1">
      <c r="A772" s="4"/>
      <c r="B772" s="5"/>
      <c r="C772" s="5"/>
      <c r="D772" s="43"/>
      <c r="E772" s="5"/>
      <c r="F772" s="5"/>
      <c r="G772" s="5"/>
      <c r="J772" s="6"/>
      <c r="L772" s="7"/>
      <c r="M772" s="7"/>
      <c r="N772" s="7"/>
      <c r="O772" s="7"/>
      <c r="P772" s="7"/>
      <c r="Q772" s="7"/>
    </row>
    <row r="773" spans="1:17" ht="15.75" customHeight="1">
      <c r="A773" s="4"/>
      <c r="B773" s="5"/>
      <c r="C773" s="5"/>
      <c r="D773" s="43"/>
      <c r="E773" s="5"/>
      <c r="F773" s="5"/>
      <c r="G773" s="5"/>
      <c r="J773" s="6"/>
      <c r="L773" s="7"/>
      <c r="M773" s="7"/>
      <c r="N773" s="7"/>
      <c r="O773" s="7"/>
      <c r="P773" s="7"/>
      <c r="Q773" s="7"/>
    </row>
    <row r="774" spans="1:17" ht="15.75" customHeight="1">
      <c r="A774" s="4"/>
      <c r="B774" s="5"/>
      <c r="C774" s="5"/>
      <c r="D774" s="43"/>
      <c r="E774" s="5"/>
      <c r="F774" s="5"/>
      <c r="G774" s="5"/>
      <c r="J774" s="6"/>
      <c r="L774" s="7"/>
      <c r="M774" s="7"/>
      <c r="N774" s="7"/>
      <c r="O774" s="7"/>
      <c r="P774" s="7"/>
      <c r="Q774" s="7"/>
    </row>
    <row r="775" spans="1:17" ht="15.75" customHeight="1">
      <c r="A775" s="4"/>
      <c r="B775" s="5"/>
      <c r="C775" s="5"/>
      <c r="D775" s="43"/>
      <c r="E775" s="5"/>
      <c r="F775" s="5"/>
      <c r="G775" s="5"/>
      <c r="J775" s="6"/>
      <c r="L775" s="7"/>
      <c r="M775" s="7"/>
      <c r="N775" s="7"/>
      <c r="O775" s="7"/>
      <c r="P775" s="7"/>
      <c r="Q775" s="7"/>
    </row>
    <row r="776" spans="1:17" ht="15.75" customHeight="1">
      <c r="A776" s="4"/>
      <c r="B776" s="5"/>
      <c r="C776" s="5"/>
      <c r="D776" s="43"/>
      <c r="E776" s="5"/>
      <c r="F776" s="5"/>
      <c r="G776" s="5"/>
      <c r="J776" s="6"/>
      <c r="L776" s="7"/>
      <c r="M776" s="7"/>
      <c r="N776" s="7"/>
      <c r="O776" s="7"/>
      <c r="P776" s="7"/>
      <c r="Q776" s="7"/>
    </row>
    <row r="777" spans="1:17" ht="15.75" customHeight="1">
      <c r="A777" s="4"/>
      <c r="B777" s="5"/>
      <c r="C777" s="5"/>
      <c r="D777" s="43"/>
      <c r="E777" s="5"/>
      <c r="F777" s="5"/>
      <c r="G777" s="5"/>
      <c r="J777" s="6"/>
      <c r="L777" s="7"/>
      <c r="M777" s="7"/>
      <c r="N777" s="7"/>
      <c r="O777" s="7"/>
      <c r="P777" s="7"/>
      <c r="Q777" s="7"/>
    </row>
    <row r="778" spans="1:17" ht="15.75" customHeight="1">
      <c r="A778" s="4"/>
      <c r="B778" s="5"/>
      <c r="C778" s="5"/>
      <c r="D778" s="43"/>
      <c r="E778" s="5"/>
      <c r="F778" s="5"/>
      <c r="G778" s="5"/>
      <c r="J778" s="6"/>
      <c r="L778" s="7"/>
      <c r="M778" s="7"/>
      <c r="N778" s="7"/>
      <c r="O778" s="7"/>
      <c r="P778" s="7"/>
      <c r="Q778" s="7"/>
    </row>
    <row r="779" spans="1:17" ht="15.75" customHeight="1">
      <c r="A779" s="4"/>
      <c r="B779" s="5"/>
      <c r="C779" s="5"/>
      <c r="D779" s="43"/>
      <c r="E779" s="5"/>
      <c r="F779" s="5"/>
      <c r="G779" s="5"/>
      <c r="J779" s="6"/>
      <c r="L779" s="7"/>
      <c r="M779" s="7"/>
      <c r="N779" s="7"/>
      <c r="O779" s="7"/>
      <c r="P779" s="7"/>
      <c r="Q779" s="7"/>
    </row>
    <row r="780" spans="1:17" ht="15.75" customHeight="1">
      <c r="A780" s="4"/>
      <c r="B780" s="5"/>
      <c r="C780" s="5"/>
      <c r="D780" s="43"/>
      <c r="E780" s="5"/>
      <c r="F780" s="5"/>
      <c r="G780" s="5"/>
      <c r="J780" s="6"/>
      <c r="L780" s="7"/>
      <c r="M780" s="7"/>
      <c r="N780" s="7"/>
      <c r="O780" s="7"/>
      <c r="P780" s="7"/>
      <c r="Q780" s="7"/>
    </row>
    <row r="781" spans="1:17" ht="15.75" customHeight="1">
      <c r="A781" s="4"/>
      <c r="B781" s="5"/>
      <c r="C781" s="5"/>
      <c r="D781" s="43"/>
      <c r="E781" s="5"/>
      <c r="F781" s="5"/>
      <c r="G781" s="5"/>
      <c r="J781" s="6"/>
      <c r="L781" s="7"/>
      <c r="M781" s="7"/>
      <c r="N781" s="7"/>
      <c r="O781" s="7"/>
      <c r="P781" s="7"/>
      <c r="Q781" s="7"/>
    </row>
    <row r="782" spans="1:17" ht="15.75" customHeight="1">
      <c r="A782" s="4"/>
      <c r="B782" s="5"/>
      <c r="C782" s="5"/>
      <c r="D782" s="43"/>
      <c r="E782" s="5"/>
      <c r="F782" s="5"/>
      <c r="G782" s="5"/>
      <c r="J782" s="6"/>
      <c r="L782" s="7"/>
      <c r="M782" s="7"/>
      <c r="N782" s="7"/>
      <c r="O782" s="7"/>
      <c r="P782" s="7"/>
      <c r="Q782" s="7"/>
    </row>
    <row r="783" spans="1:17" ht="15.75" customHeight="1">
      <c r="A783" s="4"/>
      <c r="B783" s="5"/>
      <c r="C783" s="5"/>
      <c r="D783" s="43"/>
      <c r="E783" s="5"/>
      <c r="F783" s="5"/>
      <c r="G783" s="5"/>
      <c r="J783" s="6"/>
      <c r="L783" s="7"/>
      <c r="M783" s="7"/>
      <c r="N783" s="7"/>
      <c r="O783" s="7"/>
      <c r="P783" s="7"/>
      <c r="Q783" s="7"/>
    </row>
    <row r="784" spans="1:17" ht="15.75" customHeight="1">
      <c r="A784" s="4"/>
      <c r="B784" s="5"/>
      <c r="C784" s="5"/>
      <c r="D784" s="43"/>
      <c r="E784" s="5"/>
      <c r="F784" s="5"/>
      <c r="G784" s="5"/>
      <c r="J784" s="6"/>
      <c r="L784" s="7"/>
      <c r="M784" s="7"/>
      <c r="N784" s="7"/>
      <c r="O784" s="7"/>
      <c r="P784" s="7"/>
      <c r="Q784" s="7"/>
    </row>
    <row r="785" spans="1:17" ht="15.75" customHeight="1">
      <c r="A785" s="4"/>
      <c r="B785" s="5"/>
      <c r="C785" s="5"/>
      <c r="D785" s="43"/>
      <c r="E785" s="5"/>
      <c r="F785" s="5"/>
      <c r="G785" s="5"/>
      <c r="J785" s="6"/>
      <c r="L785" s="7"/>
      <c r="M785" s="7"/>
      <c r="N785" s="7"/>
      <c r="O785" s="7"/>
      <c r="P785" s="7"/>
      <c r="Q785" s="7"/>
    </row>
    <row r="786" spans="1:17" ht="15.75" customHeight="1">
      <c r="A786" s="4"/>
      <c r="B786" s="5"/>
      <c r="C786" s="5"/>
      <c r="D786" s="43"/>
      <c r="E786" s="5"/>
      <c r="F786" s="5"/>
      <c r="G786" s="5"/>
      <c r="J786" s="6"/>
      <c r="L786" s="7"/>
      <c r="M786" s="7"/>
      <c r="N786" s="7"/>
      <c r="O786" s="7"/>
      <c r="P786" s="7"/>
      <c r="Q786" s="7"/>
    </row>
    <row r="787" spans="1:17" ht="15.75" customHeight="1">
      <c r="A787" s="4"/>
      <c r="B787" s="5"/>
      <c r="C787" s="5"/>
      <c r="D787" s="43"/>
      <c r="E787" s="5"/>
      <c r="F787" s="5"/>
      <c r="G787" s="5"/>
      <c r="J787" s="6"/>
      <c r="L787" s="7"/>
      <c r="M787" s="7"/>
      <c r="N787" s="7"/>
      <c r="O787" s="7"/>
      <c r="P787" s="7"/>
      <c r="Q787" s="7"/>
    </row>
    <row r="788" spans="1:17" ht="15.75" customHeight="1">
      <c r="A788" s="4"/>
      <c r="B788" s="5"/>
      <c r="C788" s="5"/>
      <c r="D788" s="43"/>
      <c r="E788" s="5"/>
      <c r="F788" s="5"/>
      <c r="G788" s="5"/>
      <c r="J788" s="6"/>
      <c r="L788" s="7"/>
      <c r="M788" s="7"/>
      <c r="N788" s="7"/>
      <c r="O788" s="7"/>
      <c r="P788" s="7"/>
      <c r="Q788" s="7"/>
    </row>
    <row r="789" spans="1:17" ht="15.75" customHeight="1">
      <c r="A789" s="4"/>
      <c r="B789" s="5"/>
      <c r="C789" s="5"/>
      <c r="D789" s="43"/>
      <c r="E789" s="5"/>
      <c r="F789" s="5"/>
      <c r="G789" s="5"/>
      <c r="J789" s="6"/>
      <c r="L789" s="7"/>
      <c r="M789" s="7"/>
      <c r="N789" s="7"/>
      <c r="O789" s="7"/>
      <c r="P789" s="7"/>
      <c r="Q789" s="7"/>
    </row>
    <row r="790" spans="1:17" ht="15.75" customHeight="1">
      <c r="A790" s="4"/>
      <c r="B790" s="5"/>
      <c r="C790" s="5"/>
      <c r="D790" s="43"/>
      <c r="E790" s="5"/>
      <c r="F790" s="5"/>
      <c r="G790" s="5"/>
      <c r="J790" s="6"/>
      <c r="L790" s="7"/>
      <c r="M790" s="7"/>
      <c r="N790" s="7"/>
      <c r="O790" s="7"/>
      <c r="P790" s="7"/>
      <c r="Q790" s="7"/>
    </row>
    <row r="791" spans="1:17" ht="15.75" customHeight="1">
      <c r="A791" s="4"/>
      <c r="B791" s="5"/>
      <c r="C791" s="5"/>
      <c r="D791" s="43"/>
      <c r="E791" s="5"/>
      <c r="F791" s="5"/>
      <c r="G791" s="5"/>
      <c r="J791" s="6"/>
      <c r="L791" s="7"/>
      <c r="M791" s="7"/>
      <c r="N791" s="7"/>
      <c r="O791" s="7"/>
      <c r="P791" s="7"/>
      <c r="Q791" s="7"/>
    </row>
    <row r="792" spans="1:17" ht="15.75" customHeight="1">
      <c r="A792" s="4"/>
      <c r="B792" s="5"/>
      <c r="C792" s="5"/>
      <c r="D792" s="43"/>
      <c r="E792" s="5"/>
      <c r="F792" s="5"/>
      <c r="G792" s="5"/>
      <c r="J792" s="6"/>
      <c r="L792" s="7"/>
      <c r="M792" s="7"/>
      <c r="N792" s="7"/>
      <c r="O792" s="7"/>
      <c r="P792" s="7"/>
      <c r="Q792" s="7"/>
    </row>
    <row r="793" spans="1:17" ht="15.75" customHeight="1">
      <c r="A793" s="4"/>
      <c r="B793" s="5"/>
      <c r="C793" s="5"/>
      <c r="D793" s="43"/>
      <c r="E793" s="5"/>
      <c r="F793" s="5"/>
      <c r="G793" s="5"/>
      <c r="J793" s="6"/>
      <c r="L793" s="7"/>
      <c r="M793" s="7"/>
      <c r="N793" s="7"/>
      <c r="O793" s="7"/>
      <c r="P793" s="7"/>
      <c r="Q793" s="7"/>
    </row>
    <row r="794" spans="1:17" ht="15.75" customHeight="1">
      <c r="A794" s="4"/>
      <c r="B794" s="5"/>
      <c r="C794" s="5"/>
      <c r="D794" s="43"/>
      <c r="E794" s="5"/>
      <c r="F794" s="5"/>
      <c r="G794" s="5"/>
      <c r="J794" s="6"/>
      <c r="L794" s="7"/>
      <c r="M794" s="7"/>
      <c r="N794" s="7"/>
      <c r="O794" s="7"/>
      <c r="P794" s="7"/>
      <c r="Q794" s="7"/>
    </row>
    <row r="795" spans="1:17" ht="15.75" customHeight="1">
      <c r="A795" s="4"/>
      <c r="B795" s="5"/>
      <c r="C795" s="5"/>
      <c r="D795" s="43"/>
      <c r="E795" s="5"/>
      <c r="F795" s="5"/>
      <c r="G795" s="5"/>
      <c r="J795" s="6"/>
      <c r="L795" s="7"/>
      <c r="M795" s="7"/>
      <c r="N795" s="7"/>
      <c r="O795" s="7"/>
      <c r="P795" s="7"/>
      <c r="Q795" s="7"/>
    </row>
    <row r="796" spans="1:17" ht="15.75" customHeight="1">
      <c r="A796" s="4"/>
      <c r="B796" s="5"/>
      <c r="C796" s="5"/>
      <c r="D796" s="43"/>
      <c r="E796" s="5"/>
      <c r="F796" s="5"/>
      <c r="G796" s="5"/>
      <c r="J796" s="6"/>
      <c r="L796" s="7"/>
      <c r="M796" s="7"/>
      <c r="N796" s="7"/>
      <c r="O796" s="7"/>
      <c r="P796" s="7"/>
      <c r="Q796" s="7"/>
    </row>
    <row r="797" spans="1:17" ht="15.75" customHeight="1">
      <c r="A797" s="4"/>
      <c r="B797" s="5"/>
      <c r="C797" s="5"/>
      <c r="D797" s="43"/>
      <c r="E797" s="5"/>
      <c r="F797" s="5"/>
      <c r="G797" s="5"/>
      <c r="J797" s="6"/>
      <c r="L797" s="7"/>
      <c r="M797" s="7"/>
      <c r="N797" s="7"/>
      <c r="O797" s="7"/>
      <c r="P797" s="7"/>
      <c r="Q797" s="7"/>
    </row>
    <row r="798" spans="1:17" ht="15.75" customHeight="1">
      <c r="A798" s="4"/>
      <c r="B798" s="5"/>
      <c r="C798" s="5"/>
      <c r="D798" s="43"/>
      <c r="E798" s="5"/>
      <c r="F798" s="5"/>
      <c r="G798" s="5"/>
      <c r="J798" s="6"/>
      <c r="L798" s="7"/>
      <c r="M798" s="7"/>
      <c r="N798" s="7"/>
      <c r="O798" s="7"/>
      <c r="P798" s="7"/>
      <c r="Q798" s="7"/>
    </row>
    <row r="799" spans="1:17" ht="15.75" customHeight="1">
      <c r="A799" s="4"/>
      <c r="B799" s="5"/>
      <c r="C799" s="5"/>
      <c r="D799" s="43"/>
      <c r="E799" s="5"/>
      <c r="F799" s="5"/>
      <c r="G799" s="5"/>
      <c r="J799" s="6"/>
      <c r="L799" s="7"/>
      <c r="M799" s="7"/>
      <c r="N799" s="7"/>
      <c r="O799" s="7"/>
      <c r="P799" s="7"/>
      <c r="Q799" s="7"/>
    </row>
    <row r="800" spans="1:17" ht="15.75" customHeight="1">
      <c r="A800" s="4"/>
      <c r="B800" s="5"/>
      <c r="C800" s="5"/>
      <c r="D800" s="43"/>
      <c r="E800" s="5"/>
      <c r="F800" s="5"/>
      <c r="G800" s="5"/>
      <c r="J800" s="6"/>
      <c r="L800" s="7"/>
      <c r="M800" s="7"/>
      <c r="N800" s="7"/>
      <c r="O800" s="7"/>
      <c r="P800" s="7"/>
      <c r="Q800" s="7"/>
    </row>
    <row r="801" spans="1:17" ht="15.75" customHeight="1">
      <c r="A801" s="4"/>
      <c r="B801" s="5"/>
      <c r="C801" s="5"/>
      <c r="D801" s="43"/>
      <c r="E801" s="5"/>
      <c r="F801" s="5"/>
      <c r="G801" s="5"/>
      <c r="J801" s="6"/>
      <c r="L801" s="7"/>
      <c r="M801" s="7"/>
      <c r="N801" s="7"/>
      <c r="O801" s="7"/>
      <c r="P801" s="7"/>
      <c r="Q801" s="7"/>
    </row>
    <row r="802" spans="1:17" ht="15.75" customHeight="1">
      <c r="A802" s="4"/>
      <c r="B802" s="5"/>
      <c r="C802" s="5"/>
      <c r="D802" s="43"/>
      <c r="E802" s="5"/>
      <c r="F802" s="5"/>
      <c r="G802" s="5"/>
      <c r="J802" s="6"/>
      <c r="L802" s="7"/>
      <c r="M802" s="7"/>
      <c r="N802" s="7"/>
      <c r="O802" s="7"/>
      <c r="P802" s="7"/>
      <c r="Q802" s="7"/>
    </row>
    <row r="803" spans="1:17" ht="15.75" customHeight="1">
      <c r="A803" s="4"/>
      <c r="B803" s="5"/>
      <c r="C803" s="5"/>
      <c r="D803" s="43"/>
      <c r="E803" s="5"/>
      <c r="F803" s="5"/>
      <c r="G803" s="5"/>
      <c r="J803" s="6"/>
      <c r="L803" s="7"/>
      <c r="M803" s="7"/>
      <c r="N803" s="7"/>
      <c r="O803" s="7"/>
      <c r="P803" s="7"/>
      <c r="Q803" s="7"/>
    </row>
    <row r="804" spans="1:17" ht="15.75" customHeight="1">
      <c r="A804" s="4"/>
      <c r="B804" s="5"/>
      <c r="C804" s="5"/>
      <c r="D804" s="43"/>
      <c r="E804" s="5"/>
      <c r="F804" s="5"/>
      <c r="G804" s="5"/>
      <c r="J804" s="6"/>
      <c r="L804" s="7"/>
      <c r="M804" s="7"/>
      <c r="N804" s="7"/>
      <c r="O804" s="7"/>
      <c r="P804" s="7"/>
      <c r="Q804" s="7"/>
    </row>
    <row r="805" spans="1:17" ht="15.75" customHeight="1">
      <c r="A805" s="4"/>
      <c r="B805" s="5"/>
      <c r="C805" s="5"/>
      <c r="D805" s="43"/>
      <c r="E805" s="5"/>
      <c r="F805" s="5"/>
      <c r="G805" s="5"/>
      <c r="J805" s="6"/>
      <c r="L805" s="7"/>
      <c r="M805" s="7"/>
      <c r="N805" s="7"/>
      <c r="O805" s="7"/>
      <c r="P805" s="7"/>
      <c r="Q805" s="7"/>
    </row>
    <row r="806" spans="1:17" ht="15.75" customHeight="1">
      <c r="A806" s="4"/>
      <c r="B806" s="5"/>
      <c r="C806" s="5"/>
      <c r="D806" s="43"/>
      <c r="E806" s="5"/>
      <c r="F806" s="5"/>
      <c r="G806" s="5"/>
      <c r="J806" s="6"/>
      <c r="L806" s="7"/>
      <c r="M806" s="7"/>
      <c r="N806" s="7"/>
      <c r="O806" s="7"/>
      <c r="P806" s="7"/>
      <c r="Q806" s="7"/>
    </row>
    <row r="807" spans="1:17" ht="15.75" customHeight="1">
      <c r="A807" s="4"/>
      <c r="B807" s="5"/>
      <c r="C807" s="5"/>
      <c r="D807" s="43"/>
      <c r="E807" s="5"/>
      <c r="F807" s="5"/>
      <c r="G807" s="5"/>
      <c r="J807" s="6"/>
      <c r="L807" s="7"/>
      <c r="M807" s="7"/>
      <c r="N807" s="7"/>
      <c r="O807" s="7"/>
      <c r="P807" s="7"/>
      <c r="Q807" s="7"/>
    </row>
    <row r="808" spans="1:17" ht="15.75" customHeight="1">
      <c r="A808" s="4"/>
      <c r="B808" s="5"/>
      <c r="C808" s="5"/>
      <c r="D808" s="43"/>
      <c r="E808" s="5"/>
      <c r="F808" s="5"/>
      <c r="G808" s="5"/>
      <c r="J808" s="6"/>
      <c r="L808" s="7"/>
      <c r="M808" s="7"/>
      <c r="N808" s="7"/>
      <c r="O808" s="7"/>
      <c r="P808" s="7"/>
      <c r="Q808" s="7"/>
    </row>
    <row r="809" spans="1:17" ht="15.75" customHeight="1">
      <c r="A809" s="4"/>
      <c r="B809" s="5"/>
      <c r="C809" s="5"/>
      <c r="D809" s="43"/>
      <c r="E809" s="5"/>
      <c r="F809" s="5"/>
      <c r="G809" s="5"/>
      <c r="J809" s="6"/>
      <c r="L809" s="7"/>
      <c r="M809" s="7"/>
      <c r="N809" s="7"/>
      <c r="O809" s="7"/>
      <c r="P809" s="7"/>
      <c r="Q809" s="7"/>
    </row>
    <row r="810" spans="1:17" ht="15.75" customHeight="1">
      <c r="A810" s="4"/>
      <c r="B810" s="5"/>
      <c r="C810" s="5"/>
      <c r="D810" s="43"/>
      <c r="E810" s="5"/>
      <c r="F810" s="5"/>
      <c r="G810" s="5"/>
      <c r="J810" s="6"/>
      <c r="L810" s="7"/>
      <c r="M810" s="7"/>
      <c r="N810" s="7"/>
      <c r="O810" s="7"/>
      <c r="P810" s="7"/>
      <c r="Q810" s="7"/>
    </row>
    <row r="811" spans="1:17" ht="15.75" customHeight="1">
      <c r="A811" s="4"/>
      <c r="B811" s="5"/>
      <c r="C811" s="5"/>
      <c r="D811" s="43"/>
      <c r="E811" s="5"/>
      <c r="F811" s="5"/>
      <c r="G811" s="5"/>
      <c r="J811" s="6"/>
      <c r="L811" s="7"/>
      <c r="M811" s="7"/>
      <c r="N811" s="7"/>
      <c r="O811" s="7"/>
      <c r="P811" s="7"/>
      <c r="Q811" s="7"/>
    </row>
    <row r="812" spans="1:17" ht="15.75" customHeight="1">
      <c r="A812" s="4"/>
      <c r="B812" s="5"/>
      <c r="C812" s="5"/>
      <c r="D812" s="43"/>
      <c r="E812" s="5"/>
      <c r="F812" s="5"/>
      <c r="G812" s="5"/>
      <c r="J812" s="6"/>
      <c r="L812" s="7"/>
      <c r="M812" s="7"/>
      <c r="N812" s="7"/>
      <c r="O812" s="7"/>
      <c r="P812" s="7"/>
      <c r="Q812" s="7"/>
    </row>
    <row r="813" spans="1:17" ht="15.75" customHeight="1">
      <c r="A813" s="4"/>
      <c r="B813" s="5"/>
      <c r="C813" s="5"/>
      <c r="D813" s="43"/>
      <c r="E813" s="5"/>
      <c r="F813" s="5"/>
      <c r="G813" s="5"/>
      <c r="J813" s="6"/>
      <c r="L813" s="7"/>
      <c r="M813" s="7"/>
      <c r="N813" s="7"/>
      <c r="O813" s="7"/>
      <c r="P813" s="7"/>
      <c r="Q813" s="7"/>
    </row>
    <row r="814" spans="1:17" ht="15.75" customHeight="1">
      <c r="A814" s="4"/>
      <c r="B814" s="5"/>
      <c r="C814" s="5"/>
      <c r="D814" s="43"/>
      <c r="E814" s="5"/>
      <c r="F814" s="5"/>
      <c r="G814" s="5"/>
      <c r="J814" s="6"/>
      <c r="L814" s="7"/>
      <c r="M814" s="7"/>
      <c r="N814" s="7"/>
      <c r="O814" s="7"/>
      <c r="P814" s="7"/>
      <c r="Q814" s="7"/>
    </row>
    <row r="815" spans="1:17" ht="15.75" customHeight="1">
      <c r="A815" s="4"/>
      <c r="B815" s="5"/>
      <c r="C815" s="5"/>
      <c r="D815" s="43"/>
      <c r="E815" s="5"/>
      <c r="F815" s="5"/>
      <c r="G815" s="5"/>
      <c r="J815" s="6"/>
      <c r="L815" s="7"/>
      <c r="M815" s="7"/>
      <c r="N815" s="7"/>
      <c r="O815" s="7"/>
      <c r="P815" s="7"/>
      <c r="Q815" s="7"/>
    </row>
    <row r="816" spans="1:17" ht="15.75" customHeight="1">
      <c r="A816" s="4"/>
      <c r="B816" s="5"/>
      <c r="C816" s="5"/>
      <c r="D816" s="43"/>
      <c r="E816" s="5"/>
      <c r="F816" s="5"/>
      <c r="G816" s="5"/>
      <c r="J816" s="6"/>
      <c r="L816" s="7"/>
      <c r="M816" s="7"/>
      <c r="N816" s="7"/>
      <c r="O816" s="7"/>
      <c r="P816" s="7"/>
      <c r="Q816" s="7"/>
    </row>
    <row r="817" spans="1:17" ht="15.75" customHeight="1">
      <c r="A817" s="4"/>
      <c r="B817" s="5"/>
      <c r="C817" s="5"/>
      <c r="D817" s="43"/>
      <c r="E817" s="5"/>
      <c r="F817" s="5"/>
      <c r="G817" s="5"/>
      <c r="J817" s="6"/>
      <c r="L817" s="7"/>
      <c r="M817" s="7"/>
      <c r="N817" s="7"/>
      <c r="O817" s="7"/>
      <c r="P817" s="7"/>
      <c r="Q817" s="7"/>
    </row>
    <row r="818" spans="1:17" ht="15.75" customHeight="1">
      <c r="A818" s="4"/>
      <c r="B818" s="5"/>
      <c r="C818" s="5"/>
      <c r="D818" s="43"/>
      <c r="E818" s="5"/>
      <c r="F818" s="5"/>
      <c r="G818" s="5"/>
      <c r="J818" s="6"/>
      <c r="L818" s="7"/>
      <c r="M818" s="7"/>
      <c r="N818" s="7"/>
      <c r="O818" s="7"/>
      <c r="P818" s="7"/>
      <c r="Q818" s="7"/>
    </row>
    <row r="819" spans="1:17" ht="15.75" customHeight="1">
      <c r="A819" s="4"/>
      <c r="B819" s="5"/>
      <c r="C819" s="5"/>
      <c r="D819" s="43"/>
      <c r="E819" s="5"/>
      <c r="F819" s="5"/>
      <c r="G819" s="5"/>
      <c r="J819" s="6"/>
      <c r="L819" s="7"/>
      <c r="M819" s="7"/>
      <c r="N819" s="7"/>
      <c r="O819" s="7"/>
      <c r="P819" s="7"/>
      <c r="Q819" s="7"/>
    </row>
    <row r="820" spans="1:17" ht="15.75" customHeight="1">
      <c r="A820" s="4"/>
      <c r="B820" s="5"/>
      <c r="C820" s="5"/>
      <c r="D820" s="43"/>
      <c r="E820" s="5"/>
      <c r="F820" s="5"/>
      <c r="G820" s="5"/>
      <c r="J820" s="6"/>
      <c r="L820" s="7"/>
      <c r="M820" s="7"/>
      <c r="N820" s="7"/>
      <c r="O820" s="7"/>
      <c r="P820" s="7"/>
      <c r="Q820" s="7"/>
    </row>
    <row r="821" spans="1:17" ht="15.75" customHeight="1">
      <c r="A821" s="4"/>
      <c r="B821" s="5"/>
      <c r="C821" s="5"/>
      <c r="D821" s="43"/>
      <c r="E821" s="5"/>
      <c r="F821" s="5"/>
      <c r="G821" s="5"/>
      <c r="J821" s="6"/>
      <c r="L821" s="7"/>
      <c r="M821" s="7"/>
      <c r="N821" s="7"/>
      <c r="O821" s="7"/>
      <c r="P821" s="7"/>
      <c r="Q821" s="7"/>
    </row>
    <row r="822" spans="1:17" ht="15.75" customHeight="1">
      <c r="A822" s="4"/>
      <c r="B822" s="5"/>
      <c r="C822" s="5"/>
      <c r="D822" s="43"/>
      <c r="E822" s="5"/>
      <c r="F822" s="5"/>
      <c r="G822" s="5"/>
      <c r="J822" s="6"/>
      <c r="L822" s="7"/>
      <c r="M822" s="7"/>
      <c r="N822" s="7"/>
      <c r="O822" s="7"/>
      <c r="P822" s="7"/>
      <c r="Q822" s="7"/>
    </row>
    <row r="823" spans="1:17" ht="15.75" customHeight="1">
      <c r="A823" s="4"/>
      <c r="B823" s="5"/>
      <c r="C823" s="5"/>
      <c r="D823" s="43"/>
      <c r="E823" s="5"/>
      <c r="F823" s="5"/>
      <c r="G823" s="5"/>
      <c r="J823" s="6"/>
      <c r="L823" s="7"/>
      <c r="M823" s="7"/>
      <c r="N823" s="7"/>
      <c r="O823" s="7"/>
      <c r="P823" s="7"/>
      <c r="Q823" s="7"/>
    </row>
    <row r="824" spans="1:17" ht="15.75" customHeight="1">
      <c r="A824" s="4"/>
      <c r="B824" s="5"/>
      <c r="C824" s="5"/>
      <c r="D824" s="43"/>
      <c r="E824" s="5"/>
      <c r="F824" s="5"/>
      <c r="G824" s="5"/>
      <c r="J824" s="6"/>
      <c r="L824" s="7"/>
      <c r="M824" s="7"/>
      <c r="N824" s="7"/>
      <c r="O824" s="7"/>
      <c r="P824" s="7"/>
      <c r="Q824" s="7"/>
    </row>
    <row r="825" spans="1:17" ht="15.75" customHeight="1">
      <c r="A825" s="4"/>
      <c r="B825" s="5"/>
      <c r="C825" s="5"/>
      <c r="D825" s="43"/>
      <c r="E825" s="5"/>
      <c r="F825" s="5"/>
      <c r="G825" s="5"/>
      <c r="J825" s="6"/>
      <c r="L825" s="7"/>
      <c r="M825" s="7"/>
      <c r="N825" s="7"/>
      <c r="O825" s="7"/>
      <c r="P825" s="7"/>
      <c r="Q825" s="7"/>
    </row>
    <row r="826" spans="1:17" ht="15.75" customHeight="1">
      <c r="A826" s="4"/>
      <c r="B826" s="5"/>
      <c r="C826" s="5"/>
      <c r="D826" s="43"/>
      <c r="E826" s="5"/>
      <c r="F826" s="5"/>
      <c r="G826" s="5"/>
      <c r="J826" s="6"/>
      <c r="L826" s="7"/>
      <c r="M826" s="7"/>
      <c r="N826" s="7"/>
      <c r="O826" s="7"/>
      <c r="P826" s="7"/>
      <c r="Q826" s="7"/>
    </row>
    <row r="827" spans="1:17" ht="15.75" customHeight="1">
      <c r="A827" s="4"/>
      <c r="B827" s="5"/>
      <c r="C827" s="5"/>
      <c r="D827" s="43"/>
      <c r="E827" s="5"/>
      <c r="F827" s="5"/>
      <c r="G827" s="5"/>
      <c r="J827" s="6"/>
      <c r="L827" s="7"/>
      <c r="M827" s="7"/>
      <c r="N827" s="7"/>
      <c r="O827" s="7"/>
      <c r="P827" s="7"/>
      <c r="Q827" s="7"/>
    </row>
    <row r="828" spans="1:17" ht="15.75" customHeight="1">
      <c r="A828" s="4"/>
      <c r="B828" s="5"/>
      <c r="C828" s="5"/>
      <c r="D828" s="43"/>
      <c r="E828" s="5"/>
      <c r="F828" s="5"/>
      <c r="G828" s="5"/>
      <c r="J828" s="6"/>
      <c r="L828" s="7"/>
      <c r="M828" s="7"/>
      <c r="N828" s="7"/>
      <c r="O828" s="7"/>
      <c r="P828" s="7"/>
      <c r="Q828" s="7"/>
    </row>
    <row r="829" spans="1:17" ht="15.75" customHeight="1">
      <c r="A829" s="4"/>
      <c r="B829" s="5"/>
      <c r="C829" s="5"/>
      <c r="D829" s="43"/>
      <c r="E829" s="5"/>
      <c r="F829" s="5"/>
      <c r="G829" s="5"/>
      <c r="J829" s="6"/>
      <c r="L829" s="7"/>
      <c r="M829" s="7"/>
      <c r="N829" s="7"/>
      <c r="O829" s="7"/>
      <c r="P829" s="7"/>
      <c r="Q829" s="7"/>
    </row>
    <row r="830" spans="1:17" ht="15.75" customHeight="1">
      <c r="A830" s="4"/>
      <c r="B830" s="5"/>
      <c r="C830" s="5"/>
      <c r="D830" s="43"/>
      <c r="E830" s="5"/>
      <c r="F830" s="5"/>
      <c r="G830" s="5"/>
      <c r="J830" s="6"/>
      <c r="L830" s="7"/>
      <c r="M830" s="7"/>
      <c r="N830" s="7"/>
      <c r="O830" s="7"/>
      <c r="P830" s="7"/>
      <c r="Q830" s="7"/>
    </row>
    <row r="831" spans="1:17" ht="15.75" customHeight="1">
      <c r="A831" s="4"/>
      <c r="B831" s="5"/>
      <c r="C831" s="5"/>
      <c r="D831" s="43"/>
      <c r="E831" s="5"/>
      <c r="F831" s="5"/>
      <c r="G831" s="5"/>
      <c r="J831" s="6"/>
      <c r="L831" s="7"/>
      <c r="M831" s="7"/>
      <c r="N831" s="7"/>
      <c r="O831" s="7"/>
      <c r="P831" s="7"/>
      <c r="Q831" s="7"/>
    </row>
    <row r="832" spans="1:17" ht="15.75" customHeight="1">
      <c r="A832" s="4"/>
      <c r="B832" s="5"/>
      <c r="C832" s="5"/>
      <c r="D832" s="43"/>
      <c r="E832" s="5"/>
      <c r="F832" s="5"/>
      <c r="G832" s="5"/>
      <c r="J832" s="6"/>
      <c r="L832" s="7"/>
      <c r="M832" s="7"/>
      <c r="N832" s="7"/>
      <c r="O832" s="7"/>
      <c r="P832" s="7"/>
      <c r="Q832" s="7"/>
    </row>
    <row r="833" spans="1:17" ht="15.75" customHeight="1">
      <c r="A833" s="4"/>
      <c r="B833" s="5"/>
      <c r="C833" s="5"/>
      <c r="D833" s="43"/>
      <c r="E833" s="5"/>
      <c r="F833" s="5"/>
      <c r="G833" s="5"/>
      <c r="J833" s="6"/>
      <c r="L833" s="7"/>
      <c r="M833" s="7"/>
      <c r="N833" s="7"/>
      <c r="O833" s="7"/>
      <c r="P833" s="7"/>
      <c r="Q833" s="7"/>
    </row>
    <row r="834" spans="1:17" ht="15.75" customHeight="1">
      <c r="A834" s="4"/>
      <c r="B834" s="5"/>
      <c r="C834" s="5"/>
      <c r="D834" s="43"/>
      <c r="E834" s="5"/>
      <c r="F834" s="5"/>
      <c r="G834" s="5"/>
      <c r="J834" s="6"/>
      <c r="L834" s="7"/>
      <c r="M834" s="7"/>
      <c r="N834" s="7"/>
      <c r="O834" s="7"/>
      <c r="P834" s="7"/>
      <c r="Q834" s="7"/>
    </row>
    <row r="835" spans="1:17" ht="15.75" customHeight="1">
      <c r="A835" s="4"/>
      <c r="B835" s="5"/>
      <c r="C835" s="5"/>
      <c r="D835" s="43"/>
      <c r="E835" s="5"/>
      <c r="F835" s="5"/>
      <c r="G835" s="5"/>
      <c r="J835" s="6"/>
      <c r="L835" s="7"/>
      <c r="M835" s="7"/>
      <c r="N835" s="7"/>
      <c r="O835" s="7"/>
      <c r="P835" s="7"/>
      <c r="Q835" s="7"/>
    </row>
    <row r="836" spans="1:17" ht="15.75" customHeight="1">
      <c r="A836" s="4"/>
      <c r="B836" s="5"/>
      <c r="C836" s="5"/>
      <c r="D836" s="43"/>
      <c r="E836" s="5"/>
      <c r="F836" s="5"/>
      <c r="G836" s="5"/>
      <c r="J836" s="6"/>
      <c r="L836" s="7"/>
      <c r="M836" s="7"/>
      <c r="N836" s="7"/>
      <c r="O836" s="7"/>
      <c r="P836" s="7"/>
      <c r="Q836" s="7"/>
    </row>
    <row r="837" spans="1:17" ht="15.75" customHeight="1">
      <c r="A837" s="4"/>
      <c r="B837" s="5"/>
      <c r="C837" s="5"/>
      <c r="D837" s="43"/>
      <c r="E837" s="5"/>
      <c r="F837" s="5"/>
      <c r="G837" s="5"/>
      <c r="J837" s="6"/>
      <c r="L837" s="7"/>
      <c r="M837" s="7"/>
      <c r="N837" s="7"/>
      <c r="O837" s="7"/>
      <c r="P837" s="7"/>
      <c r="Q837" s="7"/>
    </row>
    <row r="838" spans="1:17" ht="15.75" customHeight="1">
      <c r="A838" s="4"/>
      <c r="B838" s="5"/>
      <c r="C838" s="5"/>
      <c r="D838" s="43"/>
      <c r="E838" s="5"/>
      <c r="F838" s="5"/>
      <c r="G838" s="5"/>
      <c r="J838" s="6"/>
      <c r="L838" s="7"/>
      <c r="M838" s="7"/>
      <c r="N838" s="7"/>
      <c r="O838" s="7"/>
      <c r="P838" s="7"/>
      <c r="Q838" s="7"/>
    </row>
    <row r="839" spans="1:17" ht="15.75" customHeight="1">
      <c r="A839" s="4"/>
      <c r="B839" s="5"/>
      <c r="C839" s="5"/>
      <c r="D839" s="43"/>
      <c r="E839" s="5"/>
      <c r="F839" s="5"/>
      <c r="G839" s="5"/>
      <c r="J839" s="6"/>
      <c r="L839" s="7"/>
      <c r="M839" s="7"/>
      <c r="N839" s="7"/>
      <c r="O839" s="7"/>
      <c r="P839" s="7"/>
      <c r="Q839" s="7"/>
    </row>
    <row r="840" spans="1:17" ht="15.75" customHeight="1">
      <c r="A840" s="4"/>
      <c r="B840" s="5"/>
      <c r="C840" s="5"/>
      <c r="D840" s="43"/>
      <c r="E840" s="5"/>
      <c r="F840" s="5"/>
      <c r="G840" s="5"/>
      <c r="J840" s="6"/>
      <c r="L840" s="7"/>
      <c r="M840" s="7"/>
      <c r="N840" s="7"/>
      <c r="O840" s="7"/>
      <c r="P840" s="7"/>
      <c r="Q840" s="7"/>
    </row>
    <row r="841" spans="1:17" ht="15.75" customHeight="1">
      <c r="A841" s="4"/>
      <c r="B841" s="5"/>
      <c r="C841" s="5"/>
      <c r="D841" s="43"/>
      <c r="E841" s="5"/>
      <c r="F841" s="5"/>
      <c r="G841" s="5"/>
      <c r="J841" s="6"/>
      <c r="L841" s="7"/>
      <c r="M841" s="7"/>
      <c r="N841" s="7"/>
      <c r="O841" s="7"/>
      <c r="P841" s="7"/>
      <c r="Q841" s="7"/>
    </row>
    <row r="842" spans="1:17" ht="15.75" customHeight="1">
      <c r="A842" s="4"/>
      <c r="B842" s="5"/>
      <c r="C842" s="5"/>
      <c r="D842" s="43"/>
      <c r="E842" s="5"/>
      <c r="F842" s="5"/>
      <c r="G842" s="5"/>
      <c r="J842" s="6"/>
      <c r="L842" s="7"/>
      <c r="M842" s="7"/>
      <c r="N842" s="7"/>
      <c r="O842" s="7"/>
      <c r="P842" s="7"/>
      <c r="Q842" s="7"/>
    </row>
    <row r="843" spans="1:17" ht="15.75" customHeight="1">
      <c r="A843" s="4"/>
      <c r="B843" s="5"/>
      <c r="C843" s="5"/>
      <c r="D843" s="43"/>
      <c r="E843" s="5"/>
      <c r="F843" s="5"/>
      <c r="G843" s="5"/>
      <c r="J843" s="6"/>
      <c r="L843" s="7"/>
      <c r="M843" s="7"/>
      <c r="N843" s="7"/>
      <c r="O843" s="7"/>
      <c r="P843" s="7"/>
      <c r="Q843" s="7"/>
    </row>
    <row r="844" spans="1:17" ht="15.75" customHeight="1">
      <c r="A844" s="4"/>
      <c r="B844" s="5"/>
      <c r="C844" s="5"/>
      <c r="D844" s="43"/>
      <c r="E844" s="5"/>
      <c r="F844" s="5"/>
      <c r="G844" s="5"/>
      <c r="J844" s="6"/>
      <c r="L844" s="7"/>
      <c r="M844" s="7"/>
      <c r="N844" s="7"/>
      <c r="O844" s="7"/>
      <c r="P844" s="7"/>
      <c r="Q844" s="7"/>
    </row>
    <row r="845" spans="1:17" ht="15.75" customHeight="1">
      <c r="A845" s="4"/>
      <c r="B845" s="5"/>
      <c r="C845" s="5"/>
      <c r="D845" s="43"/>
      <c r="E845" s="5"/>
      <c r="F845" s="5"/>
      <c r="G845" s="5"/>
      <c r="J845" s="6"/>
      <c r="L845" s="7"/>
      <c r="M845" s="7"/>
      <c r="N845" s="7"/>
      <c r="O845" s="7"/>
      <c r="P845" s="7"/>
      <c r="Q845" s="7"/>
    </row>
    <row r="846" spans="1:17" ht="15.75" customHeight="1">
      <c r="A846" s="4"/>
      <c r="B846" s="5"/>
      <c r="C846" s="5"/>
      <c r="D846" s="43"/>
      <c r="E846" s="5"/>
      <c r="F846" s="5"/>
      <c r="G846" s="5"/>
      <c r="J846" s="6"/>
      <c r="L846" s="7"/>
      <c r="M846" s="7"/>
      <c r="N846" s="7"/>
      <c r="O846" s="7"/>
      <c r="P846" s="7"/>
      <c r="Q846" s="7"/>
    </row>
    <row r="847" spans="1:17" ht="15.75" customHeight="1">
      <c r="A847" s="4"/>
      <c r="B847" s="5"/>
      <c r="C847" s="5"/>
      <c r="D847" s="43"/>
      <c r="E847" s="5"/>
      <c r="F847" s="5"/>
      <c r="G847" s="5"/>
      <c r="J847" s="6"/>
      <c r="L847" s="7"/>
      <c r="M847" s="7"/>
      <c r="N847" s="7"/>
      <c r="O847" s="7"/>
      <c r="P847" s="7"/>
      <c r="Q847" s="7"/>
    </row>
    <row r="848" spans="1:17" ht="15.75" customHeight="1">
      <c r="A848" s="4"/>
      <c r="B848" s="5"/>
      <c r="C848" s="5"/>
      <c r="D848" s="43"/>
      <c r="E848" s="5"/>
      <c r="F848" s="5"/>
      <c r="G848" s="5"/>
      <c r="J848" s="6"/>
      <c r="L848" s="7"/>
      <c r="M848" s="7"/>
      <c r="N848" s="7"/>
      <c r="O848" s="7"/>
      <c r="P848" s="7"/>
      <c r="Q848" s="7"/>
    </row>
    <row r="849" spans="1:17" ht="15.75" customHeight="1">
      <c r="A849" s="4"/>
      <c r="B849" s="5"/>
      <c r="C849" s="5"/>
      <c r="D849" s="43"/>
      <c r="E849" s="5"/>
      <c r="F849" s="5"/>
      <c r="G849" s="5"/>
      <c r="J849" s="6"/>
      <c r="L849" s="7"/>
      <c r="M849" s="7"/>
      <c r="N849" s="7"/>
      <c r="O849" s="7"/>
      <c r="P849" s="7"/>
      <c r="Q849" s="7"/>
    </row>
    <row r="850" spans="1:17" ht="15.75" customHeight="1">
      <c r="A850" s="4"/>
      <c r="B850" s="5"/>
      <c r="C850" s="5"/>
      <c r="D850" s="43"/>
      <c r="E850" s="5"/>
      <c r="F850" s="5"/>
      <c r="G850" s="5"/>
      <c r="J850" s="6"/>
      <c r="L850" s="7"/>
      <c r="M850" s="7"/>
      <c r="N850" s="7"/>
      <c r="O850" s="7"/>
      <c r="P850" s="7"/>
      <c r="Q850" s="7"/>
    </row>
    <row r="851" spans="1:17" ht="15.75" customHeight="1">
      <c r="A851" s="4"/>
      <c r="B851" s="5"/>
      <c r="C851" s="5"/>
      <c r="D851" s="43"/>
      <c r="E851" s="5"/>
      <c r="F851" s="5"/>
      <c r="G851" s="5"/>
      <c r="J851" s="6"/>
      <c r="L851" s="7"/>
      <c r="M851" s="7"/>
      <c r="N851" s="7"/>
      <c r="O851" s="7"/>
      <c r="P851" s="7"/>
      <c r="Q851" s="7"/>
    </row>
    <row r="852" spans="1:17" ht="15.75" customHeight="1">
      <c r="A852" s="4"/>
      <c r="B852" s="5"/>
      <c r="C852" s="5"/>
      <c r="D852" s="43"/>
      <c r="E852" s="5"/>
      <c r="F852" s="5"/>
      <c r="G852" s="5"/>
      <c r="J852" s="6"/>
      <c r="L852" s="7"/>
      <c r="M852" s="7"/>
      <c r="N852" s="7"/>
      <c r="O852" s="7"/>
      <c r="P852" s="7"/>
      <c r="Q852" s="7"/>
    </row>
    <row r="853" spans="1:17" ht="15.75" customHeight="1">
      <c r="A853" s="4"/>
      <c r="B853" s="5"/>
      <c r="C853" s="5"/>
      <c r="D853" s="43"/>
      <c r="E853" s="5"/>
      <c r="F853" s="5"/>
      <c r="G853" s="5"/>
      <c r="J853" s="6"/>
      <c r="L853" s="7"/>
      <c r="M853" s="7"/>
      <c r="N853" s="7"/>
      <c r="O853" s="7"/>
      <c r="P853" s="7"/>
      <c r="Q853" s="7"/>
    </row>
    <row r="854" spans="1:17" ht="15.75" customHeight="1">
      <c r="A854" s="4"/>
      <c r="B854" s="5"/>
      <c r="C854" s="5"/>
      <c r="D854" s="43"/>
      <c r="E854" s="5"/>
      <c r="F854" s="5"/>
      <c r="G854" s="5"/>
      <c r="J854" s="6"/>
      <c r="L854" s="7"/>
      <c r="M854" s="7"/>
      <c r="N854" s="7"/>
      <c r="O854" s="7"/>
      <c r="P854" s="7"/>
      <c r="Q854" s="7"/>
    </row>
    <row r="855" spans="1:17" ht="15.75" customHeight="1">
      <c r="A855" s="4"/>
      <c r="B855" s="5"/>
      <c r="C855" s="5"/>
      <c r="D855" s="43"/>
      <c r="E855" s="5"/>
      <c r="F855" s="5"/>
      <c r="G855" s="5"/>
      <c r="J855" s="6"/>
      <c r="L855" s="7"/>
      <c r="M855" s="7"/>
      <c r="N855" s="7"/>
      <c r="O855" s="7"/>
      <c r="P855" s="7"/>
      <c r="Q855" s="7"/>
    </row>
    <row r="856" spans="1:17" ht="15.75" customHeight="1">
      <c r="A856" s="4"/>
      <c r="B856" s="5"/>
      <c r="C856" s="5"/>
      <c r="D856" s="43"/>
      <c r="E856" s="5"/>
      <c r="F856" s="5"/>
      <c r="G856" s="5"/>
      <c r="J856" s="6"/>
      <c r="L856" s="7"/>
      <c r="M856" s="7"/>
      <c r="N856" s="7"/>
      <c r="O856" s="7"/>
      <c r="P856" s="7"/>
      <c r="Q856" s="7"/>
    </row>
    <row r="857" spans="1:17" ht="15.75" customHeight="1">
      <c r="A857" s="4"/>
      <c r="B857" s="5"/>
      <c r="C857" s="5"/>
      <c r="D857" s="43"/>
      <c r="E857" s="5"/>
      <c r="F857" s="5"/>
      <c r="G857" s="5"/>
      <c r="J857" s="6"/>
      <c r="L857" s="7"/>
      <c r="M857" s="7"/>
      <c r="N857" s="7"/>
      <c r="O857" s="7"/>
      <c r="P857" s="7"/>
      <c r="Q857" s="7"/>
    </row>
    <row r="858" spans="1:17" ht="15.75" customHeight="1">
      <c r="A858" s="4"/>
      <c r="B858" s="5"/>
      <c r="C858" s="5"/>
      <c r="D858" s="43"/>
      <c r="E858" s="5"/>
      <c r="F858" s="5"/>
      <c r="G858" s="5"/>
      <c r="J858" s="6"/>
      <c r="L858" s="7"/>
      <c r="M858" s="7"/>
      <c r="N858" s="7"/>
      <c r="O858" s="7"/>
      <c r="P858" s="7"/>
      <c r="Q858" s="7"/>
    </row>
    <row r="859" spans="1:17" ht="15.75" customHeight="1">
      <c r="A859" s="4"/>
      <c r="B859" s="5"/>
      <c r="C859" s="5"/>
      <c r="D859" s="43"/>
      <c r="E859" s="5"/>
      <c r="F859" s="5"/>
      <c r="G859" s="5"/>
      <c r="J859" s="6"/>
      <c r="L859" s="7"/>
      <c r="M859" s="7"/>
      <c r="N859" s="7"/>
      <c r="O859" s="7"/>
      <c r="P859" s="7"/>
      <c r="Q859" s="7"/>
    </row>
    <row r="860" spans="1:17" ht="15.75" customHeight="1">
      <c r="A860" s="4"/>
      <c r="B860" s="5"/>
      <c r="C860" s="5"/>
      <c r="D860" s="43"/>
      <c r="E860" s="5"/>
      <c r="F860" s="5"/>
      <c r="G860" s="5"/>
      <c r="J860" s="6"/>
      <c r="L860" s="7"/>
      <c r="M860" s="7"/>
      <c r="N860" s="7"/>
      <c r="O860" s="7"/>
      <c r="P860" s="7"/>
      <c r="Q860" s="7"/>
    </row>
    <row r="861" spans="1:17" ht="15.75" customHeight="1">
      <c r="A861" s="4"/>
      <c r="B861" s="5"/>
      <c r="C861" s="5"/>
      <c r="D861" s="43"/>
      <c r="E861" s="5"/>
      <c r="F861" s="5"/>
      <c r="G861" s="5"/>
      <c r="J861" s="6"/>
      <c r="L861" s="7"/>
      <c r="M861" s="7"/>
      <c r="N861" s="7"/>
      <c r="O861" s="7"/>
      <c r="P861" s="7"/>
      <c r="Q861" s="7"/>
    </row>
    <row r="862" spans="1:17" ht="15.75" customHeight="1">
      <c r="A862" s="4"/>
      <c r="B862" s="5"/>
      <c r="C862" s="5"/>
      <c r="D862" s="43"/>
      <c r="E862" s="5"/>
      <c r="F862" s="5"/>
      <c r="G862" s="5"/>
      <c r="J862" s="6"/>
      <c r="L862" s="7"/>
      <c r="M862" s="7"/>
      <c r="N862" s="7"/>
      <c r="O862" s="7"/>
      <c r="P862" s="7"/>
      <c r="Q862" s="7"/>
    </row>
    <row r="863" spans="1:17" ht="15.75" customHeight="1">
      <c r="A863" s="4"/>
      <c r="B863" s="5"/>
      <c r="C863" s="5"/>
      <c r="D863" s="43"/>
      <c r="E863" s="5"/>
      <c r="F863" s="5"/>
      <c r="G863" s="5"/>
      <c r="J863" s="6"/>
      <c r="L863" s="7"/>
      <c r="M863" s="7"/>
      <c r="N863" s="7"/>
      <c r="O863" s="7"/>
      <c r="P863" s="7"/>
      <c r="Q863" s="7"/>
    </row>
    <row r="864" spans="1:17" ht="15.75" customHeight="1">
      <c r="A864" s="4"/>
      <c r="B864" s="5"/>
      <c r="C864" s="5"/>
      <c r="D864" s="43"/>
      <c r="E864" s="5"/>
      <c r="F864" s="5"/>
      <c r="G864" s="5"/>
      <c r="J864" s="6"/>
      <c r="L864" s="7"/>
      <c r="M864" s="7"/>
      <c r="N864" s="7"/>
      <c r="O864" s="7"/>
      <c r="P864" s="7"/>
      <c r="Q864" s="7"/>
    </row>
    <row r="865" spans="1:17" ht="15.75" customHeight="1">
      <c r="A865" s="4"/>
      <c r="B865" s="5"/>
      <c r="C865" s="5"/>
      <c r="D865" s="43"/>
      <c r="E865" s="5"/>
      <c r="F865" s="5"/>
      <c r="G865" s="5"/>
      <c r="J865" s="6"/>
      <c r="L865" s="7"/>
      <c r="M865" s="7"/>
      <c r="N865" s="7"/>
      <c r="O865" s="7"/>
      <c r="P865" s="7"/>
      <c r="Q865" s="7"/>
    </row>
    <row r="866" spans="1:17" ht="15.75" customHeight="1">
      <c r="A866" s="4"/>
      <c r="B866" s="5"/>
      <c r="C866" s="5"/>
      <c r="D866" s="43"/>
      <c r="E866" s="5"/>
      <c r="F866" s="5"/>
      <c r="G866" s="5"/>
      <c r="J866" s="6"/>
      <c r="L866" s="7"/>
      <c r="M866" s="7"/>
      <c r="N866" s="7"/>
      <c r="O866" s="7"/>
      <c r="P866" s="7"/>
      <c r="Q866" s="7"/>
    </row>
    <row r="867" spans="1:17" ht="15.75" customHeight="1">
      <c r="A867" s="4"/>
      <c r="B867" s="5"/>
      <c r="C867" s="5"/>
      <c r="D867" s="43"/>
      <c r="E867" s="5"/>
      <c r="F867" s="5"/>
      <c r="G867" s="5"/>
      <c r="J867" s="6"/>
      <c r="L867" s="7"/>
      <c r="M867" s="7"/>
      <c r="N867" s="7"/>
      <c r="O867" s="7"/>
      <c r="P867" s="7"/>
      <c r="Q867" s="7"/>
    </row>
    <row r="868" spans="1:17" ht="15.75" customHeight="1">
      <c r="A868" s="4"/>
      <c r="B868" s="5"/>
      <c r="C868" s="5"/>
      <c r="D868" s="43"/>
      <c r="E868" s="5"/>
      <c r="F868" s="5"/>
      <c r="G868" s="5"/>
      <c r="J868" s="6"/>
      <c r="L868" s="7"/>
      <c r="M868" s="7"/>
      <c r="N868" s="7"/>
      <c r="O868" s="7"/>
      <c r="P868" s="7"/>
      <c r="Q868" s="7"/>
    </row>
    <row r="869" spans="1:17" ht="15.75" customHeight="1">
      <c r="A869" s="4"/>
      <c r="B869" s="5"/>
      <c r="C869" s="5"/>
      <c r="D869" s="43"/>
      <c r="E869" s="5"/>
      <c r="F869" s="5"/>
      <c r="G869" s="5"/>
      <c r="J869" s="6"/>
      <c r="L869" s="7"/>
      <c r="M869" s="7"/>
      <c r="N869" s="7"/>
      <c r="O869" s="7"/>
      <c r="P869" s="7"/>
      <c r="Q869" s="7"/>
    </row>
    <row r="870" spans="1:17" ht="15.75" customHeight="1">
      <c r="A870" s="4"/>
      <c r="B870" s="5"/>
      <c r="C870" s="5"/>
      <c r="D870" s="43"/>
      <c r="E870" s="5"/>
      <c r="F870" s="5"/>
      <c r="G870" s="5"/>
      <c r="J870" s="6"/>
      <c r="L870" s="7"/>
      <c r="M870" s="7"/>
      <c r="N870" s="7"/>
      <c r="O870" s="7"/>
      <c r="P870" s="7"/>
      <c r="Q870" s="7"/>
    </row>
    <row r="871" spans="1:17" ht="15.75" customHeight="1">
      <c r="A871" s="4"/>
      <c r="B871" s="5"/>
      <c r="C871" s="5"/>
      <c r="D871" s="43"/>
      <c r="E871" s="5"/>
      <c r="F871" s="5"/>
      <c r="G871" s="5"/>
      <c r="J871" s="6"/>
      <c r="L871" s="7"/>
      <c r="M871" s="7"/>
      <c r="N871" s="7"/>
      <c r="O871" s="7"/>
      <c r="P871" s="7"/>
      <c r="Q871" s="7"/>
    </row>
    <row r="872" spans="1:17" ht="15.75" customHeight="1">
      <c r="A872" s="4"/>
      <c r="B872" s="5"/>
      <c r="C872" s="5"/>
      <c r="D872" s="43"/>
      <c r="E872" s="5"/>
      <c r="F872" s="5"/>
      <c r="G872" s="5"/>
      <c r="J872" s="6"/>
      <c r="L872" s="7"/>
      <c r="M872" s="7"/>
      <c r="N872" s="7"/>
      <c r="O872" s="7"/>
      <c r="P872" s="7"/>
      <c r="Q872" s="7"/>
    </row>
    <row r="873" spans="1:17" ht="15.75" customHeight="1">
      <c r="A873" s="4"/>
      <c r="B873" s="5"/>
      <c r="C873" s="5"/>
      <c r="D873" s="43"/>
      <c r="E873" s="5"/>
      <c r="F873" s="5"/>
      <c r="G873" s="5"/>
      <c r="J873" s="6"/>
      <c r="L873" s="7"/>
      <c r="M873" s="7"/>
      <c r="N873" s="7"/>
      <c r="O873" s="7"/>
      <c r="P873" s="7"/>
      <c r="Q873" s="7"/>
    </row>
    <row r="874" spans="1:17" ht="15.75" customHeight="1">
      <c r="A874" s="4"/>
      <c r="B874" s="5"/>
      <c r="C874" s="5"/>
      <c r="D874" s="43"/>
      <c r="E874" s="5"/>
      <c r="F874" s="5"/>
      <c r="G874" s="5"/>
      <c r="J874" s="6"/>
      <c r="L874" s="7"/>
      <c r="M874" s="7"/>
      <c r="N874" s="7"/>
      <c r="O874" s="7"/>
      <c r="P874" s="7"/>
      <c r="Q874" s="7"/>
    </row>
    <row r="875" spans="1:17" ht="15.75" customHeight="1">
      <c r="A875" s="4"/>
      <c r="B875" s="5"/>
      <c r="C875" s="5"/>
      <c r="D875" s="43"/>
      <c r="E875" s="5"/>
      <c r="F875" s="5"/>
      <c r="G875" s="5"/>
      <c r="J875" s="6"/>
      <c r="L875" s="7"/>
      <c r="M875" s="7"/>
      <c r="N875" s="7"/>
      <c r="O875" s="7"/>
      <c r="P875" s="7"/>
      <c r="Q875" s="7"/>
    </row>
    <row r="876" spans="1:17" ht="15.75" customHeight="1">
      <c r="A876" s="4"/>
      <c r="B876" s="5"/>
      <c r="C876" s="5"/>
      <c r="D876" s="43"/>
      <c r="E876" s="5"/>
      <c r="F876" s="5"/>
      <c r="G876" s="5"/>
      <c r="J876" s="6"/>
      <c r="L876" s="7"/>
      <c r="M876" s="7"/>
      <c r="N876" s="7"/>
      <c r="O876" s="7"/>
      <c r="P876" s="7"/>
      <c r="Q876" s="7"/>
    </row>
    <row r="877" spans="1:17" ht="15.75" customHeight="1">
      <c r="A877" s="4"/>
      <c r="B877" s="5"/>
      <c r="C877" s="5"/>
      <c r="D877" s="43"/>
      <c r="E877" s="5"/>
      <c r="F877" s="5"/>
      <c r="G877" s="5"/>
      <c r="J877" s="6"/>
      <c r="L877" s="7"/>
      <c r="M877" s="7"/>
      <c r="N877" s="7"/>
      <c r="O877" s="7"/>
      <c r="P877" s="7"/>
      <c r="Q877" s="7"/>
    </row>
    <row r="878" spans="1:17" ht="15.75" customHeight="1">
      <c r="A878" s="4"/>
      <c r="B878" s="5"/>
      <c r="C878" s="5"/>
      <c r="D878" s="43"/>
      <c r="E878" s="5"/>
      <c r="F878" s="5"/>
      <c r="G878" s="5"/>
      <c r="J878" s="6"/>
      <c r="L878" s="7"/>
      <c r="M878" s="7"/>
      <c r="N878" s="7"/>
      <c r="O878" s="7"/>
      <c r="P878" s="7"/>
      <c r="Q878" s="7"/>
    </row>
    <row r="879" spans="1:17" ht="15.75" customHeight="1">
      <c r="A879" s="4"/>
      <c r="B879" s="5"/>
      <c r="C879" s="5"/>
      <c r="D879" s="43"/>
      <c r="E879" s="5"/>
      <c r="F879" s="5"/>
      <c r="G879" s="5"/>
      <c r="J879" s="6"/>
      <c r="L879" s="7"/>
      <c r="M879" s="7"/>
      <c r="N879" s="7"/>
      <c r="O879" s="7"/>
      <c r="P879" s="7"/>
      <c r="Q879" s="7"/>
    </row>
    <row r="880" spans="1:17" ht="15.75" customHeight="1">
      <c r="A880" s="4"/>
      <c r="B880" s="5"/>
      <c r="C880" s="5"/>
      <c r="D880" s="43"/>
      <c r="E880" s="5"/>
      <c r="F880" s="5"/>
      <c r="G880" s="5"/>
      <c r="J880" s="6"/>
      <c r="L880" s="7"/>
      <c r="M880" s="7"/>
      <c r="N880" s="7"/>
      <c r="O880" s="7"/>
      <c r="P880" s="7"/>
      <c r="Q880" s="7"/>
    </row>
    <row r="881" spans="1:17" ht="15.75" customHeight="1">
      <c r="A881" s="4"/>
      <c r="B881" s="5"/>
      <c r="C881" s="5"/>
      <c r="D881" s="43"/>
      <c r="E881" s="5"/>
      <c r="F881" s="5"/>
      <c r="G881" s="5"/>
      <c r="J881" s="6"/>
      <c r="L881" s="7"/>
      <c r="M881" s="7"/>
      <c r="N881" s="7"/>
      <c r="O881" s="7"/>
      <c r="P881" s="7"/>
      <c r="Q881" s="7"/>
    </row>
    <row r="882" spans="1:17" ht="15.75" customHeight="1">
      <c r="A882" s="4"/>
      <c r="B882" s="5"/>
      <c r="C882" s="5"/>
      <c r="D882" s="43"/>
      <c r="E882" s="5"/>
      <c r="F882" s="5"/>
      <c r="G882" s="5"/>
      <c r="J882" s="6"/>
      <c r="L882" s="7"/>
      <c r="M882" s="7"/>
      <c r="N882" s="7"/>
      <c r="O882" s="7"/>
      <c r="P882" s="7"/>
      <c r="Q882" s="7"/>
    </row>
    <row r="883" spans="1:17" ht="15.75" customHeight="1">
      <c r="A883" s="4"/>
      <c r="B883" s="5"/>
      <c r="C883" s="5"/>
      <c r="D883" s="43"/>
      <c r="E883" s="5"/>
      <c r="F883" s="5"/>
      <c r="G883" s="5"/>
      <c r="J883" s="6"/>
      <c r="L883" s="7"/>
      <c r="M883" s="7"/>
      <c r="N883" s="7"/>
      <c r="O883" s="7"/>
      <c r="P883" s="7"/>
      <c r="Q883" s="7"/>
    </row>
    <row r="884" spans="1:17" ht="15.75" customHeight="1">
      <c r="A884" s="4"/>
      <c r="B884" s="5"/>
      <c r="C884" s="5"/>
      <c r="D884" s="43"/>
      <c r="E884" s="5"/>
      <c r="F884" s="5"/>
      <c r="G884" s="5"/>
      <c r="J884" s="6"/>
      <c r="L884" s="7"/>
      <c r="M884" s="7"/>
      <c r="N884" s="7"/>
      <c r="O884" s="7"/>
      <c r="P884" s="7"/>
      <c r="Q884" s="7"/>
    </row>
    <row r="885" spans="1:17" ht="15.75" customHeight="1">
      <c r="A885" s="4"/>
      <c r="B885" s="5"/>
      <c r="C885" s="5"/>
      <c r="D885" s="43"/>
      <c r="E885" s="5"/>
      <c r="F885" s="5"/>
      <c r="G885" s="5"/>
      <c r="J885" s="6"/>
      <c r="L885" s="7"/>
      <c r="M885" s="7"/>
      <c r="N885" s="7"/>
      <c r="O885" s="7"/>
      <c r="P885" s="7"/>
      <c r="Q885" s="7"/>
    </row>
    <row r="886" spans="1:17" ht="15.75" customHeight="1">
      <c r="A886" s="4"/>
      <c r="B886" s="5"/>
      <c r="C886" s="5"/>
      <c r="D886" s="43"/>
      <c r="E886" s="5"/>
      <c r="F886" s="5"/>
      <c r="G886" s="5"/>
      <c r="J886" s="6"/>
      <c r="L886" s="7"/>
      <c r="M886" s="7"/>
      <c r="N886" s="7"/>
      <c r="O886" s="7"/>
      <c r="P886" s="7"/>
      <c r="Q886" s="7"/>
    </row>
    <row r="887" spans="1:17" ht="15.75" customHeight="1">
      <c r="A887" s="4"/>
      <c r="B887" s="5"/>
      <c r="C887" s="5"/>
      <c r="D887" s="43"/>
      <c r="E887" s="5"/>
      <c r="F887" s="5"/>
      <c r="G887" s="5"/>
      <c r="J887" s="6"/>
      <c r="L887" s="7"/>
      <c r="M887" s="7"/>
      <c r="N887" s="7"/>
      <c r="O887" s="7"/>
      <c r="P887" s="7"/>
      <c r="Q887" s="7"/>
    </row>
    <row r="888" spans="1:17" ht="15.75" customHeight="1">
      <c r="A888" s="4"/>
      <c r="B888" s="5"/>
      <c r="C888" s="5"/>
      <c r="D888" s="43"/>
      <c r="E888" s="5"/>
      <c r="F888" s="5"/>
      <c r="G888" s="5"/>
      <c r="J888" s="6"/>
      <c r="L888" s="7"/>
      <c r="M888" s="7"/>
      <c r="N888" s="7"/>
      <c r="O888" s="7"/>
      <c r="P888" s="7"/>
      <c r="Q888" s="7"/>
    </row>
    <row r="889" spans="1:17" ht="15.75" customHeight="1">
      <c r="A889" s="4"/>
      <c r="B889" s="5"/>
      <c r="C889" s="5"/>
      <c r="D889" s="43"/>
      <c r="E889" s="5"/>
      <c r="F889" s="5"/>
      <c r="G889" s="5"/>
      <c r="J889" s="6"/>
      <c r="L889" s="7"/>
      <c r="M889" s="7"/>
      <c r="N889" s="7"/>
      <c r="O889" s="7"/>
      <c r="P889" s="7"/>
      <c r="Q889" s="7"/>
    </row>
    <row r="890" spans="1:17" ht="15.75" customHeight="1">
      <c r="A890" s="4"/>
      <c r="B890" s="5"/>
      <c r="C890" s="5"/>
      <c r="D890" s="43"/>
      <c r="E890" s="5"/>
      <c r="F890" s="5"/>
      <c r="G890" s="5"/>
      <c r="J890" s="6"/>
      <c r="L890" s="7"/>
      <c r="M890" s="7"/>
      <c r="N890" s="7"/>
      <c r="O890" s="7"/>
      <c r="P890" s="7"/>
      <c r="Q890" s="7"/>
    </row>
    <row r="891" spans="1:17" ht="15.75" customHeight="1">
      <c r="A891" s="4"/>
      <c r="B891" s="5"/>
      <c r="C891" s="5"/>
      <c r="D891" s="43"/>
      <c r="E891" s="5"/>
      <c r="F891" s="5"/>
      <c r="G891" s="5"/>
      <c r="J891" s="6"/>
      <c r="L891" s="7"/>
      <c r="M891" s="7"/>
      <c r="N891" s="7"/>
      <c r="O891" s="7"/>
      <c r="P891" s="7"/>
      <c r="Q891" s="7"/>
    </row>
    <row r="892" spans="1:17" ht="15.75" customHeight="1">
      <c r="A892" s="4"/>
      <c r="B892" s="5"/>
      <c r="C892" s="5"/>
      <c r="D892" s="43"/>
      <c r="E892" s="5"/>
      <c r="F892" s="5"/>
      <c r="G892" s="5"/>
      <c r="J892" s="6"/>
      <c r="L892" s="7"/>
      <c r="M892" s="7"/>
      <c r="N892" s="7"/>
      <c r="O892" s="7"/>
      <c r="P892" s="7"/>
      <c r="Q892" s="7"/>
    </row>
    <row r="893" spans="1:17" ht="15.75" customHeight="1">
      <c r="A893" s="4"/>
      <c r="B893" s="5"/>
      <c r="C893" s="5"/>
      <c r="D893" s="43"/>
      <c r="E893" s="5"/>
      <c r="F893" s="5"/>
      <c r="G893" s="5"/>
      <c r="J893" s="6"/>
      <c r="L893" s="7"/>
      <c r="M893" s="7"/>
      <c r="N893" s="7"/>
      <c r="O893" s="7"/>
      <c r="P893" s="7"/>
      <c r="Q893" s="7"/>
    </row>
    <row r="894" spans="1:17" ht="15.75" customHeight="1">
      <c r="A894" s="4"/>
      <c r="B894" s="5"/>
      <c r="C894" s="5"/>
      <c r="D894" s="43"/>
      <c r="E894" s="5"/>
      <c r="F894" s="5"/>
      <c r="G894" s="5"/>
      <c r="J894" s="6"/>
      <c r="L894" s="7"/>
      <c r="M894" s="7"/>
      <c r="N894" s="7"/>
      <c r="O894" s="7"/>
      <c r="P894" s="7"/>
      <c r="Q894" s="7"/>
    </row>
    <row r="895" spans="1:17" ht="15.75" customHeight="1">
      <c r="A895" s="4"/>
      <c r="B895" s="5"/>
      <c r="C895" s="5"/>
      <c r="D895" s="43"/>
      <c r="E895" s="5"/>
      <c r="F895" s="5"/>
      <c r="G895" s="5"/>
      <c r="J895" s="6"/>
      <c r="L895" s="7"/>
      <c r="M895" s="7"/>
      <c r="N895" s="7"/>
      <c r="O895" s="7"/>
      <c r="P895" s="7"/>
      <c r="Q895" s="7"/>
    </row>
    <row r="896" spans="1:17" ht="15.75" customHeight="1">
      <c r="A896" s="4"/>
      <c r="B896" s="5"/>
      <c r="C896" s="5"/>
      <c r="D896" s="43"/>
      <c r="E896" s="5"/>
      <c r="F896" s="5"/>
      <c r="G896" s="5"/>
      <c r="J896" s="6"/>
      <c r="L896" s="7"/>
      <c r="M896" s="7"/>
      <c r="N896" s="7"/>
      <c r="O896" s="7"/>
      <c r="P896" s="7"/>
      <c r="Q896" s="7"/>
    </row>
    <row r="897" spans="1:17" ht="15.75" customHeight="1">
      <c r="A897" s="4"/>
      <c r="B897" s="5"/>
      <c r="C897" s="5"/>
      <c r="D897" s="43"/>
      <c r="E897" s="5"/>
      <c r="F897" s="5"/>
      <c r="G897" s="5"/>
      <c r="J897" s="6"/>
      <c r="L897" s="7"/>
      <c r="M897" s="7"/>
      <c r="N897" s="7"/>
      <c r="O897" s="7"/>
      <c r="P897" s="7"/>
      <c r="Q897" s="7"/>
    </row>
    <row r="898" spans="1:17" ht="15.75" customHeight="1">
      <c r="A898" s="4"/>
      <c r="B898" s="5"/>
      <c r="C898" s="5"/>
      <c r="D898" s="43"/>
      <c r="E898" s="5"/>
      <c r="F898" s="5"/>
      <c r="G898" s="5"/>
      <c r="J898" s="6"/>
      <c r="L898" s="7"/>
      <c r="M898" s="7"/>
      <c r="N898" s="7"/>
      <c r="O898" s="7"/>
      <c r="P898" s="7"/>
      <c r="Q898" s="7"/>
    </row>
    <row r="899" spans="1:17" ht="15.75" customHeight="1">
      <c r="A899" s="4"/>
      <c r="B899" s="5"/>
      <c r="C899" s="5"/>
      <c r="D899" s="43"/>
      <c r="E899" s="5"/>
      <c r="F899" s="5"/>
      <c r="G899" s="5"/>
      <c r="J899" s="6"/>
      <c r="L899" s="7"/>
      <c r="M899" s="7"/>
      <c r="N899" s="7"/>
      <c r="O899" s="7"/>
      <c r="P899" s="7"/>
      <c r="Q899" s="7"/>
    </row>
    <row r="900" spans="1:17" ht="15.75" customHeight="1">
      <c r="A900" s="4"/>
      <c r="B900" s="5"/>
      <c r="C900" s="5"/>
      <c r="D900" s="43"/>
      <c r="E900" s="5"/>
      <c r="F900" s="5"/>
      <c r="G900" s="5"/>
      <c r="J900" s="6"/>
      <c r="L900" s="7"/>
      <c r="M900" s="7"/>
      <c r="N900" s="7"/>
      <c r="O900" s="7"/>
      <c r="P900" s="7"/>
      <c r="Q900" s="7"/>
    </row>
    <row r="901" spans="1:17" ht="15.75" customHeight="1">
      <c r="A901" s="4"/>
      <c r="B901" s="5"/>
      <c r="C901" s="5"/>
      <c r="D901" s="43"/>
      <c r="E901" s="5"/>
      <c r="F901" s="5"/>
      <c r="G901" s="5"/>
      <c r="J901" s="6"/>
      <c r="L901" s="7"/>
      <c r="M901" s="7"/>
      <c r="N901" s="7"/>
      <c r="O901" s="7"/>
      <c r="P901" s="7"/>
      <c r="Q901" s="7"/>
    </row>
    <row r="902" spans="1:17" ht="15.75" customHeight="1">
      <c r="A902" s="4"/>
      <c r="B902" s="5"/>
      <c r="C902" s="5"/>
      <c r="D902" s="43"/>
      <c r="E902" s="5"/>
      <c r="F902" s="5"/>
      <c r="G902" s="5"/>
      <c r="J902" s="6"/>
      <c r="L902" s="7"/>
      <c r="M902" s="7"/>
      <c r="N902" s="7"/>
      <c r="O902" s="7"/>
      <c r="P902" s="7"/>
      <c r="Q902" s="7"/>
    </row>
    <row r="903" spans="1:17" ht="15.75" customHeight="1">
      <c r="A903" s="4"/>
      <c r="B903" s="5"/>
      <c r="C903" s="5"/>
      <c r="D903" s="43"/>
      <c r="E903" s="5"/>
      <c r="F903" s="5"/>
      <c r="G903" s="5"/>
      <c r="J903" s="6"/>
      <c r="L903" s="7"/>
      <c r="M903" s="7"/>
      <c r="N903" s="7"/>
      <c r="O903" s="7"/>
      <c r="P903" s="7"/>
      <c r="Q903" s="7"/>
    </row>
    <row r="904" spans="1:17" ht="15.75" customHeight="1">
      <c r="A904" s="4"/>
      <c r="B904" s="5"/>
      <c r="C904" s="5"/>
      <c r="D904" s="43"/>
      <c r="E904" s="5"/>
      <c r="F904" s="5"/>
      <c r="G904" s="5"/>
      <c r="J904" s="6"/>
      <c r="L904" s="7"/>
      <c r="M904" s="7"/>
      <c r="N904" s="7"/>
      <c r="O904" s="7"/>
      <c r="P904" s="7"/>
      <c r="Q904" s="7"/>
    </row>
    <row r="905" spans="1:17" ht="15.75" customHeight="1">
      <c r="A905" s="4"/>
      <c r="B905" s="5"/>
      <c r="C905" s="5"/>
      <c r="D905" s="43"/>
      <c r="E905" s="5"/>
      <c r="F905" s="5"/>
      <c r="G905" s="5"/>
      <c r="J905" s="6"/>
      <c r="L905" s="7"/>
      <c r="M905" s="7"/>
      <c r="N905" s="7"/>
      <c r="O905" s="7"/>
      <c r="P905" s="7"/>
      <c r="Q905" s="7"/>
    </row>
    <row r="906" spans="1:17" ht="15.75" customHeight="1">
      <c r="A906" s="4"/>
      <c r="B906" s="5"/>
      <c r="C906" s="5"/>
      <c r="D906" s="43"/>
      <c r="E906" s="5"/>
      <c r="F906" s="5"/>
      <c r="G906" s="5"/>
      <c r="J906" s="6"/>
      <c r="L906" s="7"/>
      <c r="M906" s="7"/>
      <c r="N906" s="7"/>
      <c r="O906" s="7"/>
      <c r="P906" s="7"/>
      <c r="Q906" s="7"/>
    </row>
    <row r="907" spans="1:17" ht="15.75" customHeight="1">
      <c r="A907" s="4"/>
      <c r="B907" s="5"/>
      <c r="C907" s="5"/>
      <c r="D907" s="43"/>
      <c r="E907" s="5"/>
      <c r="F907" s="5"/>
      <c r="G907" s="5"/>
      <c r="J907" s="6"/>
      <c r="L907" s="7"/>
      <c r="M907" s="7"/>
      <c r="N907" s="7"/>
      <c r="O907" s="7"/>
      <c r="P907" s="7"/>
      <c r="Q907" s="7"/>
    </row>
    <row r="908" spans="1:17" ht="15.75" customHeight="1">
      <c r="A908" s="4"/>
      <c r="B908" s="5"/>
      <c r="C908" s="5"/>
      <c r="D908" s="43"/>
      <c r="E908" s="5"/>
      <c r="F908" s="5"/>
      <c r="G908" s="5"/>
      <c r="J908" s="6"/>
      <c r="L908" s="7"/>
      <c r="M908" s="7"/>
      <c r="N908" s="7"/>
      <c r="O908" s="7"/>
      <c r="P908" s="7"/>
      <c r="Q908" s="7"/>
    </row>
    <row r="909" spans="1:17" ht="15.75" customHeight="1">
      <c r="A909" s="4"/>
      <c r="B909" s="5"/>
      <c r="C909" s="5"/>
      <c r="D909" s="43"/>
      <c r="E909" s="5"/>
      <c r="F909" s="5"/>
      <c r="G909" s="5"/>
      <c r="J909" s="6"/>
      <c r="L909" s="7"/>
      <c r="M909" s="7"/>
      <c r="N909" s="7"/>
      <c r="O909" s="7"/>
      <c r="P909" s="7"/>
      <c r="Q909" s="7"/>
    </row>
    <row r="910" spans="1:17" ht="15.75" customHeight="1">
      <c r="A910" s="4"/>
      <c r="B910" s="5"/>
      <c r="C910" s="5"/>
      <c r="D910" s="43"/>
      <c r="E910" s="5"/>
      <c r="F910" s="5"/>
      <c r="G910" s="5"/>
      <c r="J910" s="6"/>
      <c r="L910" s="7"/>
      <c r="M910" s="7"/>
      <c r="N910" s="7"/>
      <c r="O910" s="7"/>
      <c r="P910" s="7"/>
      <c r="Q910" s="7"/>
    </row>
    <row r="911" spans="1:17" ht="15.75" customHeight="1">
      <c r="A911" s="4"/>
      <c r="B911" s="5"/>
      <c r="C911" s="5"/>
      <c r="D911" s="43"/>
      <c r="E911" s="5"/>
      <c r="F911" s="5"/>
      <c r="G911" s="5"/>
      <c r="J911" s="6"/>
      <c r="L911" s="7"/>
      <c r="M911" s="7"/>
      <c r="N911" s="7"/>
      <c r="O911" s="7"/>
      <c r="P911" s="7"/>
      <c r="Q911" s="7"/>
    </row>
    <row r="912" spans="1:17" ht="15.75" customHeight="1">
      <c r="A912" s="4"/>
      <c r="B912" s="5"/>
      <c r="C912" s="5"/>
      <c r="D912" s="43"/>
      <c r="E912" s="5"/>
      <c r="F912" s="5"/>
      <c r="G912" s="5"/>
      <c r="J912" s="6"/>
      <c r="L912" s="7"/>
      <c r="M912" s="7"/>
      <c r="N912" s="7"/>
      <c r="O912" s="7"/>
      <c r="P912" s="7"/>
      <c r="Q912" s="7"/>
    </row>
    <row r="913" spans="1:17" ht="15.75" customHeight="1">
      <c r="A913" s="4"/>
      <c r="B913" s="5"/>
      <c r="C913" s="5"/>
      <c r="D913" s="43"/>
      <c r="E913" s="5"/>
      <c r="F913" s="5"/>
      <c r="G913" s="5"/>
      <c r="J913" s="6"/>
      <c r="L913" s="7"/>
      <c r="M913" s="7"/>
      <c r="N913" s="7"/>
      <c r="O913" s="7"/>
      <c r="P913" s="7"/>
      <c r="Q913" s="7"/>
    </row>
    <row r="914" spans="1:17" ht="15.75" customHeight="1">
      <c r="A914" s="4"/>
      <c r="B914" s="5"/>
      <c r="C914" s="5"/>
      <c r="D914" s="43"/>
      <c r="E914" s="5"/>
      <c r="F914" s="5"/>
      <c r="G914" s="5"/>
      <c r="J914" s="6"/>
      <c r="L914" s="7"/>
      <c r="M914" s="7"/>
      <c r="N914" s="7"/>
      <c r="O914" s="7"/>
      <c r="P914" s="7"/>
      <c r="Q914" s="7"/>
    </row>
    <row r="915" spans="1:17" ht="15.75" customHeight="1">
      <c r="A915" s="4"/>
      <c r="B915" s="5"/>
      <c r="C915" s="5"/>
      <c r="D915" s="43"/>
      <c r="E915" s="5"/>
      <c r="F915" s="5"/>
      <c r="G915" s="5"/>
      <c r="J915" s="6"/>
      <c r="L915" s="7"/>
      <c r="M915" s="7"/>
      <c r="N915" s="7"/>
      <c r="O915" s="7"/>
      <c r="P915" s="7"/>
      <c r="Q915" s="7"/>
    </row>
    <row r="916" spans="1:17" ht="15.75" customHeight="1">
      <c r="A916" s="4"/>
      <c r="B916" s="5"/>
      <c r="C916" s="5"/>
      <c r="D916" s="43"/>
      <c r="E916" s="5"/>
      <c r="F916" s="5"/>
      <c r="G916" s="5"/>
      <c r="J916" s="6"/>
      <c r="L916" s="7"/>
      <c r="M916" s="7"/>
      <c r="N916" s="7"/>
      <c r="O916" s="7"/>
      <c r="P916" s="7"/>
      <c r="Q916" s="7"/>
    </row>
    <row r="917" spans="1:17" ht="15.75" customHeight="1">
      <c r="A917" s="4"/>
      <c r="B917" s="5"/>
      <c r="C917" s="5"/>
      <c r="D917" s="43"/>
      <c r="E917" s="5"/>
      <c r="F917" s="5"/>
      <c r="G917" s="5"/>
      <c r="J917" s="6"/>
      <c r="L917" s="7"/>
      <c r="M917" s="7"/>
      <c r="N917" s="7"/>
      <c r="O917" s="7"/>
      <c r="P917" s="7"/>
      <c r="Q917" s="7"/>
    </row>
    <row r="918" spans="1:17" ht="15.75" customHeight="1">
      <c r="A918" s="4"/>
      <c r="B918" s="5"/>
      <c r="C918" s="5"/>
      <c r="D918" s="43"/>
      <c r="E918" s="5"/>
      <c r="F918" s="5"/>
      <c r="G918" s="5"/>
      <c r="J918" s="6"/>
      <c r="L918" s="7"/>
      <c r="M918" s="7"/>
      <c r="N918" s="7"/>
      <c r="O918" s="7"/>
      <c r="P918" s="7"/>
      <c r="Q918" s="7"/>
    </row>
    <row r="919" spans="1:17" ht="15.75" customHeight="1">
      <c r="A919" s="4"/>
      <c r="B919" s="5"/>
      <c r="C919" s="5"/>
      <c r="D919" s="43"/>
      <c r="E919" s="5"/>
      <c r="F919" s="5"/>
      <c r="G919" s="5"/>
      <c r="J919" s="6"/>
      <c r="L919" s="7"/>
      <c r="M919" s="7"/>
      <c r="N919" s="7"/>
      <c r="O919" s="7"/>
      <c r="P919" s="7"/>
      <c r="Q919" s="7"/>
    </row>
    <row r="920" spans="1:17" ht="15.75" customHeight="1">
      <c r="A920" s="4"/>
      <c r="B920" s="5"/>
      <c r="C920" s="5"/>
      <c r="D920" s="43"/>
      <c r="E920" s="5"/>
      <c r="F920" s="5"/>
      <c r="G920" s="5"/>
      <c r="J920" s="6"/>
      <c r="L920" s="7"/>
      <c r="M920" s="7"/>
      <c r="N920" s="7"/>
      <c r="O920" s="7"/>
      <c r="P920" s="7"/>
      <c r="Q920" s="7"/>
    </row>
    <row r="921" spans="1:17" ht="15.75" customHeight="1">
      <c r="A921" s="4"/>
      <c r="B921" s="5"/>
      <c r="C921" s="5"/>
      <c r="D921" s="43"/>
      <c r="E921" s="5"/>
      <c r="F921" s="5"/>
      <c r="G921" s="5"/>
      <c r="J921" s="6"/>
      <c r="L921" s="7"/>
      <c r="M921" s="7"/>
      <c r="N921" s="7"/>
      <c r="O921" s="7"/>
      <c r="P921" s="7"/>
      <c r="Q921" s="7"/>
    </row>
    <row r="922" spans="1:17" ht="15.75" customHeight="1">
      <c r="A922" s="4"/>
      <c r="B922" s="5"/>
      <c r="C922" s="5"/>
      <c r="D922" s="43"/>
      <c r="E922" s="5"/>
      <c r="F922" s="5"/>
      <c r="G922" s="5"/>
      <c r="J922" s="6"/>
      <c r="L922" s="7"/>
      <c r="M922" s="7"/>
      <c r="N922" s="7"/>
      <c r="O922" s="7"/>
      <c r="P922" s="7"/>
      <c r="Q922" s="7"/>
    </row>
    <row r="923" spans="1:17" ht="15.75" customHeight="1">
      <c r="A923" s="4"/>
      <c r="B923" s="5"/>
      <c r="C923" s="5"/>
      <c r="D923" s="43"/>
      <c r="E923" s="5"/>
      <c r="F923" s="5"/>
      <c r="G923" s="5"/>
      <c r="J923" s="6"/>
      <c r="L923" s="7"/>
      <c r="M923" s="7"/>
      <c r="N923" s="7"/>
      <c r="O923" s="7"/>
      <c r="P923" s="7"/>
      <c r="Q923" s="7"/>
    </row>
    <row r="924" spans="1:17" ht="15.75" customHeight="1">
      <c r="A924" s="4"/>
      <c r="B924" s="5"/>
      <c r="C924" s="5"/>
      <c r="D924" s="43"/>
      <c r="E924" s="5"/>
      <c r="F924" s="5"/>
      <c r="G924" s="5"/>
      <c r="J924" s="6"/>
      <c r="L924" s="7"/>
      <c r="M924" s="7"/>
      <c r="N924" s="7"/>
      <c r="O924" s="7"/>
      <c r="P924" s="7"/>
      <c r="Q924" s="7"/>
    </row>
    <row r="925" spans="1:17" ht="15.75" customHeight="1">
      <c r="A925" s="4"/>
      <c r="B925" s="5"/>
      <c r="C925" s="5"/>
      <c r="D925" s="43"/>
      <c r="E925" s="5"/>
      <c r="F925" s="5"/>
      <c r="G925" s="5"/>
      <c r="J925" s="6"/>
      <c r="L925" s="7"/>
      <c r="M925" s="7"/>
      <c r="N925" s="7"/>
      <c r="O925" s="7"/>
      <c r="P925" s="7"/>
      <c r="Q925" s="7"/>
    </row>
    <row r="926" spans="1:17" ht="15.75" customHeight="1">
      <c r="A926" s="4"/>
      <c r="B926" s="5"/>
      <c r="C926" s="5"/>
      <c r="D926" s="43"/>
      <c r="E926" s="5"/>
      <c r="F926" s="5"/>
      <c r="G926" s="5"/>
      <c r="J926" s="6"/>
      <c r="L926" s="7"/>
      <c r="M926" s="7"/>
      <c r="N926" s="7"/>
      <c r="O926" s="7"/>
      <c r="P926" s="7"/>
      <c r="Q926" s="7"/>
    </row>
    <row r="927" spans="1:17" ht="15.75" customHeight="1">
      <c r="A927" s="4"/>
      <c r="B927" s="5"/>
      <c r="C927" s="5"/>
      <c r="D927" s="43"/>
      <c r="E927" s="5"/>
      <c r="F927" s="5"/>
      <c r="G927" s="5"/>
      <c r="J927" s="6"/>
      <c r="L927" s="7"/>
      <c r="M927" s="7"/>
      <c r="N927" s="7"/>
      <c r="O927" s="7"/>
      <c r="P927" s="7"/>
      <c r="Q927" s="7"/>
    </row>
    <row r="928" spans="1:17" ht="15.75" customHeight="1">
      <c r="A928" s="4"/>
      <c r="B928" s="5"/>
      <c r="C928" s="5"/>
      <c r="D928" s="43"/>
      <c r="E928" s="5"/>
      <c r="F928" s="5"/>
      <c r="G928" s="5"/>
      <c r="J928" s="6"/>
      <c r="L928" s="7"/>
      <c r="M928" s="7"/>
      <c r="N928" s="7"/>
      <c r="O928" s="7"/>
      <c r="P928" s="7"/>
      <c r="Q928" s="7"/>
    </row>
    <row r="929" spans="1:17" ht="15.75" customHeight="1">
      <c r="A929" s="4"/>
      <c r="B929" s="5"/>
      <c r="C929" s="5"/>
      <c r="D929" s="43"/>
      <c r="E929" s="5"/>
      <c r="F929" s="5"/>
      <c r="G929" s="5"/>
      <c r="J929" s="6"/>
      <c r="L929" s="7"/>
      <c r="M929" s="7"/>
      <c r="N929" s="7"/>
      <c r="O929" s="7"/>
      <c r="P929" s="7"/>
      <c r="Q929" s="7"/>
    </row>
    <row r="930" spans="1:17" ht="15.75" customHeight="1">
      <c r="A930" s="4"/>
      <c r="B930" s="5"/>
      <c r="C930" s="5"/>
      <c r="D930" s="43"/>
      <c r="E930" s="5"/>
      <c r="F930" s="5"/>
      <c r="G930" s="5"/>
      <c r="J930" s="6"/>
      <c r="L930" s="7"/>
      <c r="M930" s="7"/>
      <c r="N930" s="7"/>
      <c r="O930" s="7"/>
      <c r="P930" s="7"/>
      <c r="Q930" s="7"/>
    </row>
    <row r="931" spans="1:17" ht="15.75" customHeight="1">
      <c r="A931" s="4"/>
      <c r="B931" s="5"/>
      <c r="C931" s="5"/>
      <c r="D931" s="43"/>
      <c r="E931" s="5"/>
      <c r="F931" s="5"/>
      <c r="G931" s="5"/>
      <c r="J931" s="6"/>
      <c r="L931" s="7"/>
      <c r="M931" s="7"/>
      <c r="N931" s="7"/>
      <c r="O931" s="7"/>
      <c r="P931" s="7"/>
      <c r="Q931" s="7"/>
    </row>
    <row r="932" spans="1:17" ht="15.75" customHeight="1">
      <c r="A932" s="4"/>
      <c r="B932" s="5"/>
      <c r="C932" s="5"/>
      <c r="D932" s="43"/>
      <c r="E932" s="5"/>
      <c r="F932" s="5"/>
      <c r="G932" s="5"/>
      <c r="J932" s="6"/>
      <c r="L932" s="7"/>
      <c r="M932" s="7"/>
      <c r="N932" s="7"/>
      <c r="O932" s="7"/>
      <c r="P932" s="7"/>
      <c r="Q932" s="7"/>
    </row>
    <row r="933" spans="1:17" ht="15.75" customHeight="1">
      <c r="A933" s="4"/>
      <c r="B933" s="5"/>
      <c r="C933" s="5"/>
      <c r="D933" s="43"/>
      <c r="E933" s="5"/>
      <c r="F933" s="5"/>
      <c r="G933" s="5"/>
      <c r="J933" s="6"/>
      <c r="L933" s="7"/>
      <c r="M933" s="7"/>
      <c r="N933" s="7"/>
      <c r="O933" s="7"/>
      <c r="P933" s="7"/>
      <c r="Q933" s="7"/>
    </row>
    <row r="934" spans="1:17" ht="15.75" customHeight="1">
      <c r="A934" s="4"/>
      <c r="B934" s="5"/>
      <c r="C934" s="5"/>
      <c r="D934" s="43"/>
      <c r="E934" s="5"/>
      <c r="F934" s="5"/>
      <c r="G934" s="5"/>
      <c r="J934" s="6"/>
      <c r="L934" s="7"/>
      <c r="M934" s="7"/>
      <c r="N934" s="7"/>
      <c r="O934" s="7"/>
      <c r="P934" s="7"/>
      <c r="Q934" s="7"/>
    </row>
    <row r="935" spans="1:17" ht="15.75" customHeight="1">
      <c r="A935" s="4"/>
      <c r="B935" s="5"/>
      <c r="C935" s="5"/>
      <c r="D935" s="43"/>
      <c r="E935" s="5"/>
      <c r="F935" s="5"/>
      <c r="G935" s="5"/>
      <c r="J935" s="6"/>
      <c r="L935" s="7"/>
      <c r="M935" s="7"/>
      <c r="N935" s="7"/>
      <c r="O935" s="7"/>
      <c r="P935" s="7"/>
      <c r="Q935" s="7"/>
    </row>
    <row r="936" spans="1:17" ht="15.75" customHeight="1">
      <c r="A936" s="4"/>
      <c r="B936" s="5"/>
      <c r="C936" s="5"/>
      <c r="D936" s="43"/>
      <c r="E936" s="5"/>
      <c r="F936" s="5"/>
      <c r="G936" s="5"/>
      <c r="J936" s="6"/>
      <c r="L936" s="7"/>
      <c r="M936" s="7"/>
      <c r="N936" s="7"/>
      <c r="O936" s="7"/>
      <c r="P936" s="7"/>
      <c r="Q936" s="7"/>
    </row>
    <row r="937" spans="1:17" ht="15.75" customHeight="1">
      <c r="A937" s="4"/>
      <c r="B937" s="5"/>
      <c r="C937" s="5"/>
      <c r="D937" s="43"/>
      <c r="E937" s="5"/>
      <c r="F937" s="5"/>
      <c r="G937" s="5"/>
      <c r="J937" s="6"/>
      <c r="L937" s="7"/>
      <c r="M937" s="7"/>
      <c r="N937" s="7"/>
      <c r="O937" s="7"/>
      <c r="P937" s="7"/>
      <c r="Q937" s="7"/>
    </row>
    <row r="938" spans="1:17" ht="15.75" customHeight="1">
      <c r="A938" s="4"/>
      <c r="B938" s="5"/>
      <c r="C938" s="5"/>
      <c r="D938" s="43"/>
      <c r="E938" s="5"/>
      <c r="F938" s="5"/>
      <c r="G938" s="5"/>
      <c r="J938" s="6"/>
      <c r="L938" s="7"/>
      <c r="M938" s="7"/>
      <c r="N938" s="7"/>
      <c r="O938" s="7"/>
      <c r="P938" s="7"/>
      <c r="Q938" s="7"/>
    </row>
    <row r="939" spans="1:17" ht="15.75" customHeight="1">
      <c r="A939" s="4"/>
      <c r="B939" s="5"/>
      <c r="C939" s="5"/>
      <c r="D939" s="43"/>
      <c r="E939" s="5"/>
      <c r="F939" s="5"/>
      <c r="G939" s="5"/>
      <c r="J939" s="6"/>
      <c r="L939" s="7"/>
      <c r="M939" s="7"/>
      <c r="N939" s="7"/>
      <c r="O939" s="7"/>
      <c r="P939" s="7"/>
      <c r="Q939" s="7"/>
    </row>
    <row r="940" spans="1:17" ht="15.75" customHeight="1">
      <c r="A940" s="4"/>
      <c r="B940" s="5"/>
      <c r="C940" s="5"/>
      <c r="D940" s="43"/>
      <c r="E940" s="5"/>
      <c r="F940" s="5"/>
      <c r="G940" s="5"/>
      <c r="J940" s="6"/>
      <c r="L940" s="7"/>
      <c r="M940" s="7"/>
      <c r="N940" s="7"/>
      <c r="O940" s="7"/>
      <c r="P940" s="7"/>
      <c r="Q940" s="7"/>
    </row>
    <row r="941" spans="1:17" ht="15.75" customHeight="1">
      <c r="A941" s="4"/>
      <c r="B941" s="5"/>
      <c r="C941" s="5"/>
      <c r="D941" s="43"/>
      <c r="E941" s="5"/>
      <c r="F941" s="5"/>
      <c r="G941" s="5"/>
      <c r="J941" s="6"/>
      <c r="L941" s="7"/>
      <c r="M941" s="7"/>
      <c r="N941" s="7"/>
      <c r="O941" s="7"/>
      <c r="P941" s="7"/>
      <c r="Q941" s="7"/>
    </row>
    <row r="942" spans="1:17" ht="15.75" customHeight="1">
      <c r="A942" s="4"/>
      <c r="B942" s="5"/>
      <c r="C942" s="5"/>
      <c r="D942" s="43"/>
      <c r="E942" s="5"/>
      <c r="F942" s="5"/>
      <c r="G942" s="5"/>
      <c r="J942" s="6"/>
      <c r="L942" s="7"/>
      <c r="M942" s="7"/>
      <c r="N942" s="7"/>
      <c r="O942" s="7"/>
      <c r="P942" s="7"/>
      <c r="Q942" s="7"/>
    </row>
    <row r="943" spans="1:17" ht="15.75" customHeight="1">
      <c r="A943" s="4"/>
      <c r="B943" s="5"/>
      <c r="C943" s="5"/>
      <c r="D943" s="43"/>
      <c r="E943" s="5"/>
      <c r="F943" s="5"/>
      <c r="G943" s="5"/>
      <c r="J943" s="6"/>
      <c r="L943" s="7"/>
      <c r="M943" s="7"/>
      <c r="N943" s="7"/>
      <c r="O943" s="7"/>
      <c r="P943" s="7"/>
      <c r="Q943" s="7"/>
    </row>
    <row r="944" spans="1:17" ht="15.75" customHeight="1">
      <c r="A944" s="4"/>
      <c r="B944" s="5"/>
      <c r="C944" s="5"/>
      <c r="D944" s="43"/>
      <c r="E944" s="5"/>
      <c r="F944" s="5"/>
      <c r="G944" s="5"/>
      <c r="J944" s="6"/>
      <c r="L944" s="7"/>
      <c r="M944" s="7"/>
      <c r="N944" s="7"/>
      <c r="O944" s="7"/>
      <c r="P944" s="7"/>
      <c r="Q944" s="7"/>
    </row>
    <row r="945" spans="1:17" ht="15.75" customHeight="1">
      <c r="A945" s="4"/>
      <c r="B945" s="5"/>
      <c r="C945" s="5"/>
      <c r="D945" s="43"/>
      <c r="E945" s="5"/>
      <c r="F945" s="5"/>
      <c r="G945" s="5"/>
      <c r="J945" s="6"/>
      <c r="L945" s="7"/>
      <c r="M945" s="7"/>
      <c r="N945" s="7"/>
      <c r="O945" s="7"/>
      <c r="P945" s="7"/>
      <c r="Q945" s="7"/>
    </row>
    <row r="946" spans="1:17" ht="15.75" customHeight="1">
      <c r="A946" s="4"/>
      <c r="B946" s="5"/>
      <c r="C946" s="5"/>
      <c r="D946" s="43"/>
      <c r="E946" s="5"/>
      <c r="F946" s="5"/>
      <c r="G946" s="5"/>
      <c r="J946" s="6"/>
      <c r="L946" s="7"/>
      <c r="M946" s="7"/>
      <c r="N946" s="7"/>
      <c r="O946" s="7"/>
      <c r="P946" s="7"/>
      <c r="Q946" s="7"/>
    </row>
    <row r="947" spans="1:17" ht="15.75" customHeight="1">
      <c r="A947" s="4"/>
      <c r="B947" s="5"/>
      <c r="C947" s="5"/>
      <c r="D947" s="43"/>
      <c r="E947" s="5"/>
      <c r="F947" s="5"/>
      <c r="G947" s="5"/>
      <c r="J947" s="6"/>
      <c r="L947" s="7"/>
      <c r="M947" s="7"/>
      <c r="N947" s="7"/>
      <c r="O947" s="7"/>
      <c r="P947" s="7"/>
      <c r="Q947" s="7"/>
    </row>
    <row r="948" spans="1:17" ht="15.75" customHeight="1">
      <c r="A948" s="4"/>
      <c r="B948" s="5"/>
      <c r="C948" s="5"/>
      <c r="D948" s="43"/>
      <c r="E948" s="5"/>
      <c r="F948" s="5"/>
      <c r="G948" s="5"/>
      <c r="J948" s="6"/>
      <c r="L948" s="7"/>
      <c r="M948" s="7"/>
      <c r="N948" s="7"/>
      <c r="O948" s="7"/>
      <c r="P948" s="7"/>
      <c r="Q948" s="7"/>
    </row>
    <row r="949" spans="1:17" ht="15.75" customHeight="1">
      <c r="A949" s="4"/>
      <c r="B949" s="5"/>
      <c r="C949" s="5"/>
      <c r="D949" s="43"/>
      <c r="E949" s="5"/>
      <c r="F949" s="5"/>
      <c r="G949" s="5"/>
      <c r="J949" s="6"/>
      <c r="L949" s="7"/>
      <c r="M949" s="7"/>
      <c r="N949" s="7"/>
      <c r="O949" s="7"/>
      <c r="P949" s="7"/>
      <c r="Q949" s="7"/>
    </row>
    <row r="950" spans="1:17" ht="15.75" customHeight="1">
      <c r="A950" s="4"/>
      <c r="B950" s="5"/>
      <c r="C950" s="5"/>
      <c r="D950" s="43"/>
      <c r="E950" s="5"/>
      <c r="F950" s="5"/>
      <c r="G950" s="5"/>
      <c r="J950" s="6"/>
      <c r="L950" s="7"/>
      <c r="M950" s="7"/>
      <c r="N950" s="7"/>
      <c r="O950" s="7"/>
      <c r="P950" s="7"/>
      <c r="Q950" s="7"/>
    </row>
    <row r="951" spans="1:17" ht="15.75" customHeight="1">
      <c r="A951" s="4"/>
      <c r="B951" s="5"/>
      <c r="C951" s="5"/>
      <c r="D951" s="43"/>
      <c r="E951" s="5"/>
      <c r="F951" s="5"/>
      <c r="G951" s="5"/>
      <c r="J951" s="6"/>
      <c r="L951" s="7"/>
      <c r="M951" s="7"/>
      <c r="N951" s="7"/>
      <c r="O951" s="7"/>
      <c r="P951" s="7"/>
      <c r="Q951" s="7"/>
    </row>
    <row r="952" spans="1:17" ht="15.75" customHeight="1">
      <c r="A952" s="4"/>
      <c r="B952" s="5"/>
      <c r="C952" s="5"/>
      <c r="D952" s="43"/>
      <c r="E952" s="5"/>
      <c r="F952" s="5"/>
      <c r="G952" s="5"/>
      <c r="J952" s="6"/>
      <c r="L952" s="7"/>
      <c r="M952" s="7"/>
      <c r="N952" s="7"/>
      <c r="O952" s="7"/>
      <c r="P952" s="7"/>
      <c r="Q952" s="7"/>
    </row>
    <row r="953" spans="1:17" ht="15.75" customHeight="1">
      <c r="A953" s="4"/>
      <c r="B953" s="5"/>
      <c r="C953" s="5"/>
      <c r="D953" s="43"/>
      <c r="E953" s="5"/>
      <c r="F953" s="5"/>
      <c r="G953" s="5"/>
      <c r="J953" s="6"/>
      <c r="L953" s="7"/>
      <c r="M953" s="7"/>
      <c r="N953" s="7"/>
      <c r="O953" s="7"/>
      <c r="P953" s="7"/>
      <c r="Q953" s="7"/>
    </row>
    <row r="954" spans="1:17" ht="15.75" customHeight="1">
      <c r="A954" s="4"/>
      <c r="B954" s="5"/>
      <c r="C954" s="5"/>
      <c r="D954" s="43"/>
      <c r="E954" s="5"/>
      <c r="F954" s="5"/>
      <c r="G954" s="5"/>
      <c r="J954" s="6"/>
      <c r="L954" s="7"/>
      <c r="M954" s="7"/>
      <c r="N954" s="7"/>
      <c r="O954" s="7"/>
      <c r="P954" s="7"/>
      <c r="Q954" s="7"/>
    </row>
    <row r="955" spans="1:17" ht="15.75" customHeight="1">
      <c r="A955" s="4"/>
      <c r="B955" s="5"/>
      <c r="C955" s="5"/>
      <c r="D955" s="43"/>
      <c r="E955" s="5"/>
      <c r="F955" s="5"/>
      <c r="G955" s="5"/>
      <c r="J955" s="6"/>
      <c r="L955" s="7"/>
      <c r="M955" s="7"/>
      <c r="N955" s="7"/>
      <c r="O955" s="7"/>
      <c r="P955" s="7"/>
      <c r="Q955" s="7"/>
    </row>
    <row r="956" spans="1:17" ht="15.75" customHeight="1">
      <c r="A956" s="4"/>
      <c r="B956" s="5"/>
      <c r="C956" s="5"/>
      <c r="D956" s="43"/>
      <c r="E956" s="5"/>
      <c r="F956" s="5"/>
      <c r="G956" s="5"/>
      <c r="J956" s="6"/>
      <c r="L956" s="7"/>
      <c r="M956" s="7"/>
      <c r="N956" s="7"/>
      <c r="O956" s="7"/>
      <c r="P956" s="7"/>
      <c r="Q956" s="7"/>
    </row>
    <row r="957" spans="1:17" ht="15.75" customHeight="1">
      <c r="A957" s="4"/>
      <c r="B957" s="5"/>
      <c r="C957" s="5"/>
      <c r="D957" s="43"/>
      <c r="E957" s="5"/>
      <c r="F957" s="5"/>
      <c r="G957" s="5"/>
      <c r="J957" s="6"/>
      <c r="L957" s="7"/>
      <c r="M957" s="7"/>
      <c r="N957" s="7"/>
      <c r="O957" s="7"/>
      <c r="P957" s="7"/>
      <c r="Q957" s="7"/>
    </row>
    <row r="958" spans="1:17" ht="15.75" customHeight="1">
      <c r="A958" s="4"/>
      <c r="B958" s="5"/>
      <c r="C958" s="5"/>
      <c r="D958" s="43"/>
      <c r="E958" s="5"/>
      <c r="F958" s="5"/>
      <c r="G958" s="5"/>
      <c r="J958" s="6"/>
      <c r="L958" s="7"/>
      <c r="M958" s="7"/>
      <c r="N958" s="7"/>
      <c r="O958" s="7"/>
      <c r="P958" s="7"/>
      <c r="Q958" s="7"/>
    </row>
    <row r="959" spans="1:17" ht="15.75" customHeight="1">
      <c r="A959" s="4"/>
      <c r="B959" s="5"/>
      <c r="C959" s="5"/>
      <c r="D959" s="43"/>
      <c r="E959" s="5"/>
      <c r="F959" s="5"/>
      <c r="G959" s="5"/>
      <c r="J959" s="6"/>
      <c r="L959" s="7"/>
      <c r="M959" s="7"/>
      <c r="N959" s="7"/>
      <c r="O959" s="7"/>
      <c r="P959" s="7"/>
      <c r="Q959" s="7"/>
    </row>
    <row r="960" spans="1:17" ht="15.75" customHeight="1">
      <c r="A960" s="4"/>
      <c r="B960" s="5"/>
      <c r="C960" s="5"/>
      <c r="D960" s="43"/>
      <c r="E960" s="5"/>
      <c r="F960" s="5"/>
      <c r="G960" s="5"/>
      <c r="J960" s="6"/>
      <c r="L960" s="7"/>
      <c r="M960" s="7"/>
      <c r="N960" s="7"/>
      <c r="O960" s="7"/>
      <c r="P960" s="7"/>
      <c r="Q960" s="7"/>
    </row>
    <row r="961" spans="1:17" ht="15.75" customHeight="1">
      <c r="A961" s="4"/>
      <c r="B961" s="5"/>
      <c r="C961" s="5"/>
      <c r="D961" s="43"/>
      <c r="E961" s="5"/>
      <c r="F961" s="5"/>
      <c r="G961" s="5"/>
      <c r="J961" s="6"/>
      <c r="L961" s="7"/>
      <c r="M961" s="7"/>
      <c r="N961" s="7"/>
      <c r="O961" s="7"/>
      <c r="P961" s="7"/>
      <c r="Q961" s="7"/>
    </row>
    <row r="962" spans="1:17" ht="15.75" customHeight="1">
      <c r="A962" s="4"/>
      <c r="B962" s="5"/>
      <c r="C962" s="5"/>
      <c r="D962" s="43"/>
      <c r="E962" s="5"/>
      <c r="F962" s="5"/>
      <c r="G962" s="5"/>
      <c r="J962" s="6"/>
      <c r="L962" s="7"/>
      <c r="M962" s="7"/>
      <c r="N962" s="7"/>
      <c r="O962" s="7"/>
      <c r="P962" s="7"/>
      <c r="Q962" s="7"/>
    </row>
    <row r="963" spans="1:17" ht="15.75" customHeight="1">
      <c r="A963" s="4"/>
      <c r="B963" s="5"/>
      <c r="C963" s="5"/>
      <c r="D963" s="43"/>
      <c r="E963" s="5"/>
      <c r="F963" s="5"/>
      <c r="G963" s="5"/>
      <c r="J963" s="6"/>
      <c r="L963" s="7"/>
      <c r="M963" s="7"/>
      <c r="N963" s="7"/>
      <c r="O963" s="7"/>
      <c r="P963" s="7"/>
      <c r="Q963" s="7"/>
    </row>
    <row r="964" spans="1:17" ht="15.75" customHeight="1">
      <c r="A964" s="4"/>
      <c r="B964" s="5"/>
      <c r="C964" s="5"/>
      <c r="D964" s="43"/>
      <c r="E964" s="5"/>
      <c r="F964" s="5"/>
      <c r="G964" s="5"/>
      <c r="J964" s="6"/>
      <c r="L964" s="7"/>
      <c r="M964" s="7"/>
      <c r="N964" s="7"/>
      <c r="O964" s="7"/>
      <c r="P964" s="7"/>
      <c r="Q964" s="7"/>
    </row>
    <row r="965" spans="1:17" ht="15.75" customHeight="1">
      <c r="A965" s="4"/>
      <c r="B965" s="5"/>
      <c r="C965" s="5"/>
      <c r="D965" s="43"/>
      <c r="E965" s="5"/>
      <c r="F965" s="5"/>
      <c r="G965" s="5"/>
      <c r="J965" s="6"/>
      <c r="L965" s="7"/>
      <c r="M965" s="7"/>
      <c r="N965" s="7"/>
      <c r="O965" s="7"/>
      <c r="P965" s="7"/>
      <c r="Q965" s="7"/>
    </row>
    <row r="966" spans="1:17" ht="15.75" customHeight="1">
      <c r="A966" s="4"/>
      <c r="B966" s="5"/>
      <c r="C966" s="5"/>
      <c r="D966" s="43"/>
      <c r="E966" s="5"/>
      <c r="F966" s="5"/>
      <c r="G966" s="5"/>
      <c r="J966" s="6"/>
      <c r="L966" s="7"/>
      <c r="M966" s="7"/>
      <c r="N966" s="7"/>
      <c r="O966" s="7"/>
      <c r="P966" s="7"/>
      <c r="Q966" s="7"/>
    </row>
    <row r="967" spans="1:17" ht="15.75" customHeight="1">
      <c r="A967" s="4"/>
      <c r="B967" s="5"/>
      <c r="C967" s="5"/>
      <c r="D967" s="43"/>
      <c r="E967" s="5"/>
      <c r="F967" s="5"/>
      <c r="G967" s="5"/>
      <c r="J967" s="6"/>
      <c r="L967" s="7"/>
      <c r="M967" s="7"/>
      <c r="N967" s="7"/>
      <c r="O967" s="7"/>
      <c r="P967" s="7"/>
      <c r="Q967" s="7"/>
    </row>
    <row r="968" spans="1:17" ht="15.75" customHeight="1">
      <c r="A968" s="4"/>
      <c r="B968" s="5"/>
      <c r="C968" s="5"/>
      <c r="D968" s="43"/>
      <c r="E968" s="5"/>
      <c r="F968" s="5"/>
      <c r="G968" s="5"/>
      <c r="J968" s="6"/>
      <c r="L968" s="7"/>
      <c r="M968" s="7"/>
      <c r="N968" s="7"/>
      <c r="O968" s="7"/>
      <c r="P968" s="7"/>
      <c r="Q968" s="7"/>
    </row>
    <row r="969" spans="1:17" ht="15.75" customHeight="1">
      <c r="A969" s="4"/>
      <c r="B969" s="5"/>
      <c r="C969" s="5"/>
      <c r="D969" s="43"/>
      <c r="E969" s="5"/>
      <c r="F969" s="5"/>
      <c r="G969" s="5"/>
      <c r="J969" s="6"/>
      <c r="L969" s="7"/>
      <c r="M969" s="7"/>
      <c r="N969" s="7"/>
      <c r="O969" s="7"/>
      <c r="P969" s="7"/>
      <c r="Q969" s="7"/>
    </row>
    <row r="970" spans="1:17" ht="15.75" customHeight="1">
      <c r="L970" s="7"/>
      <c r="M970" s="7"/>
      <c r="N970" s="7"/>
      <c r="O970" s="7"/>
      <c r="P970" s="7"/>
      <c r="Q970" s="7"/>
    </row>
    <row r="971" spans="1:17" ht="15.75" customHeight="1">
      <c r="L971" s="7"/>
      <c r="M971" s="7"/>
      <c r="N971" s="7"/>
      <c r="O971" s="7"/>
      <c r="P971" s="7"/>
      <c r="Q971" s="7"/>
    </row>
    <row r="972" spans="1:17" ht="15.75" customHeight="1">
      <c r="L972" s="7"/>
      <c r="M972" s="7"/>
      <c r="N972" s="7"/>
      <c r="O972" s="7"/>
      <c r="P972" s="7"/>
      <c r="Q972" s="7"/>
    </row>
    <row r="973" spans="1:17" ht="15.75" customHeight="1">
      <c r="L973" s="7"/>
      <c r="M973" s="7"/>
      <c r="N973" s="7"/>
      <c r="O973" s="7"/>
      <c r="P973" s="7"/>
      <c r="Q973" s="7"/>
    </row>
    <row r="974" spans="1:17" ht="15.75" customHeight="1">
      <c r="L974" s="7"/>
      <c r="M974" s="7"/>
      <c r="N974" s="7"/>
      <c r="O974" s="7"/>
      <c r="P974" s="7"/>
      <c r="Q974" s="7"/>
    </row>
    <row r="975" spans="1:17" ht="15.75" customHeight="1">
      <c r="L975" s="7"/>
      <c r="M975" s="7"/>
      <c r="N975" s="7"/>
      <c r="O975" s="7"/>
      <c r="P975" s="7"/>
      <c r="Q975" s="7"/>
    </row>
    <row r="976" spans="1:17" ht="15.75" customHeight="1">
      <c r="L976" s="7"/>
      <c r="M976" s="7"/>
      <c r="N976" s="7"/>
      <c r="O976" s="7"/>
      <c r="P976" s="7"/>
      <c r="Q976" s="7"/>
    </row>
    <row r="977" spans="12:17" ht="15.75" customHeight="1">
      <c r="L977" s="7"/>
      <c r="M977" s="7"/>
      <c r="N977" s="7"/>
      <c r="O977" s="7"/>
      <c r="P977" s="7"/>
      <c r="Q977" s="7"/>
    </row>
    <row r="978" spans="12:17" ht="15.75" customHeight="1">
      <c r="L978" s="7"/>
      <c r="M978" s="7"/>
      <c r="N978" s="7"/>
      <c r="O978" s="7"/>
      <c r="P978" s="7"/>
      <c r="Q978" s="7"/>
    </row>
    <row r="979" spans="12:17" ht="15.75" customHeight="1">
      <c r="L979" s="7"/>
      <c r="M979" s="7"/>
      <c r="N979" s="7"/>
      <c r="O979" s="7"/>
      <c r="P979" s="7"/>
      <c r="Q979" s="7"/>
    </row>
    <row r="980" spans="12:17" ht="15.75" customHeight="1">
      <c r="L980" s="7"/>
      <c r="M980" s="7"/>
      <c r="N980" s="7"/>
      <c r="O980" s="7"/>
      <c r="P980" s="7"/>
      <c r="Q980" s="7"/>
    </row>
    <row r="981" spans="12:17" ht="15.75" customHeight="1">
      <c r="L981" s="7"/>
      <c r="M981" s="7"/>
      <c r="N981" s="7"/>
      <c r="O981" s="7"/>
      <c r="P981" s="7"/>
      <c r="Q981" s="7"/>
    </row>
    <row r="982" spans="12:17" ht="15.75" customHeight="1">
      <c r="L982" s="7"/>
      <c r="M982" s="7"/>
      <c r="N982" s="7"/>
      <c r="O982" s="7"/>
      <c r="P982" s="7"/>
      <c r="Q982" s="7"/>
    </row>
    <row r="983" spans="12:17" ht="15.75" customHeight="1">
      <c r="L983" s="7"/>
      <c r="M983" s="7"/>
      <c r="N983" s="7"/>
      <c r="O983" s="7"/>
      <c r="P983" s="7"/>
      <c r="Q983" s="7"/>
    </row>
    <row r="984" spans="12:17" ht="15.75" customHeight="1">
      <c r="L984" s="7"/>
      <c r="M984" s="7"/>
      <c r="N984" s="7"/>
      <c r="O984" s="7"/>
      <c r="P984" s="7"/>
      <c r="Q984" s="7"/>
    </row>
    <row r="985" spans="12:17" ht="15.75" customHeight="1">
      <c r="L985" s="7"/>
      <c r="M985" s="7"/>
      <c r="N985" s="7"/>
      <c r="O985" s="7"/>
      <c r="P985" s="7"/>
      <c r="Q985" s="7"/>
    </row>
    <row r="986" spans="12:17" ht="15.75" customHeight="1">
      <c r="L986" s="7"/>
      <c r="M986" s="7"/>
      <c r="N986" s="7"/>
      <c r="O986" s="7"/>
      <c r="P986" s="7"/>
      <c r="Q986" s="7"/>
    </row>
    <row r="987" spans="12:17" ht="15.75" customHeight="1">
      <c r="L987" s="7"/>
      <c r="M987" s="7"/>
      <c r="N987" s="7"/>
      <c r="O987" s="7"/>
      <c r="P987" s="7"/>
      <c r="Q987" s="7"/>
    </row>
    <row r="988" spans="12:17" ht="15.75" customHeight="1">
      <c r="L988" s="7"/>
      <c r="M988" s="7"/>
      <c r="N988" s="7"/>
      <c r="O988" s="7"/>
      <c r="P988" s="7"/>
      <c r="Q988" s="7"/>
    </row>
    <row r="989" spans="12:17" ht="15.75" customHeight="1">
      <c r="L989" s="7"/>
      <c r="M989" s="7"/>
      <c r="N989" s="7"/>
      <c r="O989" s="7"/>
      <c r="P989" s="7"/>
      <c r="Q989" s="7"/>
    </row>
    <row r="990" spans="12:17" ht="15.75" customHeight="1">
      <c r="L990" s="7"/>
      <c r="M990" s="7"/>
      <c r="N990" s="7"/>
      <c r="O990" s="7"/>
      <c r="P990" s="7"/>
      <c r="Q990" s="7"/>
    </row>
    <row r="991" spans="12:17" ht="15.75" customHeight="1">
      <c r="L991" s="7"/>
      <c r="M991" s="7"/>
      <c r="N991" s="7"/>
      <c r="O991" s="7"/>
      <c r="P991" s="7"/>
      <c r="Q991" s="7"/>
    </row>
    <row r="992" spans="12:17" ht="15.75" customHeight="1">
      <c r="L992" s="7"/>
      <c r="M992" s="7"/>
      <c r="N992" s="7"/>
      <c r="O992" s="7"/>
      <c r="P992" s="7"/>
      <c r="Q992" s="7"/>
    </row>
    <row r="993" spans="12:17" ht="15.75" customHeight="1">
      <c r="L993" s="7"/>
      <c r="M993" s="7"/>
      <c r="N993" s="7"/>
      <c r="O993" s="7"/>
      <c r="P993" s="7"/>
      <c r="Q993" s="7"/>
    </row>
    <row r="994" spans="12:17" ht="15.75" customHeight="1">
      <c r="L994" s="7"/>
      <c r="M994" s="7"/>
      <c r="N994" s="7"/>
      <c r="O994" s="7"/>
      <c r="P994" s="7"/>
      <c r="Q994" s="7"/>
    </row>
    <row r="995" spans="12:17" ht="15.75" customHeight="1">
      <c r="L995" s="7"/>
      <c r="M995" s="7"/>
      <c r="N995" s="7"/>
      <c r="O995" s="7"/>
      <c r="P995" s="7"/>
      <c r="Q995" s="7"/>
    </row>
    <row r="996" spans="12:17" ht="15.75" customHeight="1">
      <c r="L996" s="7"/>
      <c r="M996" s="7"/>
      <c r="N996" s="7"/>
      <c r="O996" s="7"/>
      <c r="P996" s="7"/>
      <c r="Q996" s="7"/>
    </row>
    <row r="997" spans="12:17" ht="15.75" customHeight="1">
      <c r="L997" s="7"/>
      <c r="M997" s="7"/>
      <c r="N997" s="7"/>
      <c r="O997" s="7"/>
      <c r="P997" s="7"/>
      <c r="Q997" s="7"/>
    </row>
    <row r="998" spans="12:17" ht="15.75" customHeight="1">
      <c r="L998" s="7"/>
      <c r="M998" s="7"/>
      <c r="N998" s="7"/>
      <c r="O998" s="7"/>
      <c r="P998" s="7"/>
      <c r="Q998" s="7"/>
    </row>
    <row r="999" spans="12:17" ht="15.75" customHeight="1">
      <c r="L999" s="7"/>
      <c r="M999" s="7"/>
      <c r="N999" s="7"/>
      <c r="O999" s="7"/>
      <c r="P999" s="7"/>
      <c r="Q999" s="7"/>
    </row>
    <row r="1000" spans="12:17" ht="15.75" customHeight="1">
      <c r="L1000" s="7"/>
      <c r="M1000" s="7"/>
      <c r="N1000" s="7"/>
      <c r="O1000" s="7"/>
      <c r="P1000" s="7"/>
      <c r="Q1000" s="7"/>
    </row>
    <row r="1001" spans="12:17" ht="15.75" customHeight="1">
      <c r="L1001" s="7"/>
      <c r="M1001" s="7"/>
      <c r="N1001" s="7"/>
      <c r="O1001" s="7"/>
      <c r="P1001" s="7"/>
      <c r="Q1001" s="7"/>
    </row>
    <row r="1002" spans="12:17" ht="15.75" customHeight="1">
      <c r="L1002" s="7"/>
      <c r="M1002" s="7"/>
      <c r="N1002" s="7"/>
      <c r="O1002" s="7"/>
      <c r="P1002" s="7"/>
      <c r="Q1002" s="7"/>
    </row>
    <row r="1003" spans="12:17" ht="15.75" customHeight="1">
      <c r="L1003" s="7"/>
      <c r="M1003" s="7"/>
      <c r="N1003" s="7"/>
      <c r="O1003" s="7"/>
      <c r="P1003" s="7"/>
      <c r="Q1003" s="7"/>
    </row>
    <row r="1004" spans="12:17" ht="15.75" customHeight="1">
      <c r="L1004" s="7"/>
      <c r="M1004" s="7"/>
      <c r="N1004" s="7"/>
      <c r="O1004" s="7"/>
      <c r="P1004" s="7"/>
      <c r="Q1004" s="7"/>
    </row>
    <row r="1005" spans="12:17" ht="15.75" customHeight="1">
      <c r="L1005" s="7"/>
      <c r="M1005" s="7"/>
      <c r="N1005" s="7"/>
      <c r="O1005" s="7"/>
      <c r="P1005" s="7"/>
      <c r="Q1005" s="7"/>
    </row>
    <row r="1006" spans="12:17" ht="15.75" customHeight="1">
      <c r="L1006" s="7"/>
      <c r="M1006" s="7"/>
      <c r="N1006" s="7"/>
      <c r="O1006" s="7"/>
      <c r="P1006" s="7"/>
      <c r="Q1006" s="7"/>
    </row>
    <row r="1007" spans="12:17" ht="15.75" customHeight="1">
      <c r="L1007" s="7"/>
      <c r="M1007" s="7"/>
      <c r="N1007" s="7"/>
      <c r="O1007" s="7"/>
      <c r="P1007" s="7"/>
      <c r="Q1007" s="7"/>
    </row>
    <row r="1008" spans="12:17" ht="15.75" customHeight="1">
      <c r="L1008" s="7"/>
      <c r="M1008" s="7"/>
      <c r="N1008" s="7"/>
      <c r="O1008" s="7"/>
      <c r="P1008" s="7"/>
      <c r="Q1008" s="7"/>
    </row>
    <row r="1009" spans="12:17" ht="15.75" customHeight="1">
      <c r="L1009" s="7"/>
      <c r="M1009" s="7"/>
      <c r="N1009" s="7"/>
      <c r="O1009" s="7"/>
      <c r="P1009" s="7"/>
      <c r="Q1009" s="7"/>
    </row>
    <row r="1010" spans="12:17" ht="15.75" customHeight="1">
      <c r="L1010" s="7"/>
      <c r="M1010" s="7"/>
      <c r="N1010" s="7"/>
      <c r="O1010" s="7"/>
      <c r="P1010" s="7"/>
      <c r="Q1010" s="7"/>
    </row>
    <row r="1011" spans="12:17" ht="15.75" customHeight="1">
      <c r="L1011" s="7"/>
      <c r="M1011" s="7"/>
      <c r="N1011" s="7"/>
      <c r="O1011" s="7"/>
      <c r="P1011" s="7"/>
      <c r="Q1011" s="7"/>
    </row>
    <row r="1012" spans="12:17" ht="15.75" customHeight="1">
      <c r="L1012" s="7"/>
      <c r="M1012" s="7"/>
      <c r="N1012" s="7"/>
      <c r="O1012" s="7"/>
      <c r="P1012" s="7"/>
      <c r="Q1012" s="7"/>
    </row>
    <row r="1013" spans="12:17" ht="15.75" customHeight="1">
      <c r="L1013" s="7"/>
      <c r="M1013" s="7"/>
      <c r="N1013" s="7"/>
      <c r="O1013" s="7"/>
      <c r="P1013" s="7"/>
      <c r="Q1013" s="7"/>
    </row>
    <row r="1014" spans="12:17" ht="15.75" customHeight="1">
      <c r="L1014" s="7"/>
      <c r="M1014" s="7"/>
      <c r="N1014" s="7"/>
      <c r="O1014" s="7"/>
      <c r="P1014" s="7"/>
      <c r="Q1014" s="7"/>
    </row>
    <row r="1015" spans="12:17" ht="15.75" customHeight="1">
      <c r="L1015" s="7"/>
      <c r="M1015" s="7"/>
      <c r="N1015" s="7"/>
      <c r="O1015" s="7"/>
      <c r="P1015" s="7"/>
      <c r="Q1015" s="7"/>
    </row>
    <row r="1016" spans="12:17" ht="15.75" customHeight="1">
      <c r="L1016" s="7"/>
      <c r="M1016" s="7"/>
      <c r="N1016" s="7"/>
      <c r="O1016" s="7"/>
      <c r="P1016" s="7"/>
      <c r="Q1016" s="7"/>
    </row>
    <row r="1017" spans="12:17" ht="15.75" customHeight="1">
      <c r="L1017" s="7"/>
      <c r="M1017" s="7"/>
      <c r="N1017" s="7"/>
      <c r="O1017" s="7"/>
      <c r="P1017" s="7"/>
      <c r="Q1017" s="7"/>
    </row>
    <row r="1018" spans="12:17" ht="15.75" customHeight="1">
      <c r="L1018" s="7"/>
      <c r="M1018" s="7"/>
      <c r="N1018" s="7"/>
      <c r="O1018" s="7"/>
      <c r="P1018" s="7"/>
      <c r="Q1018" s="7"/>
    </row>
    <row r="1019" spans="12:17" ht="15.75" customHeight="1">
      <c r="L1019" s="7"/>
      <c r="M1019" s="7"/>
      <c r="N1019" s="7"/>
      <c r="O1019" s="7"/>
      <c r="P1019" s="7"/>
      <c r="Q1019" s="7"/>
    </row>
    <row r="1020" spans="12:17" ht="15.75" customHeight="1">
      <c r="L1020" s="7"/>
      <c r="M1020" s="7"/>
      <c r="N1020" s="7"/>
      <c r="O1020" s="7"/>
      <c r="P1020" s="7"/>
      <c r="Q1020" s="7"/>
    </row>
    <row r="1021" spans="12:17" ht="15.75" customHeight="1">
      <c r="L1021" s="7"/>
      <c r="M1021" s="7"/>
      <c r="N1021" s="7"/>
      <c r="O1021" s="7"/>
      <c r="P1021" s="7"/>
      <c r="Q1021" s="7"/>
    </row>
    <row r="1022" spans="12:17" ht="15.75" customHeight="1">
      <c r="L1022" s="7"/>
      <c r="M1022" s="7"/>
      <c r="N1022" s="7"/>
      <c r="O1022" s="7"/>
      <c r="P1022" s="7"/>
      <c r="Q1022" s="7"/>
    </row>
    <row r="1023" spans="12:17" ht="15.75" customHeight="1">
      <c r="L1023" s="7"/>
      <c r="M1023" s="7"/>
      <c r="N1023" s="7"/>
      <c r="O1023" s="7"/>
      <c r="P1023" s="7"/>
      <c r="Q1023" s="7"/>
    </row>
    <row r="1024" spans="12:17" ht="15.75" customHeight="1">
      <c r="L1024" s="7"/>
      <c r="M1024" s="7"/>
      <c r="N1024" s="7"/>
      <c r="O1024" s="7"/>
      <c r="P1024" s="7"/>
      <c r="Q1024" s="7"/>
    </row>
    <row r="1025" spans="12:17" ht="15.75" customHeight="1">
      <c r="L1025" s="7"/>
      <c r="M1025" s="7"/>
      <c r="N1025" s="7"/>
      <c r="O1025" s="7"/>
      <c r="P1025" s="7"/>
      <c r="Q1025" s="7"/>
    </row>
    <row r="1026" spans="12:17" ht="15.75" customHeight="1">
      <c r="L1026" s="7"/>
      <c r="M1026" s="7"/>
      <c r="N1026" s="7"/>
      <c r="O1026" s="7"/>
      <c r="P1026" s="7"/>
      <c r="Q1026" s="7"/>
    </row>
    <row r="1027" spans="12:17" ht="15.75" customHeight="1">
      <c r="L1027" s="7"/>
      <c r="M1027" s="7"/>
      <c r="N1027" s="7"/>
      <c r="O1027" s="7"/>
      <c r="P1027" s="7"/>
      <c r="Q1027" s="7"/>
    </row>
    <row r="1028" spans="12:17" ht="15.75" customHeight="1">
      <c r="L1028" s="7"/>
      <c r="M1028" s="7"/>
      <c r="N1028" s="7"/>
      <c r="O1028" s="7"/>
      <c r="P1028" s="7"/>
      <c r="Q1028" s="7"/>
    </row>
    <row r="1029" spans="12:17" ht="15.75" customHeight="1">
      <c r="L1029" s="7"/>
      <c r="M1029" s="7"/>
      <c r="N1029" s="7"/>
      <c r="O1029" s="7"/>
      <c r="P1029" s="7"/>
      <c r="Q1029" s="7"/>
    </row>
    <row r="1030" spans="12:17" ht="15.75" customHeight="1">
      <c r="L1030" s="7"/>
      <c r="M1030" s="7"/>
      <c r="N1030" s="7"/>
      <c r="O1030" s="7"/>
      <c r="P1030" s="7"/>
      <c r="Q1030" s="7"/>
    </row>
    <row r="1031" spans="12:17" ht="15.75" customHeight="1">
      <c r="L1031" s="7"/>
      <c r="M1031" s="7"/>
      <c r="N1031" s="7"/>
      <c r="O1031" s="7"/>
      <c r="P1031" s="7"/>
      <c r="Q1031" s="7"/>
    </row>
    <row r="1032" spans="12:17" ht="15.75" customHeight="1">
      <c r="L1032" s="7"/>
      <c r="M1032" s="7"/>
      <c r="N1032" s="7"/>
      <c r="O1032" s="7"/>
      <c r="P1032" s="7"/>
      <c r="Q1032" s="7"/>
    </row>
    <row r="1033" spans="12:17" ht="15.75" customHeight="1">
      <c r="L1033" s="7"/>
      <c r="M1033" s="7"/>
      <c r="N1033" s="7"/>
      <c r="O1033" s="7"/>
      <c r="P1033" s="7"/>
      <c r="Q1033" s="7"/>
    </row>
    <row r="1034" spans="12:17" ht="15.75" customHeight="1">
      <c r="L1034" s="7"/>
      <c r="M1034" s="7"/>
      <c r="N1034" s="7"/>
      <c r="O1034" s="7"/>
      <c r="P1034" s="7"/>
      <c r="Q1034" s="7"/>
    </row>
    <row r="1035" spans="12:17" ht="15.75" customHeight="1">
      <c r="L1035" s="7"/>
      <c r="M1035" s="7"/>
      <c r="N1035" s="7"/>
      <c r="O1035" s="7"/>
      <c r="P1035" s="7"/>
      <c r="Q1035" s="7"/>
    </row>
    <row r="1036" spans="12:17" ht="15.75" customHeight="1">
      <c r="L1036" s="7"/>
      <c r="M1036" s="7"/>
      <c r="N1036" s="7"/>
      <c r="O1036" s="7"/>
      <c r="P1036" s="7"/>
      <c r="Q1036" s="7"/>
    </row>
    <row r="1037" spans="12:17" ht="15.75" customHeight="1">
      <c r="L1037" s="7"/>
      <c r="M1037" s="7"/>
      <c r="N1037" s="7"/>
      <c r="O1037" s="7"/>
      <c r="P1037" s="7"/>
      <c r="Q1037" s="7"/>
    </row>
    <row r="1038" spans="12:17" ht="15.75" customHeight="1">
      <c r="L1038" s="7"/>
      <c r="M1038" s="7"/>
      <c r="N1038" s="7"/>
      <c r="O1038" s="7"/>
      <c r="P1038" s="7"/>
      <c r="Q1038" s="7"/>
    </row>
    <row r="1039" spans="12:17" ht="15.75" customHeight="1">
      <c r="L1039" s="7"/>
      <c r="M1039" s="7"/>
      <c r="N1039" s="7"/>
      <c r="O1039" s="7"/>
      <c r="P1039" s="7"/>
      <c r="Q1039" s="7"/>
    </row>
    <row r="1040" spans="12:17" ht="15.75" customHeight="1">
      <c r="L1040" s="7"/>
      <c r="M1040" s="7"/>
      <c r="N1040" s="7"/>
      <c r="O1040" s="7"/>
      <c r="P1040" s="7"/>
      <c r="Q1040" s="7"/>
    </row>
    <row r="1041" spans="12:17" ht="15.75" customHeight="1">
      <c r="L1041" s="7"/>
      <c r="M1041" s="7"/>
      <c r="N1041" s="7"/>
      <c r="O1041" s="7"/>
      <c r="P1041" s="7"/>
      <c r="Q1041" s="7"/>
    </row>
    <row r="1042" spans="12:17" ht="15.75" customHeight="1">
      <c r="L1042" s="7"/>
      <c r="M1042" s="7"/>
      <c r="N1042" s="7"/>
      <c r="O1042" s="7"/>
      <c r="P1042" s="7"/>
      <c r="Q1042" s="7"/>
    </row>
    <row r="1043" spans="12:17" ht="15.75" customHeight="1">
      <c r="L1043" s="7"/>
      <c r="M1043" s="7"/>
      <c r="N1043" s="7"/>
      <c r="O1043" s="7"/>
      <c r="P1043" s="7"/>
      <c r="Q1043" s="7"/>
    </row>
    <row r="1044" spans="12:17" ht="15.75" customHeight="1">
      <c r="L1044" s="7"/>
      <c r="M1044" s="7"/>
      <c r="N1044" s="7"/>
      <c r="O1044" s="7"/>
      <c r="P1044" s="7"/>
      <c r="Q1044" s="7"/>
    </row>
    <row r="1045" spans="12:17" ht="15.75" customHeight="1">
      <c r="L1045" s="7"/>
      <c r="M1045" s="7"/>
      <c r="N1045" s="7"/>
      <c r="O1045" s="7"/>
      <c r="P1045" s="7"/>
      <c r="Q1045" s="7"/>
    </row>
    <row r="1046" spans="12:17" ht="15.75" customHeight="1">
      <c r="L1046" s="7"/>
      <c r="M1046" s="7"/>
      <c r="N1046" s="7"/>
      <c r="O1046" s="7"/>
      <c r="P1046" s="7"/>
      <c r="Q1046" s="7"/>
    </row>
    <row r="1047" spans="12:17" ht="15.75" customHeight="1">
      <c r="L1047" s="7"/>
      <c r="M1047" s="7"/>
      <c r="N1047" s="7"/>
      <c r="O1047" s="7"/>
      <c r="P1047" s="7"/>
      <c r="Q1047" s="7"/>
    </row>
    <row r="1048" spans="12:17" ht="15.75" customHeight="1">
      <c r="L1048" s="7"/>
      <c r="M1048" s="7"/>
      <c r="N1048" s="7"/>
      <c r="O1048" s="7"/>
      <c r="P1048" s="7"/>
      <c r="Q1048" s="7"/>
    </row>
    <row r="1049" spans="12:17" ht="15.75" customHeight="1">
      <c r="L1049" s="7"/>
      <c r="M1049" s="7"/>
      <c r="N1049" s="7"/>
      <c r="O1049" s="7"/>
      <c r="P1049" s="7"/>
      <c r="Q1049" s="7"/>
    </row>
    <row r="1050" spans="12:17" ht="15.75" customHeight="1">
      <c r="L1050" s="7"/>
      <c r="M1050" s="7"/>
      <c r="N1050" s="7"/>
      <c r="O1050" s="7"/>
      <c r="P1050" s="7"/>
      <c r="Q1050" s="7"/>
    </row>
    <row r="1051" spans="12:17" ht="15.75" customHeight="1">
      <c r="L1051" s="7"/>
      <c r="M1051" s="7"/>
      <c r="N1051" s="7"/>
      <c r="O1051" s="7"/>
      <c r="P1051" s="7"/>
      <c r="Q1051" s="7"/>
    </row>
    <row r="1052" spans="12:17" ht="15.75" customHeight="1">
      <c r="L1052" s="7"/>
      <c r="M1052" s="7"/>
      <c r="N1052" s="7"/>
      <c r="O1052" s="7"/>
      <c r="P1052" s="7"/>
      <c r="Q1052" s="7"/>
    </row>
    <row r="1053" spans="12:17" ht="15.75" customHeight="1">
      <c r="L1053" s="7"/>
      <c r="M1053" s="7"/>
      <c r="N1053" s="7"/>
      <c r="O1053" s="7"/>
      <c r="P1053" s="7"/>
      <c r="Q1053" s="7"/>
    </row>
    <row r="1054" spans="12:17" ht="15.75" customHeight="1">
      <c r="L1054" s="7"/>
      <c r="M1054" s="7"/>
      <c r="N1054" s="7"/>
      <c r="O1054" s="7"/>
      <c r="P1054" s="7"/>
      <c r="Q1054" s="7"/>
    </row>
    <row r="1055" spans="12:17" ht="15.75" customHeight="1">
      <c r="L1055" s="7"/>
      <c r="M1055" s="7"/>
      <c r="N1055" s="7"/>
      <c r="O1055" s="7"/>
      <c r="P1055" s="7"/>
      <c r="Q1055" s="7"/>
    </row>
    <row r="1056" spans="12:17" ht="15.75" customHeight="1">
      <c r="L1056" s="7"/>
      <c r="M1056" s="7"/>
      <c r="N1056" s="7"/>
      <c r="O1056" s="7"/>
      <c r="P1056" s="7"/>
      <c r="Q1056" s="7"/>
    </row>
    <row r="1057" spans="12:17" ht="15.75" customHeight="1">
      <c r="L1057" s="7"/>
      <c r="M1057" s="7"/>
      <c r="N1057" s="7"/>
      <c r="O1057" s="7"/>
      <c r="P1057" s="7"/>
      <c r="Q1057" s="7"/>
    </row>
    <row r="1058" spans="12:17" ht="15.75" customHeight="1">
      <c r="L1058" s="7"/>
      <c r="M1058" s="7"/>
      <c r="N1058" s="7"/>
      <c r="O1058" s="7"/>
      <c r="P1058" s="7"/>
      <c r="Q1058" s="7"/>
    </row>
    <row r="1059" spans="12:17" ht="15.75" customHeight="1">
      <c r="L1059" s="7"/>
      <c r="M1059" s="7"/>
      <c r="N1059" s="7"/>
      <c r="O1059" s="7"/>
      <c r="P1059" s="7"/>
      <c r="Q1059" s="7"/>
    </row>
    <row r="1060" spans="12:17" ht="15.75" customHeight="1">
      <c r="L1060" s="7"/>
      <c r="M1060" s="7"/>
      <c r="N1060" s="7"/>
      <c r="O1060" s="7"/>
      <c r="P1060" s="7"/>
      <c r="Q1060" s="7"/>
    </row>
    <row r="1061" spans="12:17" ht="15.75" customHeight="1">
      <c r="L1061" s="7"/>
      <c r="M1061" s="7"/>
      <c r="N1061" s="7"/>
      <c r="O1061" s="7"/>
      <c r="P1061" s="7"/>
      <c r="Q1061" s="7"/>
    </row>
    <row r="1062" spans="12:17" ht="15.75" customHeight="1">
      <c r="L1062" s="7"/>
      <c r="M1062" s="7"/>
      <c r="N1062" s="7"/>
      <c r="O1062" s="7"/>
      <c r="P1062" s="7"/>
      <c r="Q1062" s="7"/>
    </row>
    <row r="1063" spans="12:17" ht="15.75" customHeight="1">
      <c r="L1063" s="7"/>
      <c r="M1063" s="7"/>
      <c r="N1063" s="7"/>
      <c r="O1063" s="7"/>
      <c r="P1063" s="7"/>
      <c r="Q1063" s="7"/>
    </row>
    <row r="1064" spans="12:17" ht="15.75" customHeight="1">
      <c r="L1064" s="7"/>
      <c r="M1064" s="7"/>
      <c r="N1064" s="7"/>
      <c r="O1064" s="7"/>
      <c r="P1064" s="7"/>
      <c r="Q1064" s="7"/>
    </row>
    <row r="1065" spans="12:17" ht="15.75" customHeight="1">
      <c r="L1065" s="7"/>
      <c r="M1065" s="7"/>
      <c r="N1065" s="7"/>
      <c r="O1065" s="7"/>
      <c r="P1065" s="7"/>
      <c r="Q1065" s="7"/>
    </row>
    <row r="1066" spans="12:17" ht="15.75" customHeight="1">
      <c r="L1066" s="7"/>
      <c r="M1066" s="7"/>
      <c r="N1066" s="7"/>
      <c r="O1066" s="7"/>
      <c r="P1066" s="7"/>
      <c r="Q1066" s="7"/>
    </row>
    <row r="1067" spans="12:17" ht="15.75" customHeight="1">
      <c r="L1067" s="7"/>
      <c r="M1067" s="7"/>
      <c r="N1067" s="7"/>
      <c r="O1067" s="7"/>
      <c r="P1067" s="7"/>
      <c r="Q1067" s="7"/>
    </row>
    <row r="1068" spans="12:17" ht="15.75" customHeight="1">
      <c r="L1068" s="7"/>
      <c r="M1068" s="7"/>
      <c r="N1068" s="7"/>
      <c r="O1068" s="7"/>
      <c r="P1068" s="7"/>
      <c r="Q1068" s="7"/>
    </row>
    <row r="1069" spans="12:17" ht="15.75" customHeight="1">
      <c r="L1069" s="7"/>
      <c r="M1069" s="7"/>
      <c r="N1069" s="7"/>
      <c r="O1069" s="7"/>
      <c r="P1069" s="7"/>
      <c r="Q1069" s="7"/>
    </row>
    <row r="1070" spans="12:17" ht="15.75" customHeight="1">
      <c r="L1070" s="7"/>
      <c r="M1070" s="7"/>
      <c r="N1070" s="7"/>
      <c r="O1070" s="7"/>
      <c r="P1070" s="7"/>
      <c r="Q1070" s="7"/>
    </row>
    <row r="1071" spans="12:17" ht="15.75" customHeight="1">
      <c r="L1071" s="7"/>
      <c r="M1071" s="7"/>
      <c r="N1071" s="7"/>
      <c r="O1071" s="7"/>
      <c r="P1071" s="7"/>
      <c r="Q1071" s="7"/>
    </row>
    <row r="1072" spans="12:17" ht="15.75" customHeight="1">
      <c r="L1072" s="7"/>
      <c r="M1072" s="7"/>
      <c r="N1072" s="7"/>
      <c r="O1072" s="7"/>
      <c r="P1072" s="7"/>
      <c r="Q1072" s="7"/>
    </row>
    <row r="1073" spans="12:17" ht="15.75" customHeight="1">
      <c r="L1073" s="7"/>
      <c r="M1073" s="7"/>
      <c r="N1073" s="7"/>
      <c r="O1073" s="7"/>
      <c r="P1073" s="7"/>
      <c r="Q1073" s="7"/>
    </row>
    <row r="1074" spans="12:17" ht="15.75" customHeight="1">
      <c r="L1074" s="7"/>
      <c r="M1074" s="7"/>
      <c r="N1074" s="7"/>
      <c r="O1074" s="7"/>
      <c r="P1074" s="7"/>
      <c r="Q1074" s="7"/>
    </row>
    <row r="1075" spans="12:17" ht="15.75" customHeight="1">
      <c r="L1075" s="7"/>
      <c r="M1075" s="7"/>
      <c r="N1075" s="7"/>
      <c r="O1075" s="7"/>
      <c r="P1075" s="7"/>
      <c r="Q1075" s="7"/>
    </row>
    <row r="1076" spans="12:17" ht="15.75" customHeight="1">
      <c r="L1076" s="7"/>
      <c r="M1076" s="7"/>
      <c r="N1076" s="7"/>
      <c r="O1076" s="7"/>
      <c r="P1076" s="7"/>
      <c r="Q1076" s="7"/>
    </row>
    <row r="1077" spans="12:17" ht="15.75" customHeight="1">
      <c r="L1077" s="7"/>
      <c r="M1077" s="7"/>
      <c r="N1077" s="7"/>
      <c r="O1077" s="7"/>
      <c r="P1077" s="7"/>
      <c r="Q1077" s="7"/>
    </row>
    <row r="1078" spans="12:17" ht="15.75" customHeight="1">
      <c r="L1078" s="7"/>
      <c r="M1078" s="7"/>
      <c r="N1078" s="7"/>
      <c r="O1078" s="7"/>
      <c r="P1078" s="7"/>
      <c r="Q1078" s="7"/>
    </row>
    <row r="1079" spans="12:17" ht="15.75" customHeight="1">
      <c r="L1079" s="7"/>
      <c r="M1079" s="7"/>
      <c r="N1079" s="7"/>
      <c r="O1079" s="7"/>
      <c r="P1079" s="7"/>
      <c r="Q1079" s="7"/>
    </row>
    <row r="1080" spans="12:17" ht="15.75" customHeight="1">
      <c r="L1080" s="7"/>
      <c r="M1080" s="7"/>
      <c r="N1080" s="7"/>
      <c r="O1080" s="7"/>
      <c r="P1080" s="7"/>
      <c r="Q1080" s="7"/>
    </row>
    <row r="1081" spans="12:17" ht="15.75" customHeight="1">
      <c r="L1081" s="7"/>
      <c r="M1081" s="7"/>
      <c r="N1081" s="7"/>
      <c r="O1081" s="7"/>
      <c r="P1081" s="7"/>
      <c r="Q1081" s="7"/>
    </row>
    <row r="1082" spans="12:17" ht="15.75" customHeight="1">
      <c r="L1082" s="7"/>
      <c r="M1082" s="7"/>
      <c r="N1082" s="7"/>
      <c r="O1082" s="7"/>
      <c r="P1082" s="7"/>
      <c r="Q1082" s="7"/>
    </row>
    <row r="1083" spans="12:17" ht="15.75" customHeight="1">
      <c r="L1083" s="7"/>
      <c r="M1083" s="7"/>
      <c r="N1083" s="7"/>
      <c r="O1083" s="7"/>
      <c r="P1083" s="7"/>
      <c r="Q1083" s="7"/>
    </row>
    <row r="1084" spans="12:17" ht="15.75" customHeight="1">
      <c r="L1084" s="7"/>
      <c r="M1084" s="7"/>
      <c r="N1084" s="7"/>
      <c r="O1084" s="7"/>
      <c r="P1084" s="7"/>
      <c r="Q1084" s="7"/>
    </row>
    <row r="1085" spans="12:17" ht="15.75" customHeight="1">
      <c r="L1085" s="7"/>
      <c r="M1085" s="7"/>
      <c r="N1085" s="7"/>
      <c r="O1085" s="7"/>
      <c r="P1085" s="7"/>
      <c r="Q1085" s="7"/>
    </row>
    <row r="1086" spans="12:17" ht="15.75" customHeight="1">
      <c r="L1086" s="7"/>
      <c r="M1086" s="7"/>
      <c r="N1086" s="7"/>
      <c r="O1086" s="7"/>
      <c r="P1086" s="7"/>
      <c r="Q1086" s="7"/>
    </row>
    <row r="1087" spans="12:17" ht="15.75" customHeight="1">
      <c r="L1087" s="7"/>
      <c r="M1087" s="7"/>
      <c r="N1087" s="7"/>
      <c r="O1087" s="7"/>
      <c r="P1087" s="7"/>
      <c r="Q1087" s="7"/>
    </row>
    <row r="1088" spans="12:17" ht="15.75" customHeight="1">
      <c r="L1088" s="7"/>
      <c r="M1088" s="7"/>
      <c r="N1088" s="7"/>
      <c r="O1088" s="7"/>
      <c r="P1088" s="7"/>
      <c r="Q1088" s="7"/>
    </row>
    <row r="1089" spans="12:17" ht="15.75" customHeight="1">
      <c r="L1089" s="7"/>
      <c r="M1089" s="7"/>
      <c r="N1089" s="7"/>
      <c r="O1089" s="7"/>
      <c r="P1089" s="7"/>
      <c r="Q1089" s="7"/>
    </row>
    <row r="1090" spans="12:17" ht="15.75" customHeight="1">
      <c r="L1090" s="7"/>
      <c r="M1090" s="7"/>
      <c r="N1090" s="7"/>
      <c r="O1090" s="7"/>
      <c r="P1090" s="7"/>
      <c r="Q1090" s="7"/>
    </row>
    <row r="1091" spans="12:17" ht="15.75" customHeight="1">
      <c r="L1091" s="7"/>
      <c r="M1091" s="7"/>
      <c r="N1091" s="7"/>
      <c r="O1091" s="7"/>
      <c r="P1091" s="7"/>
      <c r="Q1091" s="7"/>
    </row>
    <row r="1092" spans="12:17" ht="15.75" customHeight="1">
      <c r="L1092" s="7"/>
      <c r="M1092" s="7"/>
      <c r="N1092" s="7"/>
      <c r="O1092" s="7"/>
      <c r="P1092" s="7"/>
      <c r="Q1092" s="7"/>
    </row>
    <row r="1093" spans="12:17" ht="15.75" customHeight="1">
      <c r="L1093" s="7"/>
      <c r="M1093" s="7"/>
      <c r="N1093" s="7"/>
      <c r="O1093" s="7"/>
      <c r="P1093" s="7"/>
      <c r="Q1093" s="7"/>
    </row>
    <row r="1094" spans="12:17" ht="15.75" customHeight="1">
      <c r="L1094" s="7"/>
      <c r="M1094" s="7"/>
      <c r="N1094" s="7"/>
      <c r="O1094" s="7"/>
      <c r="P1094" s="7"/>
      <c r="Q1094" s="7"/>
    </row>
    <row r="1095" spans="12:17" ht="15.75" customHeight="1">
      <c r="L1095" s="7"/>
      <c r="M1095" s="7"/>
      <c r="N1095" s="7"/>
      <c r="O1095" s="7"/>
      <c r="P1095" s="7"/>
      <c r="Q1095" s="7"/>
    </row>
    <row r="1096" spans="12:17" ht="15.75" customHeight="1">
      <c r="L1096" s="7"/>
      <c r="M1096" s="7"/>
      <c r="N1096" s="7"/>
      <c r="O1096" s="7"/>
      <c r="P1096" s="7"/>
      <c r="Q1096" s="7"/>
    </row>
    <row r="1097" spans="12:17" ht="15.75" customHeight="1">
      <c r="L1097" s="7"/>
      <c r="M1097" s="7"/>
      <c r="N1097" s="7"/>
      <c r="O1097" s="7"/>
      <c r="P1097" s="7"/>
      <c r="Q1097" s="7"/>
    </row>
    <row r="1098" spans="12:17" ht="15.75" customHeight="1">
      <c r="L1098" s="7"/>
      <c r="M1098" s="7"/>
      <c r="N1098" s="7"/>
      <c r="O1098" s="7"/>
      <c r="P1098" s="7"/>
      <c r="Q1098" s="7"/>
    </row>
    <row r="1099" spans="12:17" ht="15.75" customHeight="1">
      <c r="L1099" s="7"/>
      <c r="M1099" s="7"/>
      <c r="N1099" s="7"/>
      <c r="O1099" s="7"/>
      <c r="P1099" s="7"/>
      <c r="Q1099" s="7"/>
    </row>
    <row r="1100" spans="12:17" ht="15.75" customHeight="1">
      <c r="L1100" s="7"/>
      <c r="M1100" s="7"/>
      <c r="N1100" s="7"/>
      <c r="O1100" s="7"/>
      <c r="P1100" s="7"/>
      <c r="Q1100" s="7"/>
    </row>
    <row r="1101" spans="12:17" ht="15.75" customHeight="1">
      <c r="L1101" s="7"/>
      <c r="M1101" s="7"/>
      <c r="N1101" s="7"/>
      <c r="O1101" s="7"/>
      <c r="P1101" s="7"/>
      <c r="Q1101" s="7"/>
    </row>
    <row r="1102" spans="12:17" ht="15.75" customHeight="1">
      <c r="L1102" s="7"/>
      <c r="M1102" s="7"/>
      <c r="N1102" s="7"/>
      <c r="O1102" s="7"/>
      <c r="P1102" s="7"/>
      <c r="Q1102" s="7"/>
    </row>
    <row r="1103" spans="12:17" ht="15.75" customHeight="1">
      <c r="L1103" s="7"/>
      <c r="M1103" s="7"/>
      <c r="N1103" s="7"/>
      <c r="O1103" s="7"/>
      <c r="P1103" s="7"/>
      <c r="Q1103" s="7"/>
    </row>
    <row r="1104" spans="12:17" ht="15.75" customHeight="1">
      <c r="L1104" s="7"/>
      <c r="M1104" s="7"/>
      <c r="N1104" s="7"/>
      <c r="O1104" s="7"/>
      <c r="P1104" s="7"/>
      <c r="Q1104" s="7"/>
    </row>
    <row r="1105" spans="12:17" ht="15.75" customHeight="1">
      <c r="L1105" s="7"/>
      <c r="M1105" s="7"/>
      <c r="N1105" s="7"/>
      <c r="O1105" s="7"/>
      <c r="P1105" s="7"/>
      <c r="Q1105" s="7"/>
    </row>
    <row r="1106" spans="12:17" ht="15.75" customHeight="1">
      <c r="L1106" s="7"/>
      <c r="M1106" s="7"/>
      <c r="N1106" s="7"/>
      <c r="O1106" s="7"/>
      <c r="P1106" s="7"/>
      <c r="Q1106" s="7"/>
    </row>
    <row r="1107" spans="12:17" ht="15.75" customHeight="1">
      <c r="L1107" s="7"/>
      <c r="M1107" s="7"/>
      <c r="N1107" s="7"/>
      <c r="O1107" s="7"/>
      <c r="P1107" s="7"/>
      <c r="Q1107" s="7"/>
    </row>
    <row r="1108" spans="12:17" ht="15.75" customHeight="1">
      <c r="L1108" s="7"/>
      <c r="M1108" s="7"/>
      <c r="N1108" s="7"/>
      <c r="O1108" s="7"/>
      <c r="P1108" s="7"/>
      <c r="Q1108" s="7"/>
    </row>
    <row r="1109" spans="12:17" ht="15.75" customHeight="1">
      <c r="L1109" s="7"/>
      <c r="M1109" s="7"/>
      <c r="N1109" s="7"/>
      <c r="O1109" s="7"/>
      <c r="P1109" s="7"/>
      <c r="Q1109" s="7"/>
    </row>
    <row r="1110" spans="12:17" ht="15.75" customHeight="1">
      <c r="L1110" s="7"/>
      <c r="M1110" s="7"/>
      <c r="N1110" s="7"/>
      <c r="O1110" s="7"/>
      <c r="P1110" s="7"/>
      <c r="Q1110" s="7"/>
    </row>
    <row r="1111" spans="12:17" ht="15.75" customHeight="1">
      <c r="L1111" s="7"/>
      <c r="M1111" s="7"/>
      <c r="N1111" s="7"/>
      <c r="O1111" s="7"/>
      <c r="P1111" s="7"/>
      <c r="Q1111" s="7"/>
    </row>
    <row r="1112" spans="12:17" ht="15.75" customHeight="1">
      <c r="L1112" s="7"/>
      <c r="M1112" s="7"/>
      <c r="N1112" s="7"/>
      <c r="O1112" s="7"/>
      <c r="P1112" s="7"/>
      <c r="Q1112" s="7"/>
    </row>
    <row r="1113" spans="12:17" ht="15.75" customHeight="1">
      <c r="L1113" s="7"/>
      <c r="M1113" s="7"/>
      <c r="N1113" s="7"/>
      <c r="O1113" s="7"/>
      <c r="P1113" s="7"/>
      <c r="Q1113" s="7"/>
    </row>
    <row r="1114" spans="12:17" ht="15.75" customHeight="1">
      <c r="L1114" s="7"/>
      <c r="M1114" s="7"/>
      <c r="N1114" s="7"/>
      <c r="O1114" s="7"/>
      <c r="P1114" s="7"/>
      <c r="Q1114" s="7"/>
    </row>
    <row r="1115" spans="12:17" ht="15.75" customHeight="1">
      <c r="L1115" s="7"/>
      <c r="M1115" s="7"/>
      <c r="N1115" s="7"/>
      <c r="O1115" s="7"/>
      <c r="P1115" s="7"/>
      <c r="Q1115" s="7"/>
    </row>
    <row r="1116" spans="12:17" ht="15.75" customHeight="1">
      <c r="L1116" s="7"/>
      <c r="M1116" s="7"/>
      <c r="N1116" s="7"/>
      <c r="O1116" s="7"/>
      <c r="P1116" s="7"/>
      <c r="Q1116" s="7"/>
    </row>
    <row r="1117" spans="12:17" ht="15.75" customHeight="1">
      <c r="L1117" s="7"/>
      <c r="M1117" s="7"/>
      <c r="N1117" s="7"/>
      <c r="O1117" s="7"/>
      <c r="P1117" s="7"/>
      <c r="Q1117" s="7"/>
    </row>
    <row r="1118" spans="12:17" ht="15.75" customHeight="1">
      <c r="L1118" s="7"/>
      <c r="M1118" s="7"/>
      <c r="N1118" s="7"/>
      <c r="O1118" s="7"/>
      <c r="P1118" s="7"/>
      <c r="Q1118" s="7"/>
    </row>
    <row r="1119" spans="12:17" ht="15.75" customHeight="1">
      <c r="L1119" s="7"/>
      <c r="M1119" s="7"/>
      <c r="N1119" s="7"/>
      <c r="O1119" s="7"/>
      <c r="P1119" s="7"/>
      <c r="Q1119" s="7"/>
    </row>
    <row r="1120" spans="12:17" ht="15.75" customHeight="1">
      <c r="L1120" s="7"/>
      <c r="M1120" s="7"/>
      <c r="N1120" s="7"/>
      <c r="O1120" s="7"/>
      <c r="P1120" s="7"/>
      <c r="Q1120" s="7"/>
    </row>
    <row r="1121" spans="12:17" ht="15.75" customHeight="1">
      <c r="L1121" s="7"/>
      <c r="M1121" s="7"/>
      <c r="N1121" s="7"/>
      <c r="O1121" s="7"/>
      <c r="P1121" s="7"/>
      <c r="Q1121" s="7"/>
    </row>
    <row r="1122" spans="12:17" ht="15.75" customHeight="1">
      <c r="L1122" s="7"/>
      <c r="M1122" s="7"/>
      <c r="N1122" s="7"/>
      <c r="O1122" s="7"/>
      <c r="P1122" s="7"/>
      <c r="Q1122" s="7"/>
    </row>
    <row r="1123" spans="12:17" ht="15.75" customHeight="1">
      <c r="L1123" s="7"/>
      <c r="M1123" s="7"/>
      <c r="N1123" s="7"/>
      <c r="O1123" s="7"/>
      <c r="P1123" s="7"/>
      <c r="Q1123" s="7"/>
    </row>
    <row r="1124" spans="12:17" ht="15.75" customHeight="1">
      <c r="L1124" s="7"/>
      <c r="M1124" s="7"/>
      <c r="N1124" s="7"/>
      <c r="O1124" s="7"/>
      <c r="P1124" s="7"/>
      <c r="Q1124" s="7"/>
    </row>
    <row r="1125" spans="12:17" ht="15.75" customHeight="1">
      <c r="L1125" s="7"/>
      <c r="M1125" s="7"/>
      <c r="N1125" s="7"/>
      <c r="O1125" s="7"/>
      <c r="P1125" s="7"/>
      <c r="Q1125" s="7"/>
    </row>
    <row r="1126" spans="12:17" ht="15.75" customHeight="1">
      <c r="L1126" s="7"/>
      <c r="M1126" s="7"/>
      <c r="N1126" s="7"/>
      <c r="O1126" s="7"/>
      <c r="P1126" s="7"/>
      <c r="Q1126" s="7"/>
    </row>
    <row r="1127" spans="12:17" ht="15.75" customHeight="1">
      <c r="L1127" s="7"/>
      <c r="M1127" s="7"/>
      <c r="N1127" s="7"/>
      <c r="O1127" s="7"/>
      <c r="P1127" s="7"/>
      <c r="Q1127" s="7"/>
    </row>
    <row r="1128" spans="12:17" ht="15.75" customHeight="1">
      <c r="L1128" s="7"/>
      <c r="M1128" s="7"/>
      <c r="N1128" s="7"/>
      <c r="O1128" s="7"/>
      <c r="P1128" s="7"/>
      <c r="Q1128" s="7"/>
    </row>
    <row r="1129" spans="12:17" ht="15.75" customHeight="1">
      <c r="L1129" s="7"/>
      <c r="M1129" s="7"/>
      <c r="N1129" s="7"/>
      <c r="O1129" s="7"/>
      <c r="P1129" s="7"/>
      <c r="Q1129" s="7"/>
    </row>
    <row r="1130" spans="12:17" ht="15.75" customHeight="1">
      <c r="L1130" s="7"/>
      <c r="M1130" s="7"/>
      <c r="N1130" s="7"/>
      <c r="O1130" s="7"/>
      <c r="P1130" s="7"/>
      <c r="Q1130" s="7"/>
    </row>
    <row r="1131" spans="12:17" ht="15.75" customHeight="1">
      <c r="L1131" s="7"/>
      <c r="M1131" s="7"/>
      <c r="N1131" s="7"/>
      <c r="O1131" s="7"/>
      <c r="P1131" s="7"/>
      <c r="Q1131" s="7"/>
    </row>
    <row r="1132" spans="12:17" ht="15.75" customHeight="1">
      <c r="L1132" s="7"/>
      <c r="M1132" s="7"/>
      <c r="N1132" s="7"/>
      <c r="O1132" s="7"/>
      <c r="P1132" s="7"/>
      <c r="Q1132" s="7"/>
    </row>
    <row r="1133" spans="12:17" ht="15.75" customHeight="1">
      <c r="L1133" s="7"/>
      <c r="M1133" s="7"/>
      <c r="N1133" s="7"/>
      <c r="O1133" s="7"/>
      <c r="P1133" s="7"/>
      <c r="Q1133" s="7"/>
    </row>
    <row r="1134" spans="12:17" ht="15.75" customHeight="1">
      <c r="L1134" s="7"/>
      <c r="M1134" s="7"/>
      <c r="N1134" s="7"/>
      <c r="O1134" s="7"/>
      <c r="P1134" s="7"/>
      <c r="Q1134" s="7"/>
    </row>
    <row r="1135" spans="12:17" ht="15.75" customHeight="1">
      <c r="L1135" s="7"/>
      <c r="M1135" s="7"/>
      <c r="N1135" s="7"/>
      <c r="O1135" s="7"/>
      <c r="P1135" s="7"/>
      <c r="Q1135" s="7"/>
    </row>
    <row r="1136" spans="12:17" ht="15.75" customHeight="1">
      <c r="L1136" s="7"/>
      <c r="M1136" s="7"/>
      <c r="N1136" s="7"/>
      <c r="O1136" s="7"/>
      <c r="P1136" s="7"/>
      <c r="Q1136" s="7"/>
    </row>
    <row r="1137" spans="12:17" ht="15.75" customHeight="1">
      <c r="L1137" s="7"/>
      <c r="M1137" s="7"/>
      <c r="N1137" s="7"/>
      <c r="O1137" s="7"/>
      <c r="P1137" s="7"/>
      <c r="Q1137" s="7"/>
    </row>
    <row r="1138" spans="12:17" ht="15.75" customHeight="1">
      <c r="L1138" s="7"/>
      <c r="M1138" s="7"/>
      <c r="N1138" s="7"/>
      <c r="O1138" s="7"/>
      <c r="P1138" s="7"/>
      <c r="Q1138" s="7"/>
    </row>
    <row r="1139" spans="12:17" ht="15.75" customHeight="1">
      <c r="L1139" s="7"/>
      <c r="M1139" s="7"/>
      <c r="N1139" s="7"/>
      <c r="O1139" s="7"/>
      <c r="P1139" s="7"/>
      <c r="Q1139" s="7"/>
    </row>
    <row r="1140" spans="12:17" ht="15.75" customHeight="1">
      <c r="L1140" s="7"/>
      <c r="M1140" s="7"/>
      <c r="N1140" s="7"/>
      <c r="O1140" s="7"/>
      <c r="P1140" s="7"/>
      <c r="Q1140" s="7"/>
    </row>
    <row r="1141" spans="12:17" ht="15.75" customHeight="1">
      <c r="L1141" s="7"/>
      <c r="M1141" s="7"/>
      <c r="N1141" s="7"/>
      <c r="O1141" s="7"/>
      <c r="P1141" s="7"/>
      <c r="Q1141" s="7"/>
    </row>
    <row r="1142" spans="12:17" ht="15.75" customHeight="1">
      <c r="L1142" s="7"/>
      <c r="M1142" s="7"/>
      <c r="N1142" s="7"/>
      <c r="O1142" s="7"/>
      <c r="P1142" s="7"/>
      <c r="Q1142" s="7"/>
    </row>
    <row r="1143" spans="12:17" ht="15.75" customHeight="1">
      <c r="L1143" s="7"/>
      <c r="M1143" s="7"/>
      <c r="N1143" s="7"/>
      <c r="O1143" s="7"/>
      <c r="P1143" s="7"/>
      <c r="Q1143" s="7"/>
    </row>
    <row r="1144" spans="12:17" ht="15.75" customHeight="1">
      <c r="L1144" s="7"/>
      <c r="M1144" s="7"/>
      <c r="N1144" s="7"/>
      <c r="O1144" s="7"/>
      <c r="P1144" s="7"/>
      <c r="Q1144" s="7"/>
    </row>
    <row r="1145" spans="12:17" ht="15.75" customHeight="1">
      <c r="L1145" s="7"/>
      <c r="M1145" s="7"/>
      <c r="N1145" s="7"/>
      <c r="O1145" s="7"/>
      <c r="P1145" s="7"/>
      <c r="Q1145" s="7"/>
    </row>
    <row r="1146" spans="12:17" ht="15.75" customHeight="1">
      <c r="L1146" s="7"/>
      <c r="M1146" s="7"/>
      <c r="N1146" s="7"/>
      <c r="O1146" s="7"/>
      <c r="P1146" s="7"/>
      <c r="Q1146" s="7"/>
    </row>
    <row r="1147" spans="12:17" ht="15.75" customHeight="1">
      <c r="L1147" s="7"/>
      <c r="M1147" s="7"/>
      <c r="N1147" s="7"/>
      <c r="O1147" s="7"/>
      <c r="P1147" s="7"/>
      <c r="Q1147" s="7"/>
    </row>
    <row r="1148" spans="12:17" ht="15.75" customHeight="1">
      <c r="L1148" s="7"/>
      <c r="M1148" s="7"/>
      <c r="N1148" s="7"/>
      <c r="O1148" s="7"/>
      <c r="P1148" s="7"/>
      <c r="Q1148" s="7"/>
    </row>
    <row r="1149" spans="12:17" ht="15.75" customHeight="1">
      <c r="L1149" s="7"/>
      <c r="M1149" s="7"/>
      <c r="N1149" s="7"/>
      <c r="O1149" s="7"/>
      <c r="P1149" s="7"/>
      <c r="Q1149" s="7"/>
    </row>
    <row r="1150" spans="12:17" ht="15.75" customHeight="1">
      <c r="L1150" s="7"/>
      <c r="M1150" s="7"/>
      <c r="N1150" s="7"/>
      <c r="O1150" s="7"/>
      <c r="P1150" s="7"/>
      <c r="Q1150" s="7"/>
    </row>
    <row r="1151" spans="12:17" ht="15.75" customHeight="1">
      <c r="L1151" s="7"/>
      <c r="M1151" s="7"/>
      <c r="N1151" s="7"/>
      <c r="O1151" s="7"/>
      <c r="P1151" s="7"/>
      <c r="Q1151" s="7"/>
    </row>
    <row r="1152" spans="12:17" ht="15.75" customHeight="1">
      <c r="L1152" s="7"/>
      <c r="M1152" s="7"/>
      <c r="N1152" s="7"/>
      <c r="O1152" s="7"/>
      <c r="P1152" s="7"/>
      <c r="Q1152" s="7"/>
    </row>
    <row r="1153" spans="12:17" ht="15.75" customHeight="1">
      <c r="L1153" s="7"/>
      <c r="M1153" s="7"/>
      <c r="N1153" s="7"/>
      <c r="O1153" s="7"/>
      <c r="P1153" s="7"/>
      <c r="Q1153" s="7"/>
    </row>
    <row r="1154" spans="12:17" ht="15.75" customHeight="1">
      <c r="L1154" s="7"/>
      <c r="M1154" s="7"/>
      <c r="N1154" s="7"/>
      <c r="O1154" s="7"/>
      <c r="P1154" s="7"/>
      <c r="Q1154" s="7"/>
    </row>
    <row r="1155" spans="12:17" ht="15.75" customHeight="1">
      <c r="L1155" s="7"/>
      <c r="M1155" s="7"/>
      <c r="N1155" s="7"/>
      <c r="O1155" s="7"/>
      <c r="P1155" s="7"/>
      <c r="Q1155" s="7"/>
    </row>
    <row r="1156" spans="12:17" ht="15.75" customHeight="1">
      <c r="L1156" s="7"/>
      <c r="M1156" s="7"/>
      <c r="N1156" s="7"/>
      <c r="O1156" s="7"/>
      <c r="P1156" s="7"/>
      <c r="Q1156" s="7"/>
    </row>
    <row r="1157" spans="12:17" ht="15.75" customHeight="1">
      <c r="L1157" s="7"/>
      <c r="M1157" s="7"/>
      <c r="N1157" s="7"/>
      <c r="O1157" s="7"/>
      <c r="P1157" s="7"/>
      <c r="Q1157" s="7"/>
    </row>
    <row r="1158" spans="12:17" ht="15.75" customHeight="1">
      <c r="L1158" s="7"/>
      <c r="M1158" s="7"/>
      <c r="N1158" s="7"/>
      <c r="O1158" s="7"/>
      <c r="P1158" s="7"/>
      <c r="Q1158" s="7"/>
    </row>
    <row r="1159" spans="12:17" ht="15.75" customHeight="1">
      <c r="L1159" s="7"/>
      <c r="M1159" s="7"/>
      <c r="N1159" s="7"/>
      <c r="O1159" s="7"/>
      <c r="P1159" s="7"/>
      <c r="Q1159" s="7"/>
    </row>
    <row r="1160" spans="12:17" ht="15.75" customHeight="1">
      <c r="L1160" s="7"/>
      <c r="M1160" s="7"/>
      <c r="N1160" s="7"/>
      <c r="O1160" s="7"/>
      <c r="P1160" s="7"/>
      <c r="Q1160" s="7"/>
    </row>
    <row r="1161" spans="12:17" ht="15.75" customHeight="1">
      <c r="L1161" s="7"/>
      <c r="M1161" s="7"/>
      <c r="N1161" s="7"/>
      <c r="O1161" s="7"/>
      <c r="P1161" s="7"/>
      <c r="Q1161" s="7"/>
    </row>
    <row r="1162" spans="12:17" ht="15.75" customHeight="1">
      <c r="L1162" s="7"/>
      <c r="M1162" s="7"/>
      <c r="N1162" s="7"/>
      <c r="O1162" s="7"/>
      <c r="P1162" s="7"/>
      <c r="Q1162" s="7"/>
    </row>
    <row r="1163" spans="12:17" ht="15.75" customHeight="1">
      <c r="L1163" s="7"/>
      <c r="M1163" s="7"/>
      <c r="N1163" s="7"/>
      <c r="O1163" s="7"/>
      <c r="P1163" s="7"/>
      <c r="Q1163" s="7"/>
    </row>
    <row r="1164" spans="12:17" ht="15.75" customHeight="1">
      <c r="L1164" s="7"/>
      <c r="M1164" s="7"/>
      <c r="N1164" s="7"/>
      <c r="O1164" s="7"/>
      <c r="P1164" s="7"/>
      <c r="Q1164" s="7"/>
    </row>
    <row r="1165" spans="12:17" ht="15.75" customHeight="1">
      <c r="L1165" s="7"/>
      <c r="M1165" s="7"/>
      <c r="N1165" s="7"/>
      <c r="O1165" s="7"/>
      <c r="P1165" s="7"/>
      <c r="Q1165" s="7"/>
    </row>
    <row r="1166" spans="12:17" ht="15.75" customHeight="1">
      <c r="L1166" s="7"/>
      <c r="M1166" s="7"/>
      <c r="N1166" s="7"/>
      <c r="O1166" s="7"/>
      <c r="P1166" s="7"/>
      <c r="Q1166" s="7"/>
    </row>
    <row r="1167" spans="12:17" ht="15.75" customHeight="1">
      <c r="L1167" s="7"/>
      <c r="M1167" s="7"/>
      <c r="N1167" s="7"/>
      <c r="O1167" s="7"/>
      <c r="P1167" s="7"/>
      <c r="Q1167" s="7"/>
    </row>
    <row r="1168" spans="12:17" ht="15.75" customHeight="1">
      <c r="L1168" s="7"/>
      <c r="M1168" s="7"/>
      <c r="N1168" s="7"/>
      <c r="O1168" s="7"/>
      <c r="P1168" s="7"/>
      <c r="Q1168" s="7"/>
    </row>
    <row r="1169" spans="12:17" ht="15.75" customHeight="1">
      <c r="L1169" s="7"/>
      <c r="M1169" s="7"/>
      <c r="N1169" s="7"/>
      <c r="O1169" s="7"/>
      <c r="P1169" s="7"/>
      <c r="Q1169" s="7"/>
    </row>
    <row r="1170" spans="12:17" ht="15.75" customHeight="1">
      <c r="L1170" s="7"/>
      <c r="M1170" s="7"/>
      <c r="N1170" s="7"/>
      <c r="O1170" s="7"/>
      <c r="P1170" s="7"/>
      <c r="Q1170" s="7"/>
    </row>
    <row r="1171" spans="12:17" ht="15.75" customHeight="1">
      <c r="L1171" s="7"/>
      <c r="M1171" s="7"/>
      <c r="N1171" s="7"/>
      <c r="O1171" s="7"/>
      <c r="P1171" s="7"/>
      <c r="Q1171" s="7"/>
    </row>
    <row r="1172" spans="12:17" ht="15.75" customHeight="1">
      <c r="L1172" s="7"/>
      <c r="M1172" s="7"/>
      <c r="N1172" s="7"/>
      <c r="O1172" s="7"/>
      <c r="P1172" s="7"/>
      <c r="Q1172" s="7"/>
    </row>
    <row r="1173" spans="12:17" ht="15.75" customHeight="1">
      <c r="L1173" s="7"/>
      <c r="M1173" s="7"/>
      <c r="N1173" s="7"/>
      <c r="O1173" s="7"/>
      <c r="P1173" s="7"/>
      <c r="Q1173" s="7"/>
    </row>
    <row r="1174" spans="12:17" ht="15.75" customHeight="1">
      <c r="L1174" s="7"/>
      <c r="M1174" s="7"/>
      <c r="N1174" s="7"/>
      <c r="O1174" s="7"/>
      <c r="P1174" s="7"/>
      <c r="Q1174" s="7"/>
    </row>
    <row r="1175" spans="12:17" ht="15.75" customHeight="1">
      <c r="L1175" s="7"/>
      <c r="M1175" s="7"/>
      <c r="N1175" s="7"/>
      <c r="O1175" s="7"/>
      <c r="P1175" s="7"/>
      <c r="Q1175" s="7"/>
    </row>
    <row r="1176" spans="12:17" ht="15.75" customHeight="1">
      <c r="L1176" s="7"/>
      <c r="M1176" s="7"/>
      <c r="N1176" s="7"/>
      <c r="O1176" s="7"/>
      <c r="P1176" s="7"/>
      <c r="Q1176" s="7"/>
    </row>
    <row r="1177" spans="12:17" ht="15.75" customHeight="1">
      <c r="L1177" s="7"/>
      <c r="M1177" s="7"/>
      <c r="N1177" s="7"/>
      <c r="O1177" s="7"/>
      <c r="P1177" s="7"/>
      <c r="Q1177" s="7"/>
    </row>
    <row r="1178" spans="12:17" ht="15.75" customHeight="1">
      <c r="L1178" s="7"/>
      <c r="M1178" s="7"/>
      <c r="N1178" s="7"/>
      <c r="O1178" s="7"/>
      <c r="P1178" s="7"/>
      <c r="Q1178" s="7"/>
    </row>
    <row r="1179" spans="12:17" ht="15.75" customHeight="1">
      <c r="L1179" s="7"/>
      <c r="M1179" s="7"/>
      <c r="N1179" s="7"/>
      <c r="O1179" s="7"/>
      <c r="P1179" s="7"/>
      <c r="Q1179" s="7"/>
    </row>
    <row r="1180" spans="12:17" ht="15.75" customHeight="1">
      <c r="L1180" s="7"/>
      <c r="M1180" s="7"/>
      <c r="N1180" s="7"/>
      <c r="O1180" s="7"/>
      <c r="P1180" s="7"/>
      <c r="Q1180" s="7"/>
    </row>
    <row r="1181" spans="12:17" ht="15.75" customHeight="1">
      <c r="L1181" s="7"/>
      <c r="M1181" s="7"/>
      <c r="N1181" s="7"/>
      <c r="O1181" s="7"/>
      <c r="P1181" s="7"/>
      <c r="Q1181" s="7"/>
    </row>
    <row r="1182" spans="12:17" ht="15.75" customHeight="1">
      <c r="L1182" s="7"/>
      <c r="M1182" s="7"/>
      <c r="N1182" s="7"/>
      <c r="O1182" s="7"/>
      <c r="P1182" s="7"/>
      <c r="Q1182" s="7"/>
    </row>
    <row r="1183" spans="12:17" ht="15.75" customHeight="1">
      <c r="L1183" s="7"/>
      <c r="M1183" s="7"/>
      <c r="N1183" s="7"/>
      <c r="O1183" s="7"/>
      <c r="P1183" s="7"/>
      <c r="Q1183" s="7"/>
    </row>
    <row r="1184" spans="12:17" ht="15.75" customHeight="1">
      <c r="L1184" s="7"/>
      <c r="M1184" s="7"/>
      <c r="N1184" s="7"/>
      <c r="O1184" s="7"/>
      <c r="P1184" s="7"/>
      <c r="Q1184" s="7"/>
    </row>
    <row r="1185" spans="12:17" ht="15.75" customHeight="1">
      <c r="L1185" s="7"/>
      <c r="M1185" s="7"/>
      <c r="N1185" s="7"/>
      <c r="O1185" s="7"/>
      <c r="P1185" s="7"/>
      <c r="Q1185" s="7"/>
    </row>
    <row r="1186" spans="12:17" ht="15.75" customHeight="1">
      <c r="L1186" s="7"/>
      <c r="M1186" s="7"/>
      <c r="N1186" s="7"/>
      <c r="O1186" s="7"/>
      <c r="P1186" s="7"/>
      <c r="Q1186" s="7"/>
    </row>
    <row r="1187" spans="12:17" ht="15.75" customHeight="1">
      <c r="L1187" s="7"/>
      <c r="M1187" s="7"/>
      <c r="N1187" s="7"/>
      <c r="O1187" s="7"/>
      <c r="P1187" s="7"/>
      <c r="Q1187" s="7"/>
    </row>
    <row r="1188" spans="12:17" ht="15.75" customHeight="1">
      <c r="L1188" s="7"/>
      <c r="M1188" s="7"/>
      <c r="N1188" s="7"/>
      <c r="O1188" s="7"/>
      <c r="P1188" s="7"/>
      <c r="Q1188" s="7"/>
    </row>
    <row r="1189" spans="12:17" ht="15.75" customHeight="1">
      <c r="L1189" s="7"/>
      <c r="M1189" s="7"/>
      <c r="N1189" s="7"/>
      <c r="O1189" s="7"/>
      <c r="P1189" s="7"/>
      <c r="Q1189" s="7"/>
    </row>
    <row r="1190" spans="12:17" ht="15.75" customHeight="1">
      <c r="L1190" s="7"/>
      <c r="M1190" s="7"/>
      <c r="N1190" s="7"/>
      <c r="O1190" s="7"/>
      <c r="P1190" s="7"/>
      <c r="Q1190" s="7"/>
    </row>
    <row r="1191" spans="12:17" ht="15.75" customHeight="1">
      <c r="L1191" s="7"/>
      <c r="M1191" s="7"/>
      <c r="N1191" s="7"/>
      <c r="O1191" s="7"/>
      <c r="P1191" s="7"/>
      <c r="Q1191" s="7"/>
    </row>
    <row r="1192" spans="12:17" ht="15.75" customHeight="1">
      <c r="L1192" s="7"/>
      <c r="M1192" s="7"/>
      <c r="N1192" s="7"/>
      <c r="O1192" s="7"/>
      <c r="P1192" s="7"/>
      <c r="Q1192" s="7"/>
    </row>
    <row r="1193" spans="12:17" ht="15.75" customHeight="1">
      <c r="L1193" s="7"/>
      <c r="M1193" s="7"/>
      <c r="N1193" s="7"/>
      <c r="O1193" s="7"/>
      <c r="P1193" s="7"/>
      <c r="Q1193" s="7"/>
    </row>
    <row r="1194" spans="12:17" ht="15.75" customHeight="1">
      <c r="L1194" s="7"/>
      <c r="M1194" s="7"/>
      <c r="N1194" s="7"/>
      <c r="O1194" s="7"/>
      <c r="P1194" s="7"/>
      <c r="Q1194" s="7"/>
    </row>
    <row r="1195" spans="12:17" ht="15.75" customHeight="1">
      <c r="L1195" s="7"/>
      <c r="M1195" s="7"/>
      <c r="N1195" s="7"/>
      <c r="O1195" s="7"/>
      <c r="P1195" s="7"/>
      <c r="Q1195" s="7"/>
    </row>
    <row r="1196" spans="12:17" ht="15.75" customHeight="1">
      <c r="L1196" s="7"/>
      <c r="M1196" s="7"/>
      <c r="N1196" s="7"/>
      <c r="O1196" s="7"/>
      <c r="P1196" s="7"/>
      <c r="Q1196" s="7"/>
    </row>
    <row r="1197" spans="12:17" ht="15.75" customHeight="1">
      <c r="L1197" s="7"/>
      <c r="M1197" s="7"/>
      <c r="N1197" s="7"/>
      <c r="O1197" s="7"/>
      <c r="P1197" s="7"/>
      <c r="Q1197" s="7"/>
    </row>
    <row r="1198" spans="12:17" ht="15.75" customHeight="1">
      <c r="L1198" s="7"/>
      <c r="M1198" s="7"/>
      <c r="N1198" s="7"/>
      <c r="O1198" s="7"/>
      <c r="P1198" s="7"/>
      <c r="Q1198" s="7"/>
    </row>
    <row r="1199" spans="12:17" ht="15.75" customHeight="1">
      <c r="L1199" s="7"/>
      <c r="M1199" s="7"/>
      <c r="N1199" s="7"/>
      <c r="O1199" s="7"/>
      <c r="P1199" s="7"/>
      <c r="Q1199" s="7"/>
    </row>
    <row r="1200" spans="12:17" ht="15.75" customHeight="1">
      <c r="L1200" s="7"/>
      <c r="M1200" s="7"/>
      <c r="N1200" s="7"/>
      <c r="O1200" s="7"/>
      <c r="P1200" s="7"/>
      <c r="Q1200" s="7"/>
    </row>
    <row r="1201" spans="12:17" ht="15.75" customHeight="1">
      <c r="L1201" s="7"/>
      <c r="M1201" s="7"/>
      <c r="N1201" s="7"/>
      <c r="O1201" s="7"/>
      <c r="P1201" s="7"/>
      <c r="Q1201" s="7"/>
    </row>
    <row r="1202" spans="12:17" ht="15.75" customHeight="1">
      <c r="L1202" s="7"/>
      <c r="M1202" s="7"/>
      <c r="N1202" s="7"/>
      <c r="O1202" s="7"/>
      <c r="P1202" s="7"/>
      <c r="Q1202" s="7"/>
    </row>
    <row r="1203" spans="12:17" ht="15.75" customHeight="1">
      <c r="L1203" s="7"/>
      <c r="M1203" s="7"/>
      <c r="N1203" s="7"/>
      <c r="O1203" s="7"/>
      <c r="P1203" s="7"/>
      <c r="Q1203" s="7"/>
    </row>
    <row r="1204" spans="12:17" ht="15.75" customHeight="1">
      <c r="L1204" s="7"/>
      <c r="M1204" s="7"/>
      <c r="N1204" s="7"/>
      <c r="O1204" s="7"/>
      <c r="P1204" s="7"/>
      <c r="Q1204" s="7"/>
    </row>
    <row r="1205" spans="12:17" ht="15.75" customHeight="1">
      <c r="L1205" s="7"/>
      <c r="M1205" s="7"/>
      <c r="N1205" s="7"/>
      <c r="O1205" s="7"/>
      <c r="P1205" s="7"/>
      <c r="Q1205" s="7"/>
    </row>
    <row r="1206" spans="12:17" ht="15.75" customHeight="1">
      <c r="L1206" s="7"/>
      <c r="M1206" s="7"/>
      <c r="N1206" s="7"/>
      <c r="O1206" s="7"/>
      <c r="P1206" s="7"/>
      <c r="Q1206" s="7"/>
    </row>
    <row r="1207" spans="12:17" ht="15.75" customHeight="1">
      <c r="L1207" s="7"/>
      <c r="M1207" s="7"/>
      <c r="N1207" s="7"/>
      <c r="O1207" s="7"/>
      <c r="P1207" s="7"/>
      <c r="Q1207" s="7"/>
    </row>
    <row r="1208" spans="12:17" ht="15.75" customHeight="1">
      <c r="L1208" s="7"/>
      <c r="M1208" s="7"/>
      <c r="N1208" s="7"/>
      <c r="O1208" s="7"/>
      <c r="P1208" s="7"/>
      <c r="Q1208" s="7"/>
    </row>
    <row r="1209" spans="12:17" ht="15.75" customHeight="1">
      <c r="L1209" s="7"/>
      <c r="M1209" s="7"/>
      <c r="N1209" s="7"/>
      <c r="O1209" s="7"/>
      <c r="P1209" s="7"/>
      <c r="Q1209" s="7"/>
    </row>
    <row r="1210" spans="12:17" ht="15.75" customHeight="1">
      <c r="L1210" s="7"/>
      <c r="M1210" s="7"/>
      <c r="N1210" s="7"/>
      <c r="O1210" s="7"/>
      <c r="P1210" s="7"/>
      <c r="Q1210" s="7"/>
    </row>
    <row r="1211" spans="12:17" ht="15.75" customHeight="1">
      <c r="L1211" s="7"/>
      <c r="M1211" s="7"/>
      <c r="N1211" s="7"/>
      <c r="O1211" s="7"/>
      <c r="P1211" s="7"/>
      <c r="Q1211" s="7"/>
    </row>
    <row r="1212" spans="12:17" ht="15.75" customHeight="1">
      <c r="L1212" s="7"/>
      <c r="M1212" s="7"/>
      <c r="N1212" s="7"/>
      <c r="O1212" s="7"/>
      <c r="P1212" s="7"/>
      <c r="Q1212" s="7"/>
    </row>
    <row r="1213" spans="12:17" ht="15.75" customHeight="1">
      <c r="L1213" s="7"/>
      <c r="M1213" s="7"/>
      <c r="N1213" s="7"/>
      <c r="O1213" s="7"/>
      <c r="P1213" s="7"/>
      <c r="Q1213" s="7"/>
    </row>
    <row r="1214" spans="12:17" ht="15.75" customHeight="1">
      <c r="L1214" s="7"/>
      <c r="M1214" s="7"/>
      <c r="N1214" s="7"/>
      <c r="O1214" s="7"/>
      <c r="P1214" s="7"/>
      <c r="Q1214" s="7"/>
    </row>
    <row r="1215" spans="12:17" ht="15.75" customHeight="1">
      <c r="L1215" s="7"/>
      <c r="M1215" s="7"/>
      <c r="N1215" s="7"/>
      <c r="O1215" s="7"/>
      <c r="P1215" s="7"/>
      <c r="Q1215" s="7"/>
    </row>
    <row r="1216" spans="12:17" ht="15.75" customHeight="1">
      <c r="L1216" s="7"/>
      <c r="M1216" s="7"/>
      <c r="N1216" s="7"/>
      <c r="O1216" s="7"/>
      <c r="P1216" s="7"/>
      <c r="Q1216" s="7"/>
    </row>
    <row r="1217" spans="12:17" ht="15.75" customHeight="1">
      <c r="L1217" s="7"/>
      <c r="M1217" s="7"/>
      <c r="N1217" s="7"/>
      <c r="O1217" s="7"/>
      <c r="P1217" s="7"/>
      <c r="Q1217" s="7"/>
    </row>
    <row r="1218" spans="12:17" ht="15.75" customHeight="1">
      <c r="L1218" s="7"/>
      <c r="M1218" s="7"/>
      <c r="N1218" s="7"/>
      <c r="O1218" s="7"/>
      <c r="P1218" s="7"/>
      <c r="Q1218" s="7"/>
    </row>
    <row r="1219" spans="12:17" ht="15.75" customHeight="1">
      <c r="L1219" s="7"/>
      <c r="M1219" s="7"/>
      <c r="N1219" s="7"/>
      <c r="O1219" s="7"/>
      <c r="P1219" s="7"/>
      <c r="Q1219" s="7"/>
    </row>
    <row r="1220" spans="12:17" ht="15.75" customHeight="1">
      <c r="L1220" s="7"/>
      <c r="M1220" s="7"/>
      <c r="N1220" s="7"/>
      <c r="O1220" s="7"/>
      <c r="P1220" s="7"/>
      <c r="Q1220" s="7"/>
    </row>
    <row r="1221" spans="12:17" ht="15.75" customHeight="1">
      <c r="L1221" s="7"/>
      <c r="M1221" s="7"/>
      <c r="N1221" s="7"/>
      <c r="O1221" s="7"/>
      <c r="P1221" s="7"/>
      <c r="Q1221" s="7"/>
    </row>
    <row r="1222" spans="12:17" ht="15.75" customHeight="1">
      <c r="L1222" s="7"/>
      <c r="M1222" s="7"/>
      <c r="N1222" s="7"/>
      <c r="O1222" s="7"/>
      <c r="P1222" s="7"/>
      <c r="Q1222" s="7"/>
    </row>
    <row r="1223" spans="12:17" ht="15.75" customHeight="1">
      <c r="L1223" s="7"/>
      <c r="M1223" s="7"/>
      <c r="N1223" s="7"/>
      <c r="O1223" s="7"/>
      <c r="P1223" s="7"/>
      <c r="Q1223" s="7"/>
    </row>
    <row r="1224" spans="12:17" ht="15.75" customHeight="1">
      <c r="L1224" s="7"/>
      <c r="M1224" s="7"/>
      <c r="N1224" s="7"/>
      <c r="O1224" s="7"/>
      <c r="P1224" s="7"/>
      <c r="Q1224" s="7"/>
    </row>
    <row r="1225" spans="12:17" ht="15.75" customHeight="1">
      <c r="L1225" s="7"/>
      <c r="M1225" s="7"/>
      <c r="N1225" s="7"/>
      <c r="O1225" s="7"/>
      <c r="P1225" s="7"/>
      <c r="Q1225" s="7"/>
    </row>
    <row r="1226" spans="12:17" ht="15.75" customHeight="1">
      <c r="L1226" s="7"/>
      <c r="M1226" s="7"/>
      <c r="N1226" s="7"/>
      <c r="O1226" s="7"/>
      <c r="P1226" s="7"/>
      <c r="Q1226" s="7"/>
    </row>
    <row r="1227" spans="12:17" ht="15.75" customHeight="1">
      <c r="L1227" s="7"/>
      <c r="M1227" s="7"/>
      <c r="N1227" s="7"/>
      <c r="O1227" s="7"/>
      <c r="P1227" s="7"/>
      <c r="Q1227" s="7"/>
    </row>
    <row r="1228" spans="12:17" ht="15.75" customHeight="1">
      <c r="L1228" s="7"/>
      <c r="M1228" s="7"/>
      <c r="N1228" s="7"/>
      <c r="O1228" s="7"/>
      <c r="P1228" s="7"/>
      <c r="Q1228" s="7"/>
    </row>
    <row r="1229" spans="12:17" ht="15.75" customHeight="1">
      <c r="L1229" s="7"/>
      <c r="M1229" s="7"/>
      <c r="N1229" s="7"/>
      <c r="O1229" s="7"/>
      <c r="P1229" s="7"/>
      <c r="Q1229" s="7"/>
    </row>
    <row r="1230" spans="12:17" ht="15.75" customHeight="1">
      <c r="L1230" s="7"/>
      <c r="M1230" s="7"/>
      <c r="N1230" s="7"/>
      <c r="O1230" s="7"/>
      <c r="P1230" s="7"/>
      <c r="Q1230" s="7"/>
    </row>
    <row r="1231" spans="12:17" ht="15.75" customHeight="1">
      <c r="L1231" s="7"/>
      <c r="M1231" s="7"/>
      <c r="N1231" s="7"/>
      <c r="O1231" s="7"/>
      <c r="P1231" s="7"/>
      <c r="Q1231" s="7"/>
    </row>
    <row r="1232" spans="12:17" ht="15.75" customHeight="1">
      <c r="L1232" s="7"/>
      <c r="M1232" s="7"/>
      <c r="N1232" s="7"/>
      <c r="O1232" s="7"/>
      <c r="P1232" s="7"/>
      <c r="Q1232" s="7"/>
    </row>
    <row r="1233" spans="12:17" ht="15.75" customHeight="1">
      <c r="L1233" s="7"/>
      <c r="M1233" s="7"/>
      <c r="N1233" s="7"/>
      <c r="O1233" s="7"/>
      <c r="P1233" s="7"/>
      <c r="Q1233" s="7"/>
    </row>
    <row r="1234" spans="12:17" ht="15.75" customHeight="1">
      <c r="L1234" s="7"/>
      <c r="M1234" s="7"/>
      <c r="N1234" s="7"/>
      <c r="O1234" s="7"/>
      <c r="P1234" s="7"/>
      <c r="Q1234" s="7"/>
    </row>
    <row r="1235" spans="12:17" ht="15.75" customHeight="1">
      <c r="L1235" s="7"/>
      <c r="M1235" s="7"/>
      <c r="N1235" s="7"/>
      <c r="O1235" s="7"/>
      <c r="P1235" s="7"/>
      <c r="Q1235" s="7"/>
    </row>
    <row r="1236" spans="12:17" ht="15.75" customHeight="1">
      <c r="L1236" s="7"/>
      <c r="M1236" s="7"/>
      <c r="N1236" s="7"/>
      <c r="O1236" s="7"/>
      <c r="P1236" s="7"/>
      <c r="Q1236" s="7"/>
    </row>
    <row r="1237" spans="12:17" ht="15.75" customHeight="1">
      <c r="L1237" s="7"/>
      <c r="M1237" s="7"/>
      <c r="N1237" s="7"/>
      <c r="O1237" s="7"/>
      <c r="P1237" s="7"/>
      <c r="Q1237" s="7"/>
    </row>
    <row r="1238" spans="12:17" ht="15.75" customHeight="1">
      <c r="L1238" s="7"/>
      <c r="M1238" s="7"/>
      <c r="N1238" s="7"/>
      <c r="O1238" s="7"/>
      <c r="P1238" s="7"/>
      <c r="Q1238" s="7"/>
    </row>
    <row r="1239" spans="12:17" ht="15.75" customHeight="1">
      <c r="L1239" s="7"/>
      <c r="M1239" s="7"/>
      <c r="N1239" s="7"/>
      <c r="O1239" s="7"/>
      <c r="P1239" s="7"/>
      <c r="Q1239" s="7"/>
    </row>
    <row r="1240" spans="12:17" ht="15.75" customHeight="1">
      <c r="L1240" s="7"/>
      <c r="M1240" s="7"/>
      <c r="N1240" s="7"/>
      <c r="O1240" s="7"/>
      <c r="P1240" s="7"/>
      <c r="Q1240" s="7"/>
    </row>
    <row r="1241" spans="12:17" ht="15.75" customHeight="1">
      <c r="L1241" s="7"/>
      <c r="M1241" s="7"/>
      <c r="N1241" s="7"/>
      <c r="O1241" s="7"/>
      <c r="P1241" s="7"/>
      <c r="Q1241" s="7"/>
    </row>
    <row r="1242" spans="12:17" ht="15.75" customHeight="1">
      <c r="L1242" s="7"/>
      <c r="M1242" s="7"/>
      <c r="N1242" s="7"/>
      <c r="O1242" s="7"/>
      <c r="P1242" s="7"/>
      <c r="Q1242" s="7"/>
    </row>
    <row r="1243" spans="12:17" ht="15.75" customHeight="1">
      <c r="L1243" s="7"/>
      <c r="M1243" s="7"/>
      <c r="N1243" s="7"/>
      <c r="O1243" s="7"/>
      <c r="P1243" s="7"/>
      <c r="Q1243" s="7"/>
    </row>
    <row r="1244" spans="12:17" ht="15.75" customHeight="1">
      <c r="L1244" s="7"/>
      <c r="M1244" s="7"/>
      <c r="N1244" s="7"/>
      <c r="O1244" s="7"/>
      <c r="P1244" s="7"/>
      <c r="Q1244" s="7"/>
    </row>
    <row r="1245" spans="12:17" ht="15.75" customHeight="1">
      <c r="L1245" s="7"/>
      <c r="M1245" s="7"/>
      <c r="N1245" s="7"/>
      <c r="O1245" s="7"/>
      <c r="P1245" s="7"/>
      <c r="Q1245" s="7"/>
    </row>
    <row r="1246" spans="12:17" ht="15.75" customHeight="1">
      <c r="L1246" s="7"/>
      <c r="M1246" s="7"/>
      <c r="N1246" s="7"/>
      <c r="O1246" s="7"/>
      <c r="P1246" s="7"/>
      <c r="Q1246" s="7"/>
    </row>
    <row r="1247" spans="12:17" ht="15.75" customHeight="1">
      <c r="L1247" s="7"/>
      <c r="M1247" s="7"/>
      <c r="N1247" s="7"/>
      <c r="O1247" s="7"/>
      <c r="P1247" s="7"/>
      <c r="Q1247" s="7"/>
    </row>
    <row r="1248" spans="12:17" ht="15.75" customHeight="1">
      <c r="L1248" s="7"/>
      <c r="M1248" s="7"/>
      <c r="N1248" s="7"/>
      <c r="O1248" s="7"/>
      <c r="P1248" s="7"/>
      <c r="Q1248" s="7"/>
    </row>
    <row r="1249" spans="12:17" ht="15.75" customHeight="1">
      <c r="L1249" s="7"/>
      <c r="M1249" s="7"/>
      <c r="N1249" s="7"/>
      <c r="O1249" s="7"/>
      <c r="P1249" s="7"/>
      <c r="Q1249" s="7"/>
    </row>
    <row r="1250" spans="12:17" ht="15.75" customHeight="1">
      <c r="L1250" s="7"/>
      <c r="M1250" s="7"/>
      <c r="N1250" s="7"/>
      <c r="O1250" s="7"/>
      <c r="P1250" s="7"/>
      <c r="Q1250" s="7"/>
    </row>
    <row r="1251" spans="12:17" ht="15.75" customHeight="1">
      <c r="L1251" s="7"/>
      <c r="M1251" s="7"/>
      <c r="N1251" s="7"/>
      <c r="O1251" s="7"/>
      <c r="P1251" s="7"/>
      <c r="Q1251" s="7"/>
    </row>
    <row r="1252" spans="12:17" ht="15.75" customHeight="1">
      <c r="L1252" s="7"/>
      <c r="M1252" s="7"/>
      <c r="N1252" s="7"/>
      <c r="O1252" s="7"/>
      <c r="P1252" s="7"/>
      <c r="Q1252" s="7"/>
    </row>
    <row r="1253" spans="12:17" ht="15.75" customHeight="1">
      <c r="L1253" s="7"/>
      <c r="M1253" s="7"/>
      <c r="N1253" s="7"/>
      <c r="O1253" s="7"/>
      <c r="P1253" s="7"/>
      <c r="Q1253" s="7"/>
    </row>
    <row r="1254" spans="12:17" ht="15.75" customHeight="1">
      <c r="L1254" s="7"/>
      <c r="M1254" s="7"/>
      <c r="N1254" s="7"/>
      <c r="O1254" s="7"/>
      <c r="P1254" s="7"/>
      <c r="Q1254" s="7"/>
    </row>
    <row r="1255" spans="12:17" ht="15.75" customHeight="1">
      <c r="L1255" s="7"/>
      <c r="M1255" s="7"/>
      <c r="N1255" s="7"/>
      <c r="O1255" s="7"/>
      <c r="P1255" s="7"/>
      <c r="Q1255" s="7"/>
    </row>
    <row r="1256" spans="12:17" ht="15.75" customHeight="1">
      <c r="L1256" s="7"/>
      <c r="M1256" s="7"/>
      <c r="N1256" s="7"/>
      <c r="O1256" s="7"/>
      <c r="P1256" s="7"/>
      <c r="Q1256" s="7"/>
    </row>
    <row r="1257" spans="12:17" ht="15.75" customHeight="1">
      <c r="L1257" s="7"/>
      <c r="M1257" s="7"/>
      <c r="N1257" s="7"/>
      <c r="O1257" s="7"/>
      <c r="P1257" s="7"/>
      <c r="Q1257" s="7"/>
    </row>
    <row r="1258" spans="12:17" ht="15.75" customHeight="1">
      <c r="L1258" s="7"/>
      <c r="M1258" s="7"/>
      <c r="N1258" s="7"/>
      <c r="O1258" s="7"/>
      <c r="P1258" s="7"/>
      <c r="Q1258" s="7"/>
    </row>
    <row r="1259" spans="12:17" ht="15.75" customHeight="1">
      <c r="L1259" s="7"/>
      <c r="M1259" s="7"/>
      <c r="N1259" s="7"/>
      <c r="O1259" s="7"/>
      <c r="P1259" s="7"/>
      <c r="Q1259" s="7"/>
    </row>
    <row r="1260" spans="12:17" ht="15.75" customHeight="1">
      <c r="L1260" s="7"/>
      <c r="M1260" s="7"/>
      <c r="N1260" s="7"/>
      <c r="O1260" s="7"/>
      <c r="P1260" s="7"/>
      <c r="Q1260" s="7"/>
    </row>
    <row r="1261" spans="12:17" ht="15.75" customHeight="1">
      <c r="L1261" s="7"/>
      <c r="M1261" s="7"/>
      <c r="N1261" s="7"/>
      <c r="O1261" s="7"/>
      <c r="P1261" s="7"/>
      <c r="Q1261" s="7"/>
    </row>
    <row r="1262" spans="12:17" ht="15.75" customHeight="1">
      <c r="L1262" s="7"/>
      <c r="M1262" s="7"/>
      <c r="N1262" s="7"/>
      <c r="O1262" s="7"/>
      <c r="P1262" s="7"/>
      <c r="Q1262" s="7"/>
    </row>
    <row r="1263" spans="12:17" ht="15.75" customHeight="1">
      <c r="L1263" s="7"/>
      <c r="M1263" s="7"/>
      <c r="N1263" s="7"/>
      <c r="O1263" s="7"/>
      <c r="P1263" s="7"/>
      <c r="Q1263" s="7"/>
    </row>
    <row r="1264" spans="12:17" ht="15.75" customHeight="1">
      <c r="L1264" s="7"/>
      <c r="M1264" s="7"/>
      <c r="N1264" s="7"/>
      <c r="O1264" s="7"/>
      <c r="P1264" s="7"/>
      <c r="Q1264" s="7"/>
    </row>
    <row r="1265" spans="12:17" ht="15.75" customHeight="1">
      <c r="L1265" s="7"/>
      <c r="M1265" s="7"/>
      <c r="N1265" s="7"/>
      <c r="O1265" s="7"/>
      <c r="P1265" s="7"/>
      <c r="Q1265" s="7"/>
    </row>
    <row r="1266" spans="12:17" ht="15.75" customHeight="1">
      <c r="L1266" s="7"/>
      <c r="M1266" s="7"/>
      <c r="N1266" s="7"/>
      <c r="O1266" s="7"/>
      <c r="P1266" s="7"/>
      <c r="Q1266" s="7"/>
    </row>
    <row r="1267" spans="12:17" ht="15.75" customHeight="1">
      <c r="L1267" s="7"/>
      <c r="M1267" s="7"/>
      <c r="N1267" s="7"/>
      <c r="O1267" s="7"/>
      <c r="P1267" s="7"/>
      <c r="Q1267" s="7"/>
    </row>
    <row r="1268" spans="12:17" ht="15.75" customHeight="1">
      <c r="L1268" s="7"/>
      <c r="M1268" s="7"/>
      <c r="N1268" s="7"/>
      <c r="O1268" s="7"/>
      <c r="P1268" s="7"/>
      <c r="Q1268" s="7"/>
    </row>
    <row r="1269" spans="12:17" ht="15.75" customHeight="1">
      <c r="L1269" s="7"/>
      <c r="M1269" s="7"/>
      <c r="N1269" s="7"/>
      <c r="O1269" s="7"/>
      <c r="P1269" s="7"/>
      <c r="Q1269" s="7"/>
    </row>
    <row r="1270" spans="12:17" ht="15.75" customHeight="1">
      <c r="L1270" s="7"/>
      <c r="M1270" s="7"/>
      <c r="N1270" s="7"/>
      <c r="O1270" s="7"/>
      <c r="P1270" s="7"/>
      <c r="Q1270" s="7"/>
    </row>
    <row r="1271" spans="12:17" ht="15.75" customHeight="1">
      <c r="L1271" s="7"/>
      <c r="M1271" s="7"/>
      <c r="N1271" s="7"/>
      <c r="O1271" s="7"/>
      <c r="P1271" s="7"/>
      <c r="Q1271" s="7"/>
    </row>
    <row r="1272" spans="12:17" ht="15.75" customHeight="1">
      <c r="L1272" s="7"/>
      <c r="M1272" s="7"/>
      <c r="N1272" s="7"/>
      <c r="O1272" s="7"/>
      <c r="P1272" s="7"/>
      <c r="Q1272" s="7"/>
    </row>
    <row r="1273" spans="12:17" ht="15.75" customHeight="1">
      <c r="L1273" s="7"/>
      <c r="M1273" s="7"/>
      <c r="N1273" s="7"/>
      <c r="O1273" s="7"/>
      <c r="P1273" s="7"/>
      <c r="Q1273" s="7"/>
    </row>
    <row r="1274" spans="12:17" ht="15.75" customHeight="1">
      <c r="L1274" s="7"/>
      <c r="M1274" s="7"/>
      <c r="N1274" s="7"/>
      <c r="O1274" s="7"/>
      <c r="P1274" s="7"/>
      <c r="Q1274" s="7"/>
    </row>
    <row r="1275" spans="12:17" ht="15.75" customHeight="1">
      <c r="L1275" s="7"/>
      <c r="M1275" s="7"/>
      <c r="N1275" s="7"/>
      <c r="O1275" s="7"/>
      <c r="P1275" s="7"/>
      <c r="Q1275" s="7"/>
    </row>
    <row r="1276" spans="12:17" ht="15.75" customHeight="1">
      <c r="L1276" s="7"/>
      <c r="M1276" s="7"/>
      <c r="N1276" s="7"/>
      <c r="O1276" s="7"/>
      <c r="P1276" s="7"/>
      <c r="Q1276" s="7"/>
    </row>
    <row r="1277" spans="12:17" ht="15.75" customHeight="1">
      <c r="L1277" s="7"/>
      <c r="M1277" s="7"/>
      <c r="N1277" s="7"/>
      <c r="O1277" s="7"/>
      <c r="P1277" s="7"/>
      <c r="Q1277" s="7"/>
    </row>
    <row r="1278" spans="12:17" ht="15.75" customHeight="1">
      <c r="L1278" s="7"/>
      <c r="M1278" s="7"/>
      <c r="N1278" s="7"/>
      <c r="O1278" s="7"/>
      <c r="P1278" s="7"/>
      <c r="Q1278" s="7"/>
    </row>
    <row r="1279" spans="12:17" ht="15.75" customHeight="1">
      <c r="L1279" s="7"/>
      <c r="M1279" s="7"/>
      <c r="N1279" s="7"/>
      <c r="O1279" s="7"/>
      <c r="P1279" s="7"/>
      <c r="Q1279" s="7"/>
    </row>
    <row r="1280" spans="12:17" ht="15.75" customHeight="1">
      <c r="L1280" s="7"/>
      <c r="M1280" s="7"/>
      <c r="N1280" s="7"/>
      <c r="O1280" s="7"/>
      <c r="P1280" s="7"/>
      <c r="Q1280" s="7"/>
    </row>
    <row r="1281" spans="12:17" ht="15.75" customHeight="1">
      <c r="L1281" s="7"/>
      <c r="M1281" s="7"/>
      <c r="N1281" s="7"/>
      <c r="O1281" s="7"/>
      <c r="P1281" s="7"/>
      <c r="Q1281" s="7"/>
    </row>
    <row r="1282" spans="12:17" ht="15.75" customHeight="1">
      <c r="L1282" s="7"/>
      <c r="M1282" s="7"/>
      <c r="N1282" s="7"/>
      <c r="O1282" s="7"/>
      <c r="P1282" s="7"/>
      <c r="Q1282" s="7"/>
    </row>
    <row r="1283" spans="12:17" ht="15.75" customHeight="1">
      <c r="L1283" s="7"/>
      <c r="M1283" s="7"/>
      <c r="N1283" s="7"/>
      <c r="O1283" s="7"/>
      <c r="P1283" s="7"/>
      <c r="Q1283" s="7"/>
    </row>
    <row r="1284" spans="12:17" ht="15.75" customHeight="1">
      <c r="L1284" s="7"/>
      <c r="M1284" s="7"/>
      <c r="N1284" s="7"/>
      <c r="O1284" s="7"/>
      <c r="P1284" s="7"/>
      <c r="Q1284" s="7"/>
    </row>
    <row r="1285" spans="12:17" ht="15.75" customHeight="1">
      <c r="L1285" s="7"/>
      <c r="M1285" s="7"/>
      <c r="N1285" s="7"/>
      <c r="O1285" s="7"/>
      <c r="P1285" s="7"/>
      <c r="Q1285" s="7"/>
    </row>
    <row r="1286" spans="12:17" ht="15.75" customHeight="1">
      <c r="L1286" s="7"/>
      <c r="M1286" s="7"/>
      <c r="N1286" s="7"/>
      <c r="O1286" s="7"/>
      <c r="P1286" s="7"/>
      <c r="Q1286" s="7"/>
    </row>
    <row r="1287" spans="12:17" ht="15.75" customHeight="1">
      <c r="L1287" s="7"/>
      <c r="M1287" s="7"/>
      <c r="N1287" s="7"/>
      <c r="O1287" s="7"/>
      <c r="P1287" s="7"/>
      <c r="Q1287" s="7"/>
    </row>
    <row r="1288" spans="12:17" ht="15.75" customHeight="1">
      <c r="L1288" s="7"/>
      <c r="M1288" s="7"/>
      <c r="N1288" s="7"/>
      <c r="O1288" s="7"/>
      <c r="P1288" s="7"/>
      <c r="Q1288" s="7"/>
    </row>
    <row r="1289" spans="12:17" ht="15.75" customHeight="1">
      <c r="L1289" s="7"/>
      <c r="M1289" s="7"/>
      <c r="N1289" s="7"/>
      <c r="O1289" s="7"/>
      <c r="P1289" s="7"/>
      <c r="Q1289" s="7"/>
    </row>
    <row r="1290" spans="12:17" ht="15.75" customHeight="1">
      <c r="L1290" s="7"/>
      <c r="M1290" s="7"/>
      <c r="N1290" s="7"/>
      <c r="O1290" s="7"/>
      <c r="P1290" s="7"/>
      <c r="Q1290" s="7"/>
    </row>
    <row r="1291" spans="12:17" ht="15.75" customHeight="1">
      <c r="L1291" s="7"/>
      <c r="M1291" s="7"/>
      <c r="N1291" s="7"/>
      <c r="O1291" s="7"/>
      <c r="P1291" s="7"/>
      <c r="Q1291" s="7"/>
    </row>
    <row r="1292" spans="12:17" ht="15.75" customHeight="1">
      <c r="L1292" s="7"/>
      <c r="M1292" s="7"/>
      <c r="N1292" s="7"/>
      <c r="O1292" s="7"/>
      <c r="P1292" s="7"/>
      <c r="Q1292" s="7"/>
    </row>
    <row r="1293" spans="12:17" ht="15.75" customHeight="1">
      <c r="L1293" s="7"/>
      <c r="M1293" s="7"/>
      <c r="N1293" s="7"/>
      <c r="O1293" s="7"/>
      <c r="P1293" s="7"/>
      <c r="Q1293" s="7"/>
    </row>
    <row r="1294" spans="12:17" ht="15.75" customHeight="1">
      <c r="L1294" s="7"/>
      <c r="M1294" s="7"/>
      <c r="N1294" s="7"/>
      <c r="O1294" s="7"/>
      <c r="P1294" s="7"/>
      <c r="Q1294" s="7"/>
    </row>
    <row r="1295" spans="12:17" ht="15.75" customHeight="1">
      <c r="L1295" s="7"/>
      <c r="M1295" s="7"/>
      <c r="N1295" s="7"/>
      <c r="O1295" s="7"/>
      <c r="P1295" s="7"/>
      <c r="Q1295" s="7"/>
    </row>
    <row r="1296" spans="12:17" ht="15.75" customHeight="1">
      <c r="L1296" s="7"/>
      <c r="M1296" s="7"/>
      <c r="N1296" s="7"/>
      <c r="O1296" s="7"/>
      <c r="P1296" s="7"/>
      <c r="Q1296" s="7"/>
    </row>
    <row r="1297" spans="12:17" ht="15.75" customHeight="1">
      <c r="L1297" s="7"/>
      <c r="M1297" s="7"/>
      <c r="N1297" s="7"/>
      <c r="O1297" s="7"/>
      <c r="P1297" s="7"/>
      <c r="Q1297" s="7"/>
    </row>
    <row r="1298" spans="12:17" ht="15.75" customHeight="1">
      <c r="L1298" s="7"/>
      <c r="M1298" s="7"/>
      <c r="N1298" s="7"/>
      <c r="O1298" s="7"/>
      <c r="P1298" s="7"/>
      <c r="Q1298" s="7"/>
    </row>
    <row r="1299" spans="12:17" ht="15.75" customHeight="1">
      <c r="L1299" s="7"/>
      <c r="M1299" s="7"/>
      <c r="N1299" s="7"/>
      <c r="O1299" s="7"/>
      <c r="P1299" s="7"/>
      <c r="Q1299" s="7"/>
    </row>
    <row r="1300" spans="12:17" ht="15.75" customHeight="1">
      <c r="L1300" s="7"/>
      <c r="M1300" s="7"/>
      <c r="N1300" s="7"/>
      <c r="O1300" s="7"/>
      <c r="P1300" s="7"/>
      <c r="Q1300" s="7"/>
    </row>
    <row r="1301" spans="12:17" ht="15.75" customHeight="1">
      <c r="L1301" s="7"/>
      <c r="M1301" s="7"/>
      <c r="N1301" s="7"/>
      <c r="O1301" s="7"/>
      <c r="P1301" s="7"/>
      <c r="Q1301" s="7"/>
    </row>
    <row r="1302" spans="12:17" ht="15.75" customHeight="1">
      <c r="L1302" s="7"/>
      <c r="M1302" s="7"/>
      <c r="N1302" s="7"/>
      <c r="O1302" s="7"/>
      <c r="P1302" s="7"/>
      <c r="Q1302" s="7"/>
    </row>
    <row r="1303" spans="12:17" ht="15.75" customHeight="1">
      <c r="L1303" s="7"/>
      <c r="M1303" s="7"/>
      <c r="N1303" s="7"/>
      <c r="O1303" s="7"/>
      <c r="P1303" s="7"/>
      <c r="Q1303" s="7"/>
    </row>
    <row r="1304" spans="12:17" ht="15.75" customHeight="1">
      <c r="L1304" s="7"/>
      <c r="M1304" s="7"/>
      <c r="N1304" s="7"/>
      <c r="O1304" s="7"/>
      <c r="P1304" s="7"/>
      <c r="Q1304" s="7"/>
    </row>
    <row r="1305" spans="12:17" ht="15.75" customHeight="1">
      <c r="L1305" s="7"/>
      <c r="M1305" s="7"/>
      <c r="N1305" s="7"/>
      <c r="O1305" s="7"/>
      <c r="P1305" s="7"/>
      <c r="Q1305" s="7"/>
    </row>
    <row r="1306" spans="12:17" ht="15.75" customHeight="1">
      <c r="L1306" s="7"/>
      <c r="M1306" s="7"/>
      <c r="N1306" s="7"/>
      <c r="O1306" s="7"/>
      <c r="P1306" s="7"/>
      <c r="Q1306" s="7"/>
    </row>
    <row r="1307" spans="12:17" ht="15.75" customHeight="1">
      <c r="L1307" s="7"/>
      <c r="M1307" s="7"/>
      <c r="N1307" s="7"/>
      <c r="O1307" s="7"/>
      <c r="P1307" s="7"/>
      <c r="Q1307" s="7"/>
    </row>
    <row r="1308" spans="12:17" ht="15.75" customHeight="1">
      <c r="L1308" s="7"/>
      <c r="M1308" s="7"/>
      <c r="N1308" s="7"/>
      <c r="O1308" s="7"/>
      <c r="P1308" s="7"/>
      <c r="Q1308" s="7"/>
    </row>
    <row r="1309" spans="12:17" ht="15.75" customHeight="1">
      <c r="L1309" s="7"/>
      <c r="M1309" s="7"/>
      <c r="N1309" s="7"/>
      <c r="O1309" s="7"/>
      <c r="P1309" s="7"/>
      <c r="Q1309" s="7"/>
    </row>
    <row r="1310" spans="12:17" ht="15.75" customHeight="1">
      <c r="L1310" s="7"/>
      <c r="M1310" s="7"/>
      <c r="N1310" s="7"/>
      <c r="O1310" s="7"/>
      <c r="P1310" s="7"/>
      <c r="Q1310" s="7"/>
    </row>
    <row r="1311" spans="12:17" ht="15.75" customHeight="1">
      <c r="L1311" s="7"/>
      <c r="M1311" s="7"/>
      <c r="N1311" s="7"/>
      <c r="O1311" s="7"/>
      <c r="P1311" s="7"/>
      <c r="Q1311" s="7"/>
    </row>
    <row r="1312" spans="12:17" ht="15.75" customHeight="1">
      <c r="L1312" s="7"/>
      <c r="M1312" s="7"/>
      <c r="N1312" s="7"/>
      <c r="O1312" s="7"/>
      <c r="P1312" s="7"/>
      <c r="Q1312" s="7"/>
    </row>
    <row r="1313" spans="12:17" ht="15.75" customHeight="1">
      <c r="L1313" s="7"/>
      <c r="M1313" s="7"/>
      <c r="N1313" s="7"/>
      <c r="O1313" s="7"/>
      <c r="P1313" s="7"/>
      <c r="Q1313" s="7"/>
    </row>
    <row r="1314" spans="12:17" ht="15.75" customHeight="1">
      <c r="L1314" s="7"/>
      <c r="M1314" s="7"/>
      <c r="N1314" s="7"/>
      <c r="O1314" s="7"/>
      <c r="P1314" s="7"/>
      <c r="Q1314" s="7"/>
    </row>
    <row r="1315" spans="12:17" ht="15.75" customHeight="1">
      <c r="L1315" s="7"/>
      <c r="M1315" s="7"/>
      <c r="N1315" s="7"/>
      <c r="O1315" s="7"/>
      <c r="P1315" s="7"/>
      <c r="Q1315" s="7"/>
    </row>
    <row r="1316" spans="12:17" ht="15.75" customHeight="1">
      <c r="L1316" s="7"/>
      <c r="M1316" s="7"/>
      <c r="N1316" s="7"/>
      <c r="O1316" s="7"/>
      <c r="P1316" s="7"/>
      <c r="Q1316" s="7"/>
    </row>
    <row r="1317" spans="12:17" ht="15.75" customHeight="1">
      <c r="L1317" s="7"/>
      <c r="M1317" s="7"/>
      <c r="N1317" s="7"/>
      <c r="O1317" s="7"/>
      <c r="P1317" s="7"/>
      <c r="Q1317" s="7"/>
    </row>
    <row r="1318" spans="12:17" ht="15.75" customHeight="1">
      <c r="L1318" s="7"/>
      <c r="M1318" s="7"/>
      <c r="N1318" s="7"/>
      <c r="O1318" s="7"/>
      <c r="P1318" s="7"/>
      <c r="Q1318" s="7"/>
    </row>
    <row r="1319" spans="12:17" ht="15.75" customHeight="1">
      <c r="L1319" s="7"/>
      <c r="M1319" s="7"/>
      <c r="N1319" s="7"/>
      <c r="O1319" s="7"/>
      <c r="P1319" s="7"/>
      <c r="Q1319" s="7"/>
    </row>
    <row r="1320" spans="12:17" ht="15.75" customHeight="1">
      <c r="L1320" s="7"/>
      <c r="M1320" s="7"/>
      <c r="N1320" s="7"/>
      <c r="O1320" s="7"/>
      <c r="P1320" s="7"/>
      <c r="Q1320" s="7"/>
    </row>
    <row r="1321" spans="12:17" ht="15.75" customHeight="1">
      <c r="L1321" s="7"/>
      <c r="M1321" s="7"/>
      <c r="N1321" s="7"/>
      <c r="O1321" s="7"/>
      <c r="P1321" s="7"/>
      <c r="Q1321" s="7"/>
    </row>
    <row r="1322" spans="12:17" ht="15.75" customHeight="1">
      <c r="L1322" s="7"/>
      <c r="M1322" s="7"/>
      <c r="N1322" s="7"/>
      <c r="O1322" s="7"/>
      <c r="P1322" s="7"/>
      <c r="Q1322" s="7"/>
    </row>
    <row r="1323" spans="12:17" ht="15.75" customHeight="1">
      <c r="L1323" s="7"/>
      <c r="M1323" s="7"/>
      <c r="N1323" s="7"/>
      <c r="O1323" s="7"/>
      <c r="P1323" s="7"/>
      <c r="Q1323" s="7"/>
    </row>
    <row r="1324" spans="12:17" ht="15.75" customHeight="1">
      <c r="L1324" s="7"/>
      <c r="M1324" s="7"/>
      <c r="N1324" s="7"/>
      <c r="O1324" s="7"/>
      <c r="P1324" s="7"/>
      <c r="Q1324" s="7"/>
    </row>
    <row r="1325" spans="12:17" ht="15.75" customHeight="1">
      <c r="L1325" s="7"/>
      <c r="M1325" s="7"/>
      <c r="N1325" s="7"/>
      <c r="O1325" s="7"/>
      <c r="P1325" s="7"/>
      <c r="Q1325" s="7"/>
    </row>
    <row r="1326" spans="12:17" ht="15.75" customHeight="1">
      <c r="L1326" s="7"/>
      <c r="M1326" s="7"/>
      <c r="N1326" s="7"/>
      <c r="O1326" s="7"/>
      <c r="P1326" s="7"/>
      <c r="Q1326" s="7"/>
    </row>
    <row r="1327" spans="12:17" ht="15.75" customHeight="1">
      <c r="L1327" s="7"/>
      <c r="M1327" s="7"/>
      <c r="N1327" s="7"/>
      <c r="O1327" s="7"/>
      <c r="P1327" s="7"/>
      <c r="Q1327" s="7"/>
    </row>
    <row r="1328" spans="12:17" ht="15.75" customHeight="1">
      <c r="L1328" s="7"/>
      <c r="M1328" s="7"/>
      <c r="N1328" s="7"/>
      <c r="O1328" s="7"/>
      <c r="P1328" s="7"/>
      <c r="Q1328" s="7"/>
    </row>
    <row r="1329" spans="12:17" ht="15.75" customHeight="1">
      <c r="L1329" s="7"/>
      <c r="M1329" s="7"/>
      <c r="N1329" s="7"/>
      <c r="O1329" s="7"/>
      <c r="P1329" s="7"/>
      <c r="Q1329" s="7"/>
    </row>
    <row r="1330" spans="12:17" ht="15.75" customHeight="1">
      <c r="L1330" s="7"/>
      <c r="M1330" s="7"/>
      <c r="N1330" s="7"/>
      <c r="O1330" s="7"/>
      <c r="P1330" s="7"/>
      <c r="Q1330" s="7"/>
    </row>
    <row r="1331" spans="12:17" ht="15.75" customHeight="1">
      <c r="L1331" s="7"/>
      <c r="M1331" s="7"/>
      <c r="N1331" s="7"/>
      <c r="O1331" s="7"/>
      <c r="P1331" s="7"/>
      <c r="Q1331" s="7"/>
    </row>
    <row r="1332" spans="12:17" ht="15.75" customHeight="1">
      <c r="L1332" s="7"/>
      <c r="M1332" s="7"/>
      <c r="N1332" s="7"/>
      <c r="O1332" s="7"/>
      <c r="P1332" s="7"/>
      <c r="Q1332" s="7"/>
    </row>
    <row r="1333" spans="12:17" ht="15.75" customHeight="1">
      <c r="L1333" s="7"/>
      <c r="M1333" s="7"/>
      <c r="N1333" s="7"/>
      <c r="O1333" s="7"/>
      <c r="P1333" s="7"/>
      <c r="Q1333" s="7"/>
    </row>
    <row r="1334" spans="12:17" ht="15.75" customHeight="1">
      <c r="L1334" s="7"/>
      <c r="M1334" s="7"/>
      <c r="N1334" s="7"/>
      <c r="O1334" s="7"/>
      <c r="P1334" s="7"/>
      <c r="Q1334" s="7"/>
    </row>
    <row r="1335" spans="12:17" ht="15.75" customHeight="1">
      <c r="L1335" s="7"/>
      <c r="M1335" s="7"/>
      <c r="N1335" s="7"/>
      <c r="O1335" s="7"/>
      <c r="P1335" s="7"/>
      <c r="Q1335" s="7"/>
    </row>
    <row r="1336" spans="12:17" ht="15.75" customHeight="1">
      <c r="L1336" s="7"/>
      <c r="M1336" s="7"/>
      <c r="N1336" s="7"/>
      <c r="O1336" s="7"/>
      <c r="P1336" s="7"/>
      <c r="Q1336" s="7"/>
    </row>
    <row r="1337" spans="12:17" ht="15.75" customHeight="1">
      <c r="L1337" s="7"/>
      <c r="M1337" s="7"/>
      <c r="N1337" s="7"/>
      <c r="O1337" s="7"/>
      <c r="P1337" s="7"/>
      <c r="Q1337" s="7"/>
    </row>
    <row r="1338" spans="12:17" ht="15.75" customHeight="1">
      <c r="L1338" s="7"/>
      <c r="M1338" s="7"/>
      <c r="N1338" s="7"/>
      <c r="O1338" s="7"/>
      <c r="P1338" s="7"/>
      <c r="Q1338" s="7"/>
    </row>
    <row r="1339" spans="12:17" ht="15.75" customHeight="1">
      <c r="L1339" s="7"/>
      <c r="M1339" s="7"/>
      <c r="N1339" s="7"/>
      <c r="O1339" s="7"/>
      <c r="P1339" s="7"/>
      <c r="Q1339" s="7"/>
    </row>
    <row r="1340" spans="12:17" ht="15.75" customHeight="1">
      <c r="L1340" s="7"/>
      <c r="M1340" s="7"/>
      <c r="N1340" s="7"/>
      <c r="O1340" s="7"/>
      <c r="P1340" s="7"/>
      <c r="Q1340" s="7"/>
    </row>
    <row r="1341" spans="12:17" ht="15.75" customHeight="1">
      <c r="L1341" s="7"/>
      <c r="M1341" s="7"/>
      <c r="N1341" s="7"/>
      <c r="O1341" s="7"/>
      <c r="P1341" s="7"/>
      <c r="Q1341" s="7"/>
    </row>
    <row r="1342" spans="12:17" ht="15.75" customHeight="1">
      <c r="L1342" s="7"/>
      <c r="M1342" s="7"/>
      <c r="N1342" s="7"/>
      <c r="O1342" s="7"/>
      <c r="P1342" s="7"/>
      <c r="Q1342" s="7"/>
    </row>
    <row r="1343" spans="12:17" ht="15.75" customHeight="1">
      <c r="L1343" s="7"/>
      <c r="M1343" s="7"/>
      <c r="N1343" s="7"/>
      <c r="O1343" s="7"/>
      <c r="P1343" s="7"/>
      <c r="Q1343" s="7"/>
    </row>
    <row r="1344" spans="12:17" ht="15.75" customHeight="1">
      <c r="L1344" s="7"/>
      <c r="M1344" s="7"/>
      <c r="N1344" s="7"/>
      <c r="O1344" s="7"/>
      <c r="P1344" s="7"/>
      <c r="Q1344" s="7"/>
    </row>
    <row r="1345" spans="12:17" ht="15.75" customHeight="1">
      <c r="L1345" s="7"/>
      <c r="M1345" s="7"/>
      <c r="N1345" s="7"/>
      <c r="O1345" s="7"/>
      <c r="P1345" s="7"/>
      <c r="Q1345" s="7"/>
    </row>
    <row r="1346" spans="12:17" ht="15.75" customHeight="1">
      <c r="L1346" s="7"/>
      <c r="M1346" s="7"/>
      <c r="N1346" s="7"/>
      <c r="O1346" s="7"/>
      <c r="P1346" s="7"/>
      <c r="Q1346" s="7"/>
    </row>
    <row r="1347" spans="12:17" ht="15.75" customHeight="1">
      <c r="L1347" s="7"/>
      <c r="M1347" s="7"/>
      <c r="N1347" s="7"/>
      <c r="O1347" s="7"/>
      <c r="P1347" s="7"/>
      <c r="Q1347" s="7"/>
    </row>
    <row r="1348" spans="12:17" ht="15.75" customHeight="1">
      <c r="L1348" s="7"/>
      <c r="M1348" s="7"/>
      <c r="N1348" s="7"/>
      <c r="O1348" s="7"/>
      <c r="P1348" s="7"/>
      <c r="Q1348" s="7"/>
    </row>
    <row r="1349" spans="12:17" ht="15.75" customHeight="1">
      <c r="L1349" s="7"/>
      <c r="M1349" s="7"/>
      <c r="N1349" s="7"/>
      <c r="O1349" s="7"/>
      <c r="P1349" s="7"/>
      <c r="Q1349" s="7"/>
    </row>
    <row r="1350" spans="12:17" ht="15.75" customHeight="1">
      <c r="L1350" s="7"/>
      <c r="M1350" s="7"/>
      <c r="N1350" s="7"/>
      <c r="O1350" s="7"/>
      <c r="P1350" s="7"/>
      <c r="Q1350" s="7"/>
    </row>
    <row r="1351" spans="12:17" ht="15.75" customHeight="1">
      <c r="L1351" s="7"/>
      <c r="M1351" s="7"/>
      <c r="N1351" s="7"/>
      <c r="O1351" s="7"/>
      <c r="P1351" s="7"/>
      <c r="Q1351" s="7"/>
    </row>
    <row r="1352" spans="12:17" ht="15.75" customHeight="1">
      <c r="L1352" s="7"/>
      <c r="M1352" s="7"/>
      <c r="N1352" s="7"/>
      <c r="O1352" s="7"/>
      <c r="P1352" s="7"/>
      <c r="Q1352" s="7"/>
    </row>
    <row r="1353" spans="12:17" ht="15.75" customHeight="1">
      <c r="L1353" s="7"/>
      <c r="M1353" s="7"/>
      <c r="N1353" s="7"/>
      <c r="O1353" s="7"/>
      <c r="P1353" s="7"/>
      <c r="Q1353" s="7"/>
    </row>
    <row r="1354" spans="12:17" ht="15.75" customHeight="1">
      <c r="L1354" s="7"/>
      <c r="M1354" s="7"/>
      <c r="N1354" s="7"/>
      <c r="O1354" s="7"/>
      <c r="P1354" s="7"/>
      <c r="Q1354" s="7"/>
    </row>
    <row r="1355" spans="12:17" ht="15.75" customHeight="1">
      <c r="L1355" s="7"/>
      <c r="M1355" s="7"/>
      <c r="N1355" s="7"/>
      <c r="O1355" s="7"/>
      <c r="P1355" s="7"/>
      <c r="Q1355" s="7"/>
    </row>
    <row r="1356" spans="12:17" ht="15.75" customHeight="1">
      <c r="L1356" s="7"/>
      <c r="M1356" s="7"/>
      <c r="N1356" s="7"/>
      <c r="O1356" s="7"/>
      <c r="P1356" s="7"/>
      <c r="Q1356" s="7"/>
    </row>
    <row r="1357" spans="12:17" ht="15.75" customHeight="1">
      <c r="L1357" s="7"/>
      <c r="M1357" s="7"/>
      <c r="N1357" s="7"/>
      <c r="O1357" s="7"/>
      <c r="P1357" s="7"/>
      <c r="Q1357" s="7"/>
    </row>
    <row r="1358" spans="12:17" ht="15.75" customHeight="1">
      <c r="L1358" s="7"/>
      <c r="M1358" s="7"/>
      <c r="N1358" s="7"/>
      <c r="O1358" s="7"/>
      <c r="P1358" s="7"/>
      <c r="Q1358" s="7"/>
    </row>
    <row r="1359" spans="12:17" ht="15.75" customHeight="1">
      <c r="L1359" s="7"/>
      <c r="M1359" s="7"/>
      <c r="N1359" s="7"/>
      <c r="O1359" s="7"/>
      <c r="P1359" s="7"/>
      <c r="Q1359" s="7"/>
    </row>
    <row r="1360" spans="12:17" ht="15.75" customHeight="1">
      <c r="L1360" s="7"/>
      <c r="M1360" s="7"/>
      <c r="N1360" s="7"/>
      <c r="O1360" s="7"/>
      <c r="P1360" s="7"/>
      <c r="Q1360" s="7"/>
    </row>
    <row r="1361" spans="12:17" ht="15.75" customHeight="1">
      <c r="L1361" s="7"/>
      <c r="M1361" s="7"/>
      <c r="N1361" s="7"/>
      <c r="O1361" s="7"/>
      <c r="P1361" s="7"/>
      <c r="Q1361" s="7"/>
    </row>
    <row r="1362" spans="12:17" ht="15.75" customHeight="1">
      <c r="L1362" s="7"/>
      <c r="M1362" s="7"/>
      <c r="N1362" s="7"/>
      <c r="O1362" s="7"/>
      <c r="P1362" s="7"/>
      <c r="Q1362" s="7"/>
    </row>
    <row r="1363" spans="12:17" ht="15.75" customHeight="1">
      <c r="L1363" s="7"/>
      <c r="M1363" s="7"/>
      <c r="N1363" s="7"/>
      <c r="O1363" s="7"/>
      <c r="P1363" s="7"/>
      <c r="Q1363" s="7"/>
    </row>
    <row r="1364" spans="12:17" ht="15.75" customHeight="1">
      <c r="L1364" s="7"/>
      <c r="M1364" s="7"/>
      <c r="N1364" s="7"/>
      <c r="O1364" s="7"/>
      <c r="P1364" s="7"/>
      <c r="Q1364" s="7"/>
    </row>
    <row r="1365" spans="12:17" ht="15.75" customHeight="1">
      <c r="L1365" s="7"/>
      <c r="M1365" s="7"/>
      <c r="N1365" s="7"/>
      <c r="O1365" s="7"/>
      <c r="P1365" s="7"/>
      <c r="Q1365" s="7"/>
    </row>
    <row r="1366" spans="12:17" ht="15.75" customHeight="1">
      <c r="L1366" s="7"/>
      <c r="M1366" s="7"/>
      <c r="N1366" s="7"/>
      <c r="O1366" s="7"/>
      <c r="P1366" s="7"/>
      <c r="Q1366" s="7"/>
    </row>
    <row r="1367" spans="12:17" ht="15.75" customHeight="1">
      <c r="L1367" s="7"/>
      <c r="M1367" s="7"/>
      <c r="N1367" s="7"/>
      <c r="O1367" s="7"/>
      <c r="P1367" s="7"/>
      <c r="Q1367" s="7"/>
    </row>
    <row r="1368" spans="12:17" ht="15.75" customHeight="1">
      <c r="L1368" s="7"/>
      <c r="M1368" s="7"/>
      <c r="N1368" s="7"/>
      <c r="O1368" s="7"/>
      <c r="P1368" s="7"/>
      <c r="Q1368" s="7"/>
    </row>
    <row r="1369" spans="12:17" ht="15.75" customHeight="1">
      <c r="L1369" s="7"/>
      <c r="M1369" s="7"/>
      <c r="N1369" s="7"/>
      <c r="O1369" s="7"/>
      <c r="P1369" s="7"/>
      <c r="Q1369" s="7"/>
    </row>
    <row r="1370" spans="12:17" ht="15.75" customHeight="1">
      <c r="L1370" s="7"/>
      <c r="M1370" s="7"/>
      <c r="N1370" s="7"/>
      <c r="O1370" s="7"/>
      <c r="P1370" s="7"/>
      <c r="Q1370" s="7"/>
    </row>
    <row r="1371" spans="12:17" ht="15.75" customHeight="1">
      <c r="L1371" s="7"/>
      <c r="M1371" s="7"/>
      <c r="N1371" s="7"/>
      <c r="O1371" s="7"/>
      <c r="P1371" s="7"/>
      <c r="Q1371" s="7"/>
    </row>
    <row r="1372" spans="12:17" ht="15.75" customHeight="1">
      <c r="L1372" s="7"/>
      <c r="M1372" s="7"/>
      <c r="N1372" s="7"/>
      <c r="O1372" s="7"/>
      <c r="P1372" s="7"/>
      <c r="Q1372" s="7"/>
    </row>
    <row r="1373" spans="12:17" ht="15.75" customHeight="1">
      <c r="L1373" s="7"/>
      <c r="M1373" s="7"/>
      <c r="N1373" s="7"/>
      <c r="O1373" s="7"/>
      <c r="P1373" s="7"/>
      <c r="Q1373" s="7"/>
    </row>
    <row r="1374" spans="12:17" ht="15.75" customHeight="1">
      <c r="L1374" s="7"/>
      <c r="M1374" s="7"/>
      <c r="N1374" s="7"/>
      <c r="O1374" s="7"/>
      <c r="P1374" s="7"/>
      <c r="Q1374" s="7"/>
    </row>
    <row r="1375" spans="12:17" ht="15.75" customHeight="1">
      <c r="L1375" s="7"/>
      <c r="M1375" s="7"/>
      <c r="N1375" s="7"/>
      <c r="O1375" s="7"/>
      <c r="P1375" s="7"/>
      <c r="Q1375" s="7"/>
    </row>
    <row r="1376" spans="12:17" ht="15.75" customHeight="1">
      <c r="L1376" s="7"/>
      <c r="M1376" s="7"/>
      <c r="N1376" s="7"/>
      <c r="O1376" s="7"/>
      <c r="P1376" s="7"/>
      <c r="Q1376" s="7"/>
    </row>
    <row r="1377" spans="12:17" ht="15.75" customHeight="1">
      <c r="L1377" s="7"/>
      <c r="M1377" s="7"/>
      <c r="N1377" s="7"/>
      <c r="O1377" s="7"/>
      <c r="P1377" s="7"/>
      <c r="Q1377" s="7"/>
    </row>
    <row r="1378" spans="12:17" ht="15.75" customHeight="1">
      <c r="L1378" s="7"/>
      <c r="M1378" s="7"/>
      <c r="N1378" s="7"/>
      <c r="O1378" s="7"/>
      <c r="P1378" s="7"/>
      <c r="Q1378" s="7"/>
    </row>
    <row r="1379" spans="12:17" ht="15.75" customHeight="1">
      <c r="L1379" s="7"/>
      <c r="M1379" s="7"/>
      <c r="N1379" s="7"/>
      <c r="O1379" s="7"/>
      <c r="P1379" s="7"/>
      <c r="Q1379" s="7"/>
    </row>
    <row r="1380" spans="12:17" ht="15.75" customHeight="1">
      <c r="L1380" s="7"/>
      <c r="M1380" s="7"/>
      <c r="N1380" s="7"/>
      <c r="O1380" s="7"/>
      <c r="P1380" s="7"/>
      <c r="Q1380" s="7"/>
    </row>
    <row r="1381" spans="12:17" ht="15.75" customHeight="1">
      <c r="L1381" s="7"/>
      <c r="M1381" s="7"/>
      <c r="N1381" s="7"/>
      <c r="O1381" s="7"/>
      <c r="P1381" s="7"/>
      <c r="Q1381" s="7"/>
    </row>
    <row r="1382" spans="12:17" ht="15.75" customHeight="1">
      <c r="L1382" s="7"/>
      <c r="M1382" s="7"/>
      <c r="N1382" s="7"/>
      <c r="O1382" s="7"/>
      <c r="P1382" s="7"/>
      <c r="Q1382" s="7"/>
    </row>
    <row r="1383" spans="12:17" ht="15.75" customHeight="1">
      <c r="L1383" s="7"/>
      <c r="M1383" s="7"/>
      <c r="N1383" s="7"/>
      <c r="O1383" s="7"/>
      <c r="P1383" s="7"/>
      <c r="Q1383" s="7"/>
    </row>
    <row r="1384" spans="12:17" ht="15.75" customHeight="1">
      <c r="L1384" s="7"/>
      <c r="M1384" s="7"/>
      <c r="N1384" s="7"/>
      <c r="O1384" s="7"/>
      <c r="P1384" s="7"/>
      <c r="Q1384" s="7"/>
    </row>
    <row r="1385" spans="12:17" ht="15.75" customHeight="1">
      <c r="L1385" s="7"/>
      <c r="M1385" s="7"/>
      <c r="N1385" s="7"/>
      <c r="O1385" s="7"/>
      <c r="P1385" s="7"/>
      <c r="Q1385" s="7"/>
    </row>
    <row r="1386" spans="12:17" ht="15.75" customHeight="1">
      <c r="L1386" s="7"/>
      <c r="M1386" s="7"/>
      <c r="N1386" s="7"/>
      <c r="O1386" s="7"/>
      <c r="P1386" s="7"/>
      <c r="Q1386" s="7"/>
    </row>
    <row r="1387" spans="12:17" ht="15.75" customHeight="1">
      <c r="L1387" s="7"/>
      <c r="M1387" s="7"/>
      <c r="N1387" s="7"/>
      <c r="O1387" s="7"/>
      <c r="P1387" s="7"/>
      <c r="Q1387" s="7"/>
    </row>
    <row r="1388" spans="12:17" ht="15.75" customHeight="1">
      <c r="L1388" s="7"/>
      <c r="M1388" s="7"/>
      <c r="N1388" s="7"/>
      <c r="O1388" s="7"/>
      <c r="P1388" s="7"/>
      <c r="Q1388" s="7"/>
    </row>
    <row r="1389" spans="12:17" ht="15.75" customHeight="1">
      <c r="L1389" s="7"/>
      <c r="M1389" s="7"/>
      <c r="N1389" s="7"/>
      <c r="O1389" s="7"/>
      <c r="P1389" s="7"/>
      <c r="Q1389" s="7"/>
    </row>
    <row r="1390" spans="12:17" ht="15.75" customHeight="1">
      <c r="L1390" s="7"/>
      <c r="M1390" s="7"/>
      <c r="N1390" s="7"/>
      <c r="O1390" s="7"/>
      <c r="P1390" s="7"/>
      <c r="Q1390" s="7"/>
    </row>
    <row r="1391" spans="12:17" ht="15.75" customHeight="1">
      <c r="L1391" s="7"/>
      <c r="M1391" s="7"/>
      <c r="N1391" s="7"/>
      <c r="O1391" s="7"/>
      <c r="P1391" s="7"/>
      <c r="Q1391" s="7"/>
    </row>
    <row r="1392" spans="12:17" ht="15.75" customHeight="1">
      <c r="L1392" s="7"/>
      <c r="M1392" s="7"/>
      <c r="N1392" s="7"/>
      <c r="O1392" s="7"/>
      <c r="P1392" s="7"/>
      <c r="Q1392" s="7"/>
    </row>
    <row r="1393" spans="12:17" ht="15.75" customHeight="1">
      <c r="L1393" s="7"/>
      <c r="M1393" s="7"/>
      <c r="N1393" s="7"/>
      <c r="O1393" s="7"/>
      <c r="P1393" s="7"/>
      <c r="Q1393" s="7"/>
    </row>
    <row r="1394" spans="12:17" ht="15.75" customHeight="1">
      <c r="L1394" s="7"/>
      <c r="M1394" s="7"/>
      <c r="N1394" s="7"/>
      <c r="O1394" s="7"/>
      <c r="P1394" s="7"/>
      <c r="Q1394" s="7"/>
    </row>
    <row r="1395" spans="12:17" ht="15.75" customHeight="1">
      <c r="L1395" s="7"/>
      <c r="M1395" s="7"/>
      <c r="N1395" s="7"/>
      <c r="O1395" s="7"/>
      <c r="P1395" s="7"/>
      <c r="Q1395" s="7"/>
    </row>
    <row r="1396" spans="12:17" ht="15.75" customHeight="1">
      <c r="L1396" s="7"/>
      <c r="M1396" s="7"/>
      <c r="N1396" s="7"/>
      <c r="O1396" s="7"/>
      <c r="P1396" s="7"/>
      <c r="Q1396" s="7"/>
    </row>
    <row r="1397" spans="12:17" ht="15.75" customHeight="1">
      <c r="L1397" s="7"/>
      <c r="M1397" s="7"/>
      <c r="N1397" s="7"/>
      <c r="O1397" s="7"/>
      <c r="P1397" s="7"/>
      <c r="Q1397" s="7"/>
    </row>
    <row r="1398" spans="12:17" ht="15.75" customHeight="1">
      <c r="L1398" s="7"/>
      <c r="M1398" s="7"/>
      <c r="N1398" s="7"/>
      <c r="O1398" s="7"/>
      <c r="P1398" s="7"/>
      <c r="Q1398" s="7"/>
    </row>
    <row r="1399" spans="12:17" ht="15.75" customHeight="1">
      <c r="L1399" s="7"/>
      <c r="M1399" s="7"/>
      <c r="N1399" s="7"/>
      <c r="O1399" s="7"/>
      <c r="P1399" s="7"/>
      <c r="Q1399" s="7"/>
    </row>
    <row r="1400" spans="12:17" ht="15.75" customHeight="1">
      <c r="L1400" s="7"/>
      <c r="M1400" s="7"/>
      <c r="N1400" s="7"/>
      <c r="O1400" s="7"/>
      <c r="P1400" s="7"/>
      <c r="Q1400" s="7"/>
    </row>
    <row r="1401" spans="12:17" ht="15.75" customHeight="1">
      <c r="L1401" s="7"/>
      <c r="M1401" s="7"/>
      <c r="N1401" s="7"/>
      <c r="O1401" s="7"/>
      <c r="P1401" s="7"/>
      <c r="Q1401" s="7"/>
    </row>
    <row r="1402" spans="12:17" ht="15.75" customHeight="1">
      <c r="L1402" s="7"/>
      <c r="M1402" s="7"/>
      <c r="N1402" s="7"/>
      <c r="O1402" s="7"/>
      <c r="P1402" s="7"/>
      <c r="Q1402" s="7"/>
    </row>
    <row r="1403" spans="12:17" ht="15.75" customHeight="1">
      <c r="L1403" s="7"/>
      <c r="M1403" s="7"/>
      <c r="N1403" s="7"/>
      <c r="O1403" s="7"/>
      <c r="P1403" s="7"/>
      <c r="Q1403" s="7"/>
    </row>
    <row r="1404" spans="12:17" ht="15.75" customHeight="1">
      <c r="L1404" s="7"/>
      <c r="M1404" s="7"/>
      <c r="N1404" s="7"/>
      <c r="O1404" s="7"/>
      <c r="P1404" s="7"/>
      <c r="Q1404" s="7"/>
    </row>
    <row r="1405" spans="12:17" ht="15.75" customHeight="1">
      <c r="L1405" s="7"/>
      <c r="M1405" s="7"/>
      <c r="N1405" s="7"/>
      <c r="O1405" s="7"/>
      <c r="P1405" s="7"/>
      <c r="Q1405" s="7"/>
    </row>
    <row r="1406" spans="12:17" ht="15.75" customHeight="1">
      <c r="L1406" s="7"/>
      <c r="M1406" s="7"/>
      <c r="N1406" s="7"/>
      <c r="O1406" s="7"/>
      <c r="P1406" s="7"/>
      <c r="Q1406" s="7"/>
    </row>
    <row r="1407" spans="12:17" ht="15.75" customHeight="1">
      <c r="L1407" s="7"/>
      <c r="M1407" s="7"/>
      <c r="N1407" s="7"/>
      <c r="O1407" s="7"/>
      <c r="P1407" s="7"/>
      <c r="Q1407" s="7"/>
    </row>
    <row r="1408" spans="12:17" ht="15.75" customHeight="1">
      <c r="L1408" s="7"/>
      <c r="M1408" s="7"/>
      <c r="N1408" s="7"/>
      <c r="O1408" s="7"/>
      <c r="P1408" s="7"/>
      <c r="Q1408" s="7"/>
    </row>
    <row r="1409" spans="12:17" ht="15.75" customHeight="1">
      <c r="L1409" s="7"/>
      <c r="M1409" s="7"/>
      <c r="N1409" s="7"/>
      <c r="O1409" s="7"/>
      <c r="P1409" s="7"/>
      <c r="Q1409" s="7"/>
    </row>
    <row r="1410" spans="12:17" ht="15.75" customHeight="1">
      <c r="L1410" s="7"/>
      <c r="M1410" s="7"/>
      <c r="N1410" s="7"/>
      <c r="O1410" s="7"/>
      <c r="P1410" s="7"/>
      <c r="Q1410" s="7"/>
    </row>
    <row r="1411" spans="12:17" ht="15.75" customHeight="1">
      <c r="L1411" s="7"/>
      <c r="M1411" s="7"/>
      <c r="N1411" s="7"/>
      <c r="O1411" s="7"/>
      <c r="P1411" s="7"/>
      <c r="Q1411" s="7"/>
    </row>
    <row r="1412" spans="12:17" ht="15.75" customHeight="1">
      <c r="L1412" s="7"/>
      <c r="M1412" s="7"/>
      <c r="N1412" s="7"/>
      <c r="O1412" s="7"/>
      <c r="P1412" s="7"/>
      <c r="Q1412" s="7"/>
    </row>
    <row r="1413" spans="12:17" ht="15.75" customHeight="1">
      <c r="L1413" s="7"/>
      <c r="M1413" s="7"/>
      <c r="N1413" s="7"/>
      <c r="O1413" s="7"/>
      <c r="P1413" s="7"/>
      <c r="Q1413" s="7"/>
    </row>
    <row r="1414" spans="12:17" ht="15.75" customHeight="1">
      <c r="L1414" s="7"/>
      <c r="M1414" s="7"/>
      <c r="N1414" s="7"/>
      <c r="O1414" s="7"/>
      <c r="P1414" s="7"/>
      <c r="Q1414" s="7"/>
    </row>
    <row r="1415" spans="12:17" ht="15.75" customHeight="1">
      <c r="L1415" s="7"/>
      <c r="M1415" s="7"/>
      <c r="N1415" s="7"/>
      <c r="O1415" s="7"/>
      <c r="P1415" s="7"/>
      <c r="Q1415" s="7"/>
    </row>
    <row r="1416" spans="12:17" ht="15.75" customHeight="1">
      <c r="L1416" s="7"/>
      <c r="M1416" s="7"/>
      <c r="N1416" s="7"/>
      <c r="O1416" s="7"/>
      <c r="P1416" s="7"/>
      <c r="Q1416" s="7"/>
    </row>
    <row r="1417" spans="12:17" ht="15.75" customHeight="1">
      <c r="L1417" s="7"/>
      <c r="M1417" s="7"/>
      <c r="N1417" s="7"/>
      <c r="O1417" s="7"/>
      <c r="P1417" s="7"/>
      <c r="Q1417" s="7"/>
    </row>
    <row r="1418" spans="12:17" ht="15.75" customHeight="1">
      <c r="L1418" s="7"/>
      <c r="M1418" s="7"/>
      <c r="N1418" s="7"/>
      <c r="O1418" s="7"/>
      <c r="P1418" s="7"/>
      <c r="Q1418" s="7"/>
    </row>
    <row r="1419" spans="12:17" ht="15.75" customHeight="1">
      <c r="L1419" s="7"/>
      <c r="M1419" s="7"/>
      <c r="N1419" s="7"/>
      <c r="O1419" s="7"/>
      <c r="P1419" s="7"/>
      <c r="Q1419" s="7"/>
    </row>
    <row r="1420" spans="12:17" ht="15.75" customHeight="1">
      <c r="L1420" s="7"/>
      <c r="M1420" s="7"/>
      <c r="N1420" s="7"/>
      <c r="O1420" s="7"/>
      <c r="P1420" s="7"/>
      <c r="Q1420" s="7"/>
    </row>
    <row r="1421" spans="12:17" ht="15.75" customHeight="1">
      <c r="L1421" s="7"/>
      <c r="M1421" s="7"/>
      <c r="N1421" s="7"/>
      <c r="O1421" s="7"/>
      <c r="P1421" s="7"/>
      <c r="Q1421" s="7"/>
    </row>
    <row r="1422" spans="12:17" ht="15.75" customHeight="1">
      <c r="L1422" s="7"/>
      <c r="M1422" s="7"/>
      <c r="N1422" s="7"/>
      <c r="O1422" s="7"/>
      <c r="P1422" s="7"/>
      <c r="Q1422" s="7"/>
    </row>
    <row r="1423" spans="12:17" ht="15.75" customHeight="1">
      <c r="L1423" s="7"/>
      <c r="M1423" s="7"/>
      <c r="N1423" s="7"/>
      <c r="O1423" s="7"/>
      <c r="P1423" s="7"/>
      <c r="Q1423" s="7"/>
    </row>
    <row r="1424" spans="12:17" ht="15.75" customHeight="1">
      <c r="L1424" s="7"/>
      <c r="M1424" s="7"/>
      <c r="N1424" s="7"/>
      <c r="O1424" s="7"/>
      <c r="P1424" s="7"/>
      <c r="Q1424" s="7"/>
    </row>
    <row r="1425" spans="12:17" ht="15.75" customHeight="1">
      <c r="L1425" s="7"/>
      <c r="M1425" s="7"/>
      <c r="N1425" s="7"/>
      <c r="O1425" s="7"/>
      <c r="P1425" s="7"/>
      <c r="Q1425" s="7"/>
    </row>
    <row r="1426" spans="12:17" ht="15.75" customHeight="1">
      <c r="L1426" s="7"/>
      <c r="M1426" s="7"/>
      <c r="N1426" s="7"/>
      <c r="O1426" s="7"/>
      <c r="P1426" s="7"/>
      <c r="Q1426" s="7"/>
    </row>
    <row r="1427" spans="12:17" ht="15.75" customHeight="1">
      <c r="L1427" s="7"/>
      <c r="M1427" s="7"/>
      <c r="N1427" s="7"/>
      <c r="O1427" s="7"/>
      <c r="P1427" s="7"/>
      <c r="Q1427" s="7"/>
    </row>
    <row r="1428" spans="12:17" ht="15.75" customHeight="1">
      <c r="L1428" s="7"/>
      <c r="M1428" s="7"/>
      <c r="N1428" s="7"/>
      <c r="O1428" s="7"/>
      <c r="P1428" s="7"/>
      <c r="Q1428" s="7"/>
    </row>
    <row r="1429" spans="12:17" ht="15.75" customHeight="1">
      <c r="L1429" s="7"/>
      <c r="M1429" s="7"/>
      <c r="N1429" s="7"/>
      <c r="O1429" s="7"/>
      <c r="P1429" s="7"/>
      <c r="Q1429" s="7"/>
    </row>
    <row r="1430" spans="12:17" ht="15.75" customHeight="1">
      <c r="L1430" s="7"/>
      <c r="M1430" s="7"/>
      <c r="N1430" s="7"/>
      <c r="O1430" s="7"/>
      <c r="P1430" s="7"/>
      <c r="Q1430" s="7"/>
    </row>
    <row r="1431" spans="12:17" ht="15.75" customHeight="1">
      <c r="L1431" s="7"/>
      <c r="M1431" s="7"/>
      <c r="N1431" s="7"/>
      <c r="O1431" s="7"/>
      <c r="P1431" s="7"/>
      <c r="Q1431" s="7"/>
    </row>
    <row r="1432" spans="12:17" ht="15.75" customHeight="1">
      <c r="L1432" s="7"/>
      <c r="M1432" s="7"/>
      <c r="N1432" s="7"/>
      <c r="O1432" s="7"/>
      <c r="P1432" s="7"/>
      <c r="Q1432" s="7"/>
    </row>
    <row r="1433" spans="12:17" ht="15.75" customHeight="1">
      <c r="L1433" s="7"/>
      <c r="M1433" s="7"/>
      <c r="N1433" s="7"/>
      <c r="O1433" s="7"/>
      <c r="P1433" s="7"/>
      <c r="Q1433" s="7"/>
    </row>
    <row r="1434" spans="12:17" ht="15.75" customHeight="1">
      <c r="L1434" s="7"/>
      <c r="M1434" s="7"/>
      <c r="N1434" s="7"/>
      <c r="O1434" s="7"/>
      <c r="P1434" s="7"/>
      <c r="Q1434" s="7"/>
    </row>
    <row r="1435" spans="12:17" ht="15.75" customHeight="1">
      <c r="L1435" s="7"/>
      <c r="M1435" s="7"/>
      <c r="N1435" s="7"/>
      <c r="O1435" s="7"/>
      <c r="P1435" s="7"/>
      <c r="Q1435" s="7"/>
    </row>
    <row r="1436" spans="12:17" ht="15.75" customHeight="1">
      <c r="L1436" s="7"/>
      <c r="M1436" s="7"/>
      <c r="N1436" s="7"/>
      <c r="O1436" s="7"/>
      <c r="P1436" s="7"/>
      <c r="Q1436" s="7"/>
    </row>
    <row r="1437" spans="12:17" ht="15.75" customHeight="1">
      <c r="L1437" s="7"/>
      <c r="M1437" s="7"/>
      <c r="N1437" s="7"/>
      <c r="O1437" s="7"/>
      <c r="P1437" s="7"/>
      <c r="Q1437" s="7"/>
    </row>
    <row r="1438" spans="12:17" ht="15.75" customHeight="1">
      <c r="L1438" s="7"/>
      <c r="M1438" s="7"/>
      <c r="N1438" s="7"/>
      <c r="O1438" s="7"/>
      <c r="P1438" s="7"/>
      <c r="Q1438" s="7"/>
    </row>
    <row r="1439" spans="12:17" ht="15.75" customHeight="1">
      <c r="L1439" s="7"/>
      <c r="M1439" s="7"/>
      <c r="N1439" s="7"/>
      <c r="O1439" s="7"/>
      <c r="P1439" s="7"/>
      <c r="Q1439" s="7"/>
    </row>
    <row r="1440" spans="12:17" ht="15.75" customHeight="1">
      <c r="L1440" s="7"/>
      <c r="M1440" s="7"/>
      <c r="N1440" s="7"/>
      <c r="O1440" s="7"/>
      <c r="P1440" s="7"/>
      <c r="Q1440" s="7"/>
    </row>
    <row r="1441" spans="12:17" ht="15.75" customHeight="1">
      <c r="L1441" s="7"/>
      <c r="M1441" s="7"/>
      <c r="N1441" s="7"/>
      <c r="O1441" s="7"/>
      <c r="P1441" s="7"/>
      <c r="Q1441" s="7"/>
    </row>
    <row r="1442" spans="12:17" ht="15.75" customHeight="1">
      <c r="L1442" s="7"/>
      <c r="M1442" s="7"/>
      <c r="N1442" s="7"/>
      <c r="O1442" s="7"/>
      <c r="P1442" s="7"/>
      <c r="Q1442" s="7"/>
    </row>
    <row r="1443" spans="12:17" ht="15.75" customHeight="1">
      <c r="L1443" s="7"/>
      <c r="M1443" s="7"/>
      <c r="N1443" s="7"/>
      <c r="O1443" s="7"/>
      <c r="P1443" s="7"/>
      <c r="Q1443" s="7"/>
    </row>
    <row r="1444" spans="12:17" ht="15.75" customHeight="1">
      <c r="L1444" s="7"/>
      <c r="M1444" s="7"/>
      <c r="N1444" s="7"/>
      <c r="O1444" s="7"/>
      <c r="P1444" s="7"/>
      <c r="Q1444" s="7"/>
    </row>
    <row r="1445" spans="12:17" ht="15.75" customHeight="1">
      <c r="L1445" s="7"/>
      <c r="M1445" s="7"/>
      <c r="N1445" s="7"/>
      <c r="O1445" s="7"/>
      <c r="P1445" s="7"/>
      <c r="Q1445" s="7"/>
    </row>
    <row r="1446" spans="12:17" ht="15.75" customHeight="1">
      <c r="L1446" s="7"/>
      <c r="M1446" s="7"/>
      <c r="N1446" s="7"/>
      <c r="O1446" s="7"/>
      <c r="P1446" s="7"/>
      <c r="Q1446" s="7"/>
    </row>
    <row r="1447" spans="12:17" ht="15.75" customHeight="1">
      <c r="L1447" s="7"/>
      <c r="M1447" s="7"/>
      <c r="N1447" s="7"/>
      <c r="O1447" s="7"/>
      <c r="P1447" s="7"/>
      <c r="Q1447" s="7"/>
    </row>
    <row r="1448" spans="12:17" ht="15.75" customHeight="1">
      <c r="L1448" s="7"/>
      <c r="M1448" s="7"/>
      <c r="N1448" s="7"/>
      <c r="O1448" s="7"/>
      <c r="P1448" s="7"/>
      <c r="Q1448" s="7"/>
    </row>
    <row r="1449" spans="12:17" ht="15.75" customHeight="1">
      <c r="L1449" s="7"/>
      <c r="M1449" s="7"/>
      <c r="N1449" s="7"/>
      <c r="O1449" s="7"/>
      <c r="P1449" s="7"/>
      <c r="Q1449" s="7"/>
    </row>
    <row r="1450" spans="12:17" ht="15.75" customHeight="1">
      <c r="L1450" s="7"/>
      <c r="M1450" s="7"/>
      <c r="N1450" s="7"/>
      <c r="O1450" s="7"/>
      <c r="P1450" s="7"/>
      <c r="Q1450" s="7"/>
    </row>
    <row r="1451" spans="12:17" ht="15.75" customHeight="1">
      <c r="L1451" s="7"/>
      <c r="M1451" s="7"/>
      <c r="N1451" s="7"/>
      <c r="O1451" s="7"/>
      <c r="P1451" s="7"/>
      <c r="Q1451" s="7"/>
    </row>
    <row r="1452" spans="12:17" ht="15.75" customHeight="1">
      <c r="L1452" s="7"/>
      <c r="M1452" s="7"/>
      <c r="N1452" s="7"/>
      <c r="O1452" s="7"/>
      <c r="P1452" s="7"/>
      <c r="Q1452" s="7"/>
    </row>
    <row r="1453" spans="12:17" ht="15.75" customHeight="1">
      <c r="L1453" s="7"/>
      <c r="M1453" s="7"/>
      <c r="N1453" s="7"/>
      <c r="O1453" s="7"/>
      <c r="P1453" s="7"/>
      <c r="Q1453" s="7"/>
    </row>
    <row r="1454" spans="12:17" ht="15.75" customHeight="1">
      <c r="L1454" s="7"/>
      <c r="M1454" s="7"/>
      <c r="N1454" s="7"/>
      <c r="O1454" s="7"/>
      <c r="P1454" s="7"/>
      <c r="Q1454" s="7"/>
    </row>
    <row r="1455" spans="12:17" ht="15.75" customHeight="1">
      <c r="L1455" s="7"/>
      <c r="M1455" s="7"/>
      <c r="N1455" s="7"/>
      <c r="O1455" s="7"/>
      <c r="P1455" s="7"/>
      <c r="Q1455" s="7"/>
    </row>
    <row r="1456" spans="12:17" ht="15.75" customHeight="1">
      <c r="L1456" s="7"/>
      <c r="M1456" s="7"/>
      <c r="N1456" s="7"/>
      <c r="O1456" s="7"/>
      <c r="P1456" s="7"/>
      <c r="Q1456" s="7"/>
    </row>
    <row r="1457" spans="12:17" ht="15.75" customHeight="1">
      <c r="L1457" s="7"/>
      <c r="M1457" s="7"/>
      <c r="N1457" s="7"/>
      <c r="O1457" s="7"/>
      <c r="P1457" s="7"/>
      <c r="Q1457" s="7"/>
    </row>
    <row r="1458" spans="12:17" ht="15.75" customHeight="1">
      <c r="L1458" s="7"/>
      <c r="M1458" s="7"/>
      <c r="N1458" s="7"/>
      <c r="O1458" s="7"/>
      <c r="P1458" s="7"/>
      <c r="Q1458" s="7"/>
    </row>
    <row r="1459" spans="12:17" ht="15.75" customHeight="1">
      <c r="L1459" s="7"/>
      <c r="M1459" s="7"/>
      <c r="N1459" s="7"/>
      <c r="O1459" s="7"/>
      <c r="P1459" s="7"/>
      <c r="Q1459" s="7"/>
    </row>
    <row r="1460" spans="12:17" ht="15.75" customHeight="1">
      <c r="L1460" s="7"/>
      <c r="M1460" s="7"/>
      <c r="N1460" s="7"/>
      <c r="O1460" s="7"/>
      <c r="P1460" s="7"/>
      <c r="Q1460" s="7"/>
    </row>
    <row r="1461" spans="12:17" ht="15.75" customHeight="1">
      <c r="L1461" s="7"/>
      <c r="M1461" s="7"/>
      <c r="N1461" s="7"/>
      <c r="O1461" s="7"/>
      <c r="P1461" s="7"/>
      <c r="Q1461" s="7"/>
    </row>
    <row r="1462" spans="12:17" ht="15.75" customHeight="1">
      <c r="L1462" s="7"/>
      <c r="M1462" s="7"/>
      <c r="N1462" s="7"/>
      <c r="O1462" s="7"/>
      <c r="P1462" s="7"/>
      <c r="Q1462" s="7"/>
    </row>
    <row r="1463" spans="12:17" ht="15.75" customHeight="1">
      <c r="L1463" s="7"/>
      <c r="M1463" s="7"/>
      <c r="N1463" s="7"/>
      <c r="O1463" s="7"/>
      <c r="P1463" s="7"/>
      <c r="Q1463" s="7"/>
    </row>
    <row r="1464" spans="12:17" ht="15.75" customHeight="1">
      <c r="L1464" s="7"/>
      <c r="M1464" s="7"/>
      <c r="N1464" s="7"/>
      <c r="O1464" s="7"/>
      <c r="P1464" s="7"/>
      <c r="Q1464" s="7"/>
    </row>
    <row r="1465" spans="12:17" ht="15.75" customHeight="1">
      <c r="L1465" s="7"/>
      <c r="M1465" s="7"/>
      <c r="N1465" s="7"/>
      <c r="O1465" s="7"/>
      <c r="P1465" s="7"/>
      <c r="Q1465" s="7"/>
    </row>
    <row r="1466" spans="12:17" ht="15.75" customHeight="1">
      <c r="L1466" s="7"/>
      <c r="M1466" s="7"/>
      <c r="N1466" s="7"/>
      <c r="O1466" s="7"/>
      <c r="P1466" s="7"/>
      <c r="Q1466" s="7"/>
    </row>
    <row r="1467" spans="12:17" ht="15.75" customHeight="1">
      <c r="L1467" s="7"/>
      <c r="M1467" s="7"/>
      <c r="N1467" s="7"/>
      <c r="O1467" s="7"/>
      <c r="P1467" s="7"/>
      <c r="Q1467" s="7"/>
    </row>
    <row r="1468" spans="12:17" ht="15.75" customHeight="1">
      <c r="L1468" s="7"/>
      <c r="M1468" s="7"/>
      <c r="N1468" s="7"/>
      <c r="O1468" s="7"/>
      <c r="P1468" s="7"/>
      <c r="Q1468" s="7"/>
    </row>
    <row r="1469" spans="12:17" ht="15.75" customHeight="1">
      <c r="L1469" s="7"/>
      <c r="M1469" s="7"/>
      <c r="N1469" s="7"/>
      <c r="O1469" s="7"/>
      <c r="P1469" s="7"/>
      <c r="Q1469" s="7"/>
    </row>
    <row r="1470" spans="12:17" ht="15.75" customHeight="1">
      <c r="L1470" s="7"/>
      <c r="M1470" s="7"/>
      <c r="N1470" s="7"/>
      <c r="O1470" s="7"/>
      <c r="P1470" s="7"/>
      <c r="Q1470" s="7"/>
    </row>
    <row r="1471" spans="12:17" ht="15.75" customHeight="1">
      <c r="L1471" s="7"/>
      <c r="M1471" s="7"/>
      <c r="N1471" s="7"/>
      <c r="O1471" s="7"/>
      <c r="P1471" s="7"/>
      <c r="Q1471" s="7"/>
    </row>
    <row r="1472" spans="12:17" ht="15.75" customHeight="1">
      <c r="L1472" s="7"/>
      <c r="M1472" s="7"/>
      <c r="N1472" s="7"/>
      <c r="O1472" s="7"/>
      <c r="P1472" s="7"/>
      <c r="Q1472" s="7"/>
    </row>
    <row r="1473" spans="12:17" ht="15.75" customHeight="1">
      <c r="L1473" s="7"/>
      <c r="M1473" s="7"/>
      <c r="N1473" s="7"/>
      <c r="O1473" s="7"/>
      <c r="P1473" s="7"/>
      <c r="Q1473" s="7"/>
    </row>
    <row r="1474" spans="12:17" ht="15.75" customHeight="1">
      <c r="L1474" s="7"/>
      <c r="M1474" s="7"/>
      <c r="N1474" s="7"/>
      <c r="O1474" s="7"/>
      <c r="P1474" s="7"/>
      <c r="Q1474" s="7"/>
    </row>
    <row r="1475" spans="12:17" ht="15.75" customHeight="1">
      <c r="L1475" s="7"/>
      <c r="M1475" s="7"/>
      <c r="N1475" s="7"/>
      <c r="O1475" s="7"/>
      <c r="P1475" s="7"/>
      <c r="Q1475" s="7"/>
    </row>
    <row r="1476" spans="12:17" ht="15.75" customHeight="1">
      <c r="L1476" s="7"/>
      <c r="M1476" s="7"/>
      <c r="N1476" s="7"/>
      <c r="O1476" s="7"/>
      <c r="P1476" s="7"/>
      <c r="Q1476" s="7"/>
    </row>
    <row r="1477" spans="12:17" ht="15.75" customHeight="1">
      <c r="L1477" s="7"/>
      <c r="M1477" s="7"/>
      <c r="N1477" s="7"/>
      <c r="O1477" s="7"/>
      <c r="P1477" s="7"/>
      <c r="Q1477" s="7"/>
    </row>
    <row r="1478" spans="12:17" ht="15.75" customHeight="1">
      <c r="L1478" s="7"/>
      <c r="M1478" s="7"/>
      <c r="N1478" s="7"/>
      <c r="O1478" s="7"/>
      <c r="P1478" s="7"/>
      <c r="Q1478" s="7"/>
    </row>
    <row r="1479" spans="12:17" ht="15.75" customHeight="1">
      <c r="L1479" s="7"/>
      <c r="M1479" s="7"/>
      <c r="N1479" s="7"/>
      <c r="O1479" s="7"/>
      <c r="P1479" s="7"/>
      <c r="Q1479" s="7"/>
    </row>
    <row r="1480" spans="12:17" ht="15.75" customHeight="1">
      <c r="L1480" s="7"/>
      <c r="M1480" s="7"/>
      <c r="N1480" s="7"/>
      <c r="O1480" s="7"/>
      <c r="P1480" s="7"/>
      <c r="Q1480" s="7"/>
    </row>
    <row r="1481" spans="12:17" ht="15.75" customHeight="1">
      <c r="L1481" s="7"/>
      <c r="M1481" s="7"/>
      <c r="N1481" s="7"/>
      <c r="O1481" s="7"/>
      <c r="P1481" s="7"/>
      <c r="Q1481" s="7"/>
    </row>
    <row r="1482" spans="12:17" ht="15.75" customHeight="1">
      <c r="L1482" s="7"/>
      <c r="M1482" s="7"/>
      <c r="N1482" s="7"/>
      <c r="O1482" s="7"/>
      <c r="P1482" s="7"/>
      <c r="Q1482" s="7"/>
    </row>
    <row r="1483" spans="12:17" ht="15.75" customHeight="1">
      <c r="L1483" s="7"/>
      <c r="M1483" s="7"/>
      <c r="N1483" s="7"/>
      <c r="O1483" s="7"/>
      <c r="P1483" s="7"/>
      <c r="Q1483" s="7"/>
    </row>
    <row r="1484" spans="12:17" ht="15.75" customHeight="1">
      <c r="L1484" s="7"/>
      <c r="M1484" s="7"/>
      <c r="N1484" s="7"/>
      <c r="O1484" s="7"/>
      <c r="P1484" s="7"/>
      <c r="Q1484" s="7"/>
    </row>
    <row r="1485" spans="12:17" ht="15.75" customHeight="1">
      <c r="L1485" s="7"/>
      <c r="M1485" s="7"/>
      <c r="N1485" s="7"/>
      <c r="O1485" s="7"/>
      <c r="P1485" s="7"/>
      <c r="Q1485" s="7"/>
    </row>
    <row r="1486" spans="12:17" ht="15.75" customHeight="1">
      <c r="L1486" s="7"/>
      <c r="M1486" s="7"/>
      <c r="N1486" s="7"/>
      <c r="O1486" s="7"/>
      <c r="P1486" s="7"/>
      <c r="Q1486" s="7"/>
    </row>
    <row r="1487" spans="12:17" ht="15.75" customHeight="1">
      <c r="L1487" s="7"/>
      <c r="M1487" s="7"/>
      <c r="N1487" s="7"/>
      <c r="O1487" s="7"/>
      <c r="P1487" s="7"/>
      <c r="Q1487" s="7"/>
    </row>
    <row r="1488" spans="12:17" ht="15.75" customHeight="1">
      <c r="L1488" s="7"/>
      <c r="M1488" s="7"/>
      <c r="N1488" s="7"/>
      <c r="O1488" s="7"/>
      <c r="P1488" s="7"/>
      <c r="Q1488" s="7"/>
    </row>
    <row r="1489" spans="12:17" ht="15.75" customHeight="1">
      <c r="L1489" s="7"/>
      <c r="M1489" s="7"/>
      <c r="N1489" s="7"/>
      <c r="O1489" s="7"/>
      <c r="P1489" s="7"/>
      <c r="Q1489" s="7"/>
    </row>
    <row r="1490" spans="12:17" ht="15.75" customHeight="1">
      <c r="L1490" s="7"/>
      <c r="M1490" s="7"/>
      <c r="N1490" s="7"/>
      <c r="O1490" s="7"/>
      <c r="P1490" s="7"/>
      <c r="Q1490" s="7"/>
    </row>
    <row r="1491" spans="12:17" ht="15.75" customHeight="1">
      <c r="L1491" s="7"/>
      <c r="M1491" s="7"/>
      <c r="N1491" s="7"/>
      <c r="O1491" s="7"/>
      <c r="P1491" s="7"/>
      <c r="Q1491" s="7"/>
    </row>
    <row r="1492" spans="12:17" ht="15.75" customHeight="1">
      <c r="L1492" s="7"/>
      <c r="M1492" s="7"/>
      <c r="N1492" s="7"/>
      <c r="O1492" s="7"/>
      <c r="P1492" s="7"/>
      <c r="Q1492" s="7"/>
    </row>
    <row r="1493" spans="12:17" ht="15.75" customHeight="1">
      <c r="L1493" s="7"/>
      <c r="M1493" s="7"/>
      <c r="N1493" s="7"/>
      <c r="O1493" s="7"/>
      <c r="P1493" s="7"/>
      <c r="Q1493" s="7"/>
    </row>
    <row r="1494" spans="12:17" ht="15.75" customHeight="1">
      <c r="L1494" s="7"/>
      <c r="M1494" s="7"/>
      <c r="N1494" s="7"/>
      <c r="O1494" s="7"/>
      <c r="P1494" s="7"/>
      <c r="Q1494" s="7"/>
    </row>
    <row r="1495" spans="12:17" ht="15.75" customHeight="1">
      <c r="L1495" s="7"/>
      <c r="M1495" s="7"/>
      <c r="N1495" s="7"/>
      <c r="O1495" s="7"/>
      <c r="P1495" s="7"/>
      <c r="Q1495" s="7"/>
    </row>
    <row r="1496" spans="12:17" ht="15.75" customHeight="1">
      <c r="L1496" s="7"/>
      <c r="M1496" s="7"/>
      <c r="N1496" s="7"/>
      <c r="O1496" s="7"/>
      <c r="P1496" s="7"/>
      <c r="Q1496" s="7"/>
    </row>
    <row r="1497" spans="12:17" ht="15.75" customHeight="1">
      <c r="L1497" s="7"/>
      <c r="M1497" s="7"/>
      <c r="N1497" s="7"/>
      <c r="O1497" s="7"/>
      <c r="P1497" s="7"/>
      <c r="Q1497" s="7"/>
    </row>
    <row r="1498" spans="12:17" ht="15.75" customHeight="1">
      <c r="L1498" s="7"/>
      <c r="M1498" s="7"/>
      <c r="N1498" s="7"/>
      <c r="O1498" s="7"/>
      <c r="P1498" s="7"/>
      <c r="Q1498" s="7"/>
    </row>
    <row r="1499" spans="12:17" ht="15.75" customHeight="1">
      <c r="L1499" s="7"/>
      <c r="M1499" s="7"/>
      <c r="N1499" s="7"/>
      <c r="O1499" s="7"/>
      <c r="P1499" s="7"/>
      <c r="Q1499" s="7"/>
    </row>
    <row r="1500" spans="12:17" ht="15.75" customHeight="1">
      <c r="L1500" s="7"/>
      <c r="M1500" s="7"/>
      <c r="N1500" s="7"/>
      <c r="O1500" s="7"/>
      <c r="P1500" s="7"/>
      <c r="Q1500" s="7"/>
    </row>
    <row r="1501" spans="12:17" ht="15.75" customHeight="1">
      <c r="L1501" s="7"/>
      <c r="M1501" s="7"/>
      <c r="N1501" s="7"/>
      <c r="O1501" s="7"/>
      <c r="P1501" s="7"/>
      <c r="Q1501" s="7"/>
    </row>
    <row r="1502" spans="12:17" ht="15.75" customHeight="1">
      <c r="L1502" s="7"/>
      <c r="M1502" s="7"/>
      <c r="N1502" s="7"/>
      <c r="O1502" s="7"/>
      <c r="P1502" s="7"/>
      <c r="Q1502" s="7"/>
    </row>
    <row r="1503" spans="12:17" ht="15.75" customHeight="1">
      <c r="L1503" s="7"/>
      <c r="M1503" s="7"/>
      <c r="N1503" s="7"/>
      <c r="O1503" s="7"/>
      <c r="P1503" s="7"/>
      <c r="Q1503" s="7"/>
    </row>
    <row r="1504" spans="12:17" ht="15.75" customHeight="1">
      <c r="L1504" s="7"/>
      <c r="M1504" s="7"/>
      <c r="N1504" s="7"/>
      <c r="O1504" s="7"/>
      <c r="P1504" s="7"/>
      <c r="Q1504" s="7"/>
    </row>
    <row r="1505" spans="12:17" ht="15.75" customHeight="1">
      <c r="L1505" s="7"/>
      <c r="M1505" s="7"/>
      <c r="N1505" s="7"/>
      <c r="O1505" s="7"/>
      <c r="P1505" s="7"/>
      <c r="Q1505" s="7"/>
    </row>
    <row r="1506" spans="12:17" ht="15.75" customHeight="1">
      <c r="L1506" s="7"/>
      <c r="M1506" s="7"/>
      <c r="N1506" s="7"/>
      <c r="O1506" s="7"/>
      <c r="P1506" s="7"/>
      <c r="Q1506" s="7"/>
    </row>
    <row r="1507" spans="12:17" ht="15.75" customHeight="1">
      <c r="L1507" s="7"/>
      <c r="M1507" s="7"/>
      <c r="N1507" s="7"/>
      <c r="O1507" s="7"/>
      <c r="P1507" s="7"/>
      <c r="Q1507" s="7"/>
    </row>
    <row r="1508" spans="12:17" ht="15.75" customHeight="1">
      <c r="L1508" s="7"/>
      <c r="M1508" s="7"/>
      <c r="N1508" s="7"/>
      <c r="O1508" s="7"/>
      <c r="P1508" s="7"/>
      <c r="Q1508" s="7"/>
    </row>
    <row r="1509" spans="12:17" ht="15.75" customHeight="1">
      <c r="L1509" s="7"/>
      <c r="M1509" s="7"/>
      <c r="N1509" s="7"/>
      <c r="O1509" s="7"/>
      <c r="P1509" s="7"/>
      <c r="Q1509" s="7"/>
    </row>
    <row r="1510" spans="12:17" ht="15.75" customHeight="1">
      <c r="L1510" s="7"/>
      <c r="M1510" s="7"/>
      <c r="N1510" s="7"/>
      <c r="O1510" s="7"/>
      <c r="P1510" s="7"/>
      <c r="Q1510" s="7"/>
    </row>
    <row r="1511" spans="12:17" ht="15.75" customHeight="1">
      <c r="L1511" s="7"/>
      <c r="M1511" s="7"/>
      <c r="N1511" s="7"/>
      <c r="O1511" s="7"/>
      <c r="P1511" s="7"/>
      <c r="Q1511" s="7"/>
    </row>
    <row r="1512" spans="12:17" ht="15.75" customHeight="1">
      <c r="L1512" s="7"/>
      <c r="M1512" s="7"/>
      <c r="N1512" s="7"/>
      <c r="O1512" s="7"/>
      <c r="P1512" s="7"/>
      <c r="Q1512" s="7"/>
    </row>
    <row r="1513" spans="12:17" ht="15.75" customHeight="1">
      <c r="L1513" s="7"/>
      <c r="M1513" s="7"/>
      <c r="N1513" s="7"/>
      <c r="O1513" s="7"/>
      <c r="P1513" s="7"/>
      <c r="Q1513" s="7"/>
    </row>
    <row r="1514" spans="12:17" ht="15.75" customHeight="1">
      <c r="L1514" s="7"/>
      <c r="M1514" s="7"/>
      <c r="N1514" s="7"/>
      <c r="O1514" s="7"/>
      <c r="P1514" s="7"/>
      <c r="Q1514" s="7"/>
    </row>
    <row r="1515" spans="12:17" ht="15.75" customHeight="1">
      <c r="L1515" s="7"/>
      <c r="M1515" s="7"/>
      <c r="N1515" s="7"/>
      <c r="O1515" s="7"/>
      <c r="P1515" s="7"/>
      <c r="Q1515" s="7"/>
    </row>
    <row r="1516" spans="12:17" ht="15.75" customHeight="1">
      <c r="L1516" s="7"/>
      <c r="M1516" s="7"/>
      <c r="N1516" s="7"/>
      <c r="O1516" s="7"/>
      <c r="P1516" s="7"/>
      <c r="Q1516" s="7"/>
    </row>
    <row r="1517" spans="12:17" ht="15.75" customHeight="1">
      <c r="L1517" s="7"/>
      <c r="M1517" s="7"/>
      <c r="N1517" s="7"/>
      <c r="O1517" s="7"/>
      <c r="P1517" s="7"/>
      <c r="Q1517" s="7"/>
    </row>
    <row r="1518" spans="12:17" ht="15.75" customHeight="1">
      <c r="L1518" s="7"/>
      <c r="M1518" s="7"/>
      <c r="N1518" s="7"/>
      <c r="O1518" s="7"/>
      <c r="P1518" s="7"/>
      <c r="Q1518" s="7"/>
    </row>
    <row r="1519" spans="12:17" ht="15.75" customHeight="1">
      <c r="L1519" s="7"/>
      <c r="M1519" s="7"/>
      <c r="N1519" s="7"/>
      <c r="O1519" s="7"/>
      <c r="P1519" s="7"/>
      <c r="Q1519" s="7"/>
    </row>
    <row r="1520" spans="12:17" ht="15.75" customHeight="1">
      <c r="L1520" s="7"/>
      <c r="M1520" s="7"/>
      <c r="N1520" s="7"/>
      <c r="O1520" s="7"/>
      <c r="P1520" s="7"/>
      <c r="Q1520" s="7"/>
    </row>
    <row r="1521" spans="12:17" ht="15.75" customHeight="1">
      <c r="L1521" s="7"/>
      <c r="M1521" s="7"/>
      <c r="N1521" s="7"/>
      <c r="O1521" s="7"/>
      <c r="P1521" s="7"/>
      <c r="Q1521" s="7"/>
    </row>
    <row r="1522" spans="12:17" ht="15.75" customHeight="1">
      <c r="L1522" s="7"/>
      <c r="M1522" s="7"/>
      <c r="N1522" s="7"/>
      <c r="O1522" s="7"/>
      <c r="P1522" s="7"/>
      <c r="Q1522" s="7"/>
    </row>
    <row r="1523" spans="12:17" ht="15.75" customHeight="1">
      <c r="L1523" s="7"/>
      <c r="M1523" s="7"/>
      <c r="N1523" s="7"/>
      <c r="O1523" s="7"/>
      <c r="P1523" s="7"/>
      <c r="Q1523" s="7"/>
    </row>
    <row r="1524" spans="12:17" ht="15.75" customHeight="1">
      <c r="L1524" s="7"/>
      <c r="M1524" s="7"/>
      <c r="N1524" s="7"/>
      <c r="O1524" s="7"/>
      <c r="P1524" s="7"/>
      <c r="Q1524" s="7"/>
    </row>
    <row r="1525" spans="12:17" ht="15.75" customHeight="1">
      <c r="L1525" s="7"/>
      <c r="M1525" s="7"/>
      <c r="N1525" s="7"/>
      <c r="O1525" s="7"/>
      <c r="P1525" s="7"/>
      <c r="Q1525" s="7"/>
    </row>
    <row r="1526" spans="12:17" ht="15.75" customHeight="1">
      <c r="L1526" s="7"/>
      <c r="M1526" s="7"/>
      <c r="N1526" s="7"/>
      <c r="O1526" s="7"/>
      <c r="P1526" s="7"/>
      <c r="Q1526" s="7"/>
    </row>
    <row r="1527" spans="12:17" ht="15.75" customHeight="1">
      <c r="L1527" s="7"/>
      <c r="M1527" s="7"/>
      <c r="N1527" s="7"/>
      <c r="O1527" s="7"/>
      <c r="P1527" s="7"/>
      <c r="Q1527" s="7"/>
    </row>
    <row r="1528" spans="12:17" ht="15.75" customHeight="1">
      <c r="L1528" s="7"/>
      <c r="M1528" s="7"/>
      <c r="N1528" s="7"/>
      <c r="O1528" s="7"/>
      <c r="P1528" s="7"/>
      <c r="Q1528" s="7"/>
    </row>
    <row r="1529" spans="12:17" ht="15.75" customHeight="1">
      <c r="L1529" s="7"/>
      <c r="M1529" s="7"/>
      <c r="N1529" s="7"/>
      <c r="O1529" s="7"/>
      <c r="P1529" s="7"/>
      <c r="Q1529" s="7"/>
    </row>
    <row r="1530" spans="12:17" ht="15.75" customHeight="1">
      <c r="L1530" s="7"/>
      <c r="M1530" s="7"/>
      <c r="N1530" s="7"/>
      <c r="O1530" s="7"/>
      <c r="P1530" s="7"/>
      <c r="Q1530" s="7"/>
    </row>
    <row r="1531" spans="12:17" ht="15.75" customHeight="1">
      <c r="L1531" s="7"/>
      <c r="M1531" s="7"/>
      <c r="N1531" s="7"/>
      <c r="O1531" s="7"/>
      <c r="P1531" s="7"/>
      <c r="Q1531" s="7"/>
    </row>
    <row r="1532" spans="12:17" ht="15.75" customHeight="1">
      <c r="L1532" s="7"/>
      <c r="M1532" s="7"/>
      <c r="N1532" s="7"/>
      <c r="O1532" s="7"/>
      <c r="P1532" s="7"/>
      <c r="Q1532" s="7"/>
    </row>
    <row r="1533" spans="12:17" ht="15.75" customHeight="1">
      <c r="L1533" s="7"/>
      <c r="M1533" s="7"/>
      <c r="N1533" s="7"/>
      <c r="O1533" s="7"/>
      <c r="P1533" s="7"/>
      <c r="Q1533" s="7"/>
    </row>
    <row r="1534" spans="12:17" ht="15.75" customHeight="1">
      <c r="L1534" s="7"/>
      <c r="M1534" s="7"/>
      <c r="N1534" s="7"/>
      <c r="O1534" s="7"/>
      <c r="P1534" s="7"/>
      <c r="Q1534" s="7"/>
    </row>
    <row r="1535" spans="12:17" ht="15.75" customHeight="1">
      <c r="L1535" s="7"/>
      <c r="M1535" s="7"/>
      <c r="N1535" s="7"/>
      <c r="O1535" s="7"/>
      <c r="P1535" s="7"/>
      <c r="Q1535" s="7"/>
    </row>
    <row r="1536" spans="12:17" ht="15.75" customHeight="1">
      <c r="L1536" s="7"/>
      <c r="M1536" s="7"/>
      <c r="N1536" s="7"/>
      <c r="O1536" s="7"/>
      <c r="P1536" s="7"/>
      <c r="Q1536" s="7"/>
    </row>
    <row r="1537" spans="12:17" ht="15.75" customHeight="1">
      <c r="L1537" s="7"/>
      <c r="M1537" s="7"/>
      <c r="N1537" s="7"/>
      <c r="O1537" s="7"/>
      <c r="P1537" s="7"/>
      <c r="Q1537" s="7"/>
    </row>
    <row r="1538" spans="12:17" ht="15.75" customHeight="1">
      <c r="L1538" s="7"/>
      <c r="M1538" s="7"/>
      <c r="N1538" s="7"/>
      <c r="O1538" s="7"/>
      <c r="P1538" s="7"/>
      <c r="Q1538" s="7"/>
    </row>
    <row r="1539" spans="12:17" ht="15.75" customHeight="1">
      <c r="L1539" s="7"/>
      <c r="M1539" s="7"/>
      <c r="N1539" s="7"/>
      <c r="O1539" s="7"/>
      <c r="P1539" s="7"/>
      <c r="Q1539" s="7"/>
    </row>
    <row r="1540" spans="12:17" ht="15.75" customHeight="1">
      <c r="L1540" s="7"/>
      <c r="M1540" s="7"/>
      <c r="N1540" s="7"/>
      <c r="O1540" s="7"/>
      <c r="P1540" s="7"/>
      <c r="Q1540" s="7"/>
    </row>
    <row r="1541" spans="12:17" ht="15.75" customHeight="1">
      <c r="L1541" s="7"/>
      <c r="M1541" s="7"/>
      <c r="N1541" s="7"/>
      <c r="O1541" s="7"/>
      <c r="P1541" s="7"/>
      <c r="Q1541" s="7"/>
    </row>
    <row r="1542" spans="12:17" ht="15.75" customHeight="1">
      <c r="L1542" s="7"/>
      <c r="M1542" s="7"/>
      <c r="N1542" s="7"/>
      <c r="O1542" s="7"/>
      <c r="P1542" s="7"/>
      <c r="Q1542" s="7"/>
    </row>
    <row r="1543" spans="12:17" ht="15.75" customHeight="1">
      <c r="L1543" s="7"/>
      <c r="M1543" s="7"/>
      <c r="N1543" s="7"/>
      <c r="O1543" s="7"/>
      <c r="P1543" s="7"/>
      <c r="Q1543" s="7"/>
    </row>
    <row r="1544" spans="12:17" ht="15.75" customHeight="1">
      <c r="L1544" s="7"/>
      <c r="M1544" s="7"/>
      <c r="N1544" s="7"/>
      <c r="O1544" s="7"/>
      <c r="P1544" s="7"/>
      <c r="Q1544" s="7"/>
    </row>
    <row r="1545" spans="12:17" ht="15.75" customHeight="1">
      <c r="L1545" s="7"/>
      <c r="M1545" s="7"/>
      <c r="N1545" s="7"/>
      <c r="O1545" s="7"/>
      <c r="P1545" s="7"/>
      <c r="Q1545" s="7"/>
    </row>
    <row r="1546" spans="12:17" ht="15.75" customHeight="1">
      <c r="L1546" s="7"/>
      <c r="M1546" s="7"/>
      <c r="N1546" s="7"/>
      <c r="O1546" s="7"/>
      <c r="P1546" s="7"/>
      <c r="Q1546" s="7"/>
    </row>
    <row r="1547" spans="12:17" ht="15.75" customHeight="1">
      <c r="L1547" s="7"/>
      <c r="M1547" s="7"/>
      <c r="N1547" s="7"/>
      <c r="O1547" s="7"/>
      <c r="P1547" s="7"/>
      <c r="Q1547" s="7"/>
    </row>
    <row r="1548" spans="12:17" ht="15.75" customHeight="1">
      <c r="L1548" s="7"/>
      <c r="M1548" s="7"/>
      <c r="N1548" s="7"/>
      <c r="O1548" s="7"/>
      <c r="P1548" s="7"/>
      <c r="Q1548" s="7"/>
    </row>
    <row r="1549" spans="12:17" ht="15.75" customHeight="1">
      <c r="L1549" s="7"/>
      <c r="M1549" s="7"/>
      <c r="N1549" s="7"/>
      <c r="O1549" s="7"/>
      <c r="P1549" s="7"/>
      <c r="Q1549" s="7"/>
    </row>
    <row r="1550" spans="12:17" ht="15.75" customHeight="1">
      <c r="L1550" s="7"/>
      <c r="M1550" s="7"/>
      <c r="N1550" s="7"/>
      <c r="O1550" s="7"/>
      <c r="P1550" s="7"/>
      <c r="Q1550" s="7"/>
    </row>
    <row r="1551" spans="12:17" ht="15.75" customHeight="1">
      <c r="L1551" s="7"/>
      <c r="M1551" s="7"/>
      <c r="N1551" s="7"/>
      <c r="O1551" s="7"/>
      <c r="P1551" s="7"/>
      <c r="Q1551" s="7"/>
    </row>
    <row r="1552" spans="12:17" ht="15.75" customHeight="1">
      <c r="L1552" s="7"/>
      <c r="M1552" s="7"/>
      <c r="N1552" s="7"/>
      <c r="O1552" s="7"/>
      <c r="P1552" s="7"/>
      <c r="Q1552" s="7"/>
    </row>
    <row r="1553" spans="12:17" ht="15.75" customHeight="1">
      <c r="L1553" s="7"/>
      <c r="M1553" s="7"/>
      <c r="N1553" s="7"/>
      <c r="O1553" s="7"/>
      <c r="P1553" s="7"/>
      <c r="Q1553" s="7"/>
    </row>
    <row r="1554" spans="12:17" ht="15.75" customHeight="1">
      <c r="L1554" s="7"/>
      <c r="M1554" s="7"/>
      <c r="N1554" s="7"/>
      <c r="O1554" s="7"/>
      <c r="P1554" s="7"/>
      <c r="Q1554" s="7"/>
    </row>
    <row r="1555" spans="12:17" ht="15.75" customHeight="1">
      <c r="L1555" s="7"/>
      <c r="M1555" s="7"/>
      <c r="N1555" s="7"/>
      <c r="O1555" s="7"/>
      <c r="P1555" s="7"/>
      <c r="Q1555" s="7"/>
    </row>
    <row r="1556" spans="12:17" ht="15.75" customHeight="1">
      <c r="L1556" s="7"/>
      <c r="M1556" s="7"/>
      <c r="N1556" s="7"/>
      <c r="O1556" s="7"/>
      <c r="P1556" s="7"/>
      <c r="Q1556" s="7"/>
    </row>
    <row r="1557" spans="12:17" ht="15.75" customHeight="1">
      <c r="L1557" s="7"/>
      <c r="M1557" s="7"/>
      <c r="N1557" s="7"/>
      <c r="O1557" s="7"/>
      <c r="P1557" s="7"/>
      <c r="Q1557" s="7"/>
    </row>
    <row r="1558" spans="12:17" ht="15.75" customHeight="1">
      <c r="L1558" s="7"/>
      <c r="M1558" s="7"/>
      <c r="N1558" s="7"/>
      <c r="O1558" s="7"/>
      <c r="P1558" s="7"/>
      <c r="Q1558" s="7"/>
    </row>
    <row r="1559" spans="12:17" ht="15.75" customHeight="1">
      <c r="L1559" s="7"/>
      <c r="M1559" s="7"/>
      <c r="N1559" s="7"/>
      <c r="O1559" s="7"/>
      <c r="P1559" s="7"/>
      <c r="Q1559" s="7"/>
    </row>
    <row r="1560" spans="12:17" ht="15.75" customHeight="1">
      <c r="L1560" s="7"/>
      <c r="M1560" s="7"/>
      <c r="N1560" s="7"/>
      <c r="O1560" s="7"/>
      <c r="P1560" s="7"/>
      <c r="Q1560" s="7"/>
    </row>
    <row r="1561" spans="12:17" ht="15.75" customHeight="1">
      <c r="L1561" s="7"/>
      <c r="M1561" s="7"/>
      <c r="N1561" s="7"/>
      <c r="O1561" s="7"/>
      <c r="P1561" s="7"/>
      <c r="Q1561" s="7"/>
    </row>
    <row r="1562" spans="12:17" ht="15.75" customHeight="1">
      <c r="L1562" s="7"/>
      <c r="M1562" s="7"/>
      <c r="N1562" s="7"/>
      <c r="O1562" s="7"/>
      <c r="P1562" s="7"/>
      <c r="Q1562" s="7"/>
    </row>
    <row r="1563" spans="12:17" ht="15.75" customHeight="1">
      <c r="L1563" s="7"/>
      <c r="M1563" s="7"/>
      <c r="N1563" s="7"/>
      <c r="O1563" s="7"/>
      <c r="P1563" s="7"/>
      <c r="Q1563" s="7"/>
    </row>
    <row r="1564" spans="12:17" ht="15.75" customHeight="1">
      <c r="L1564" s="7"/>
      <c r="M1564" s="7"/>
      <c r="N1564" s="7"/>
      <c r="O1564" s="7"/>
      <c r="P1564" s="7"/>
      <c r="Q1564" s="7"/>
    </row>
    <row r="1565" spans="12:17" ht="15.75" customHeight="1">
      <c r="L1565" s="7"/>
      <c r="M1565" s="7"/>
      <c r="N1565" s="7"/>
      <c r="O1565" s="7"/>
      <c r="P1565" s="7"/>
      <c r="Q1565" s="7"/>
    </row>
    <row r="1566" spans="12:17" ht="15.75" customHeight="1">
      <c r="L1566" s="7"/>
      <c r="M1566" s="7"/>
      <c r="N1566" s="7"/>
      <c r="O1566" s="7"/>
      <c r="P1566" s="7"/>
      <c r="Q1566" s="7"/>
    </row>
    <row r="1567" spans="12:17" ht="15.75" customHeight="1">
      <c r="L1567" s="7"/>
      <c r="M1567" s="7"/>
      <c r="N1567" s="7"/>
      <c r="O1567" s="7"/>
      <c r="P1567" s="7"/>
      <c r="Q1567" s="7"/>
    </row>
    <row r="1568" spans="12:17" ht="15.75" customHeight="1">
      <c r="L1568" s="7"/>
      <c r="M1568" s="7"/>
      <c r="N1568" s="7"/>
      <c r="O1568" s="7"/>
      <c r="P1568" s="7"/>
      <c r="Q1568" s="7"/>
    </row>
    <row r="1569" spans="12:17" ht="15.75" customHeight="1">
      <c r="L1569" s="7"/>
      <c r="M1569" s="7"/>
      <c r="N1569" s="7"/>
      <c r="O1569" s="7"/>
      <c r="P1569" s="7"/>
      <c r="Q1569" s="7"/>
    </row>
    <row r="1570" spans="12:17" ht="15.75" customHeight="1">
      <c r="L1570" s="7"/>
      <c r="M1570" s="7"/>
      <c r="N1570" s="7"/>
      <c r="O1570" s="7"/>
      <c r="P1570" s="7"/>
      <c r="Q1570" s="7"/>
    </row>
    <row r="1571" spans="12:17" ht="15.75" customHeight="1">
      <c r="L1571" s="7"/>
      <c r="M1571" s="7"/>
      <c r="N1571" s="7"/>
      <c r="O1571" s="7"/>
      <c r="P1571" s="7"/>
      <c r="Q1571" s="7"/>
    </row>
    <row r="1572" spans="12:17" ht="15.75" customHeight="1">
      <c r="L1572" s="7"/>
      <c r="M1572" s="7"/>
      <c r="N1572" s="7"/>
      <c r="O1572" s="7"/>
      <c r="P1572" s="7"/>
      <c r="Q1572" s="7"/>
    </row>
    <row r="1573" spans="12:17" ht="15.75" customHeight="1">
      <c r="L1573" s="7"/>
      <c r="M1573" s="7"/>
      <c r="N1573" s="7"/>
      <c r="O1573" s="7"/>
      <c r="P1573" s="7"/>
      <c r="Q1573" s="7"/>
    </row>
    <row r="1574" spans="12:17" ht="15.75" customHeight="1">
      <c r="L1574" s="7"/>
      <c r="M1574" s="7"/>
      <c r="N1574" s="7"/>
      <c r="O1574" s="7"/>
      <c r="P1574" s="7"/>
      <c r="Q1574" s="7"/>
    </row>
    <row r="1575" spans="12:17" ht="15.75" customHeight="1">
      <c r="L1575" s="7"/>
      <c r="M1575" s="7"/>
      <c r="N1575" s="7"/>
      <c r="O1575" s="7"/>
      <c r="P1575" s="7"/>
      <c r="Q1575" s="7"/>
    </row>
    <row r="1576" spans="12:17" ht="15.75" customHeight="1">
      <c r="L1576" s="7"/>
      <c r="M1576" s="7"/>
      <c r="N1576" s="7"/>
      <c r="O1576" s="7"/>
      <c r="P1576" s="7"/>
      <c r="Q1576" s="7"/>
    </row>
    <row r="1577" spans="12:17" ht="15.75" customHeight="1">
      <c r="L1577" s="7"/>
      <c r="M1577" s="7"/>
      <c r="N1577" s="7"/>
      <c r="O1577" s="7"/>
      <c r="P1577" s="7"/>
      <c r="Q1577" s="7"/>
    </row>
    <row r="1578" spans="12:17" ht="15.75" customHeight="1">
      <c r="L1578" s="7"/>
      <c r="M1578" s="7"/>
      <c r="N1578" s="7"/>
      <c r="O1578" s="7"/>
      <c r="P1578" s="7"/>
      <c r="Q1578" s="7"/>
    </row>
    <row r="1579" spans="12:17" ht="15.75" customHeight="1">
      <c r="L1579" s="7"/>
      <c r="M1579" s="7"/>
      <c r="N1579" s="7"/>
      <c r="O1579" s="7"/>
      <c r="P1579" s="7"/>
      <c r="Q1579" s="7"/>
    </row>
    <row r="1580" spans="12:17" ht="15.75" customHeight="1">
      <c r="L1580" s="7"/>
      <c r="M1580" s="7"/>
      <c r="N1580" s="7"/>
      <c r="O1580" s="7"/>
      <c r="P1580" s="7"/>
      <c r="Q1580" s="7"/>
    </row>
    <row r="1581" spans="12:17" ht="15.75" customHeight="1">
      <c r="L1581" s="7"/>
      <c r="M1581" s="7"/>
      <c r="N1581" s="7"/>
      <c r="O1581" s="7"/>
      <c r="P1581" s="7"/>
      <c r="Q1581" s="7"/>
    </row>
    <row r="1582" spans="12:17" ht="15.75" customHeight="1">
      <c r="L1582" s="7"/>
      <c r="M1582" s="7"/>
      <c r="N1582" s="7"/>
      <c r="O1582" s="7"/>
      <c r="P1582" s="7"/>
      <c r="Q1582" s="7"/>
    </row>
    <row r="1583" spans="12:17" ht="15.75" customHeight="1">
      <c r="L1583" s="7"/>
      <c r="M1583" s="7"/>
      <c r="N1583" s="7"/>
      <c r="O1583" s="7"/>
      <c r="P1583" s="7"/>
      <c r="Q1583" s="7"/>
    </row>
    <row r="1584" spans="12:17" ht="15.75" customHeight="1">
      <c r="L1584" s="7"/>
      <c r="M1584" s="7"/>
      <c r="N1584" s="7"/>
      <c r="O1584" s="7"/>
      <c r="P1584" s="7"/>
      <c r="Q1584" s="7"/>
    </row>
    <row r="1585" spans="12:17" ht="15.75" customHeight="1">
      <c r="L1585" s="7"/>
      <c r="M1585" s="7"/>
      <c r="N1585" s="7"/>
      <c r="O1585" s="7"/>
      <c r="P1585" s="7"/>
      <c r="Q1585" s="7"/>
    </row>
    <row r="1586" spans="12:17" ht="15.75" customHeight="1">
      <c r="L1586" s="7"/>
      <c r="M1586" s="7"/>
      <c r="N1586" s="7"/>
      <c r="O1586" s="7"/>
      <c r="P1586" s="7"/>
      <c r="Q1586" s="7"/>
    </row>
    <row r="1587" spans="12:17" ht="15.75" customHeight="1">
      <c r="L1587" s="7"/>
      <c r="M1587" s="7"/>
      <c r="N1587" s="7"/>
      <c r="O1587" s="7"/>
      <c r="P1587" s="7"/>
      <c r="Q1587" s="7"/>
    </row>
    <row r="1588" spans="12:17" ht="15.75" customHeight="1">
      <c r="L1588" s="7"/>
      <c r="M1588" s="7"/>
      <c r="N1588" s="7"/>
      <c r="O1588" s="7"/>
      <c r="P1588" s="7"/>
      <c r="Q1588" s="7"/>
    </row>
    <row r="1589" spans="12:17" ht="15.75" customHeight="1">
      <c r="L1589" s="7"/>
      <c r="M1589" s="7"/>
      <c r="N1589" s="7"/>
      <c r="O1589" s="7"/>
      <c r="P1589" s="7"/>
      <c r="Q1589" s="7"/>
    </row>
    <row r="1590" spans="12:17" ht="15.75" customHeight="1">
      <c r="L1590" s="7"/>
      <c r="M1590" s="7"/>
      <c r="N1590" s="7"/>
      <c r="O1590" s="7"/>
      <c r="P1590" s="7"/>
      <c r="Q1590" s="7"/>
    </row>
    <row r="1591" spans="12:17" ht="15.75" customHeight="1">
      <c r="L1591" s="7"/>
      <c r="M1591" s="7"/>
      <c r="N1591" s="7"/>
      <c r="O1591" s="7"/>
      <c r="P1591" s="7"/>
      <c r="Q1591" s="7"/>
    </row>
    <row r="1592" spans="12:17" ht="15.75" customHeight="1">
      <c r="L1592" s="7"/>
      <c r="M1592" s="7"/>
      <c r="N1592" s="7"/>
      <c r="O1592" s="7"/>
      <c r="P1592" s="7"/>
      <c r="Q1592" s="7"/>
    </row>
    <row r="1593" spans="12:17" ht="15.75" customHeight="1">
      <c r="L1593" s="7"/>
      <c r="M1593" s="7"/>
      <c r="N1593" s="7"/>
      <c r="O1593" s="7"/>
      <c r="P1593" s="7"/>
      <c r="Q1593" s="7"/>
    </row>
    <row r="1594" spans="12:17" ht="15.75" customHeight="1">
      <c r="L1594" s="7"/>
      <c r="M1594" s="7"/>
      <c r="N1594" s="7"/>
      <c r="O1594" s="7"/>
      <c r="P1594" s="7"/>
      <c r="Q1594" s="7"/>
    </row>
    <row r="1595" spans="12:17" ht="15.75" customHeight="1">
      <c r="L1595" s="7"/>
      <c r="M1595" s="7"/>
      <c r="N1595" s="7"/>
      <c r="O1595" s="7"/>
      <c r="P1595" s="7"/>
      <c r="Q1595" s="7"/>
    </row>
    <row r="1596" spans="12:17" ht="15.75" customHeight="1">
      <c r="L1596" s="7"/>
      <c r="M1596" s="7"/>
      <c r="N1596" s="7"/>
      <c r="O1596" s="7"/>
      <c r="P1596" s="7"/>
      <c r="Q1596" s="7"/>
    </row>
    <row r="1597" spans="12:17" ht="15.75" customHeight="1">
      <c r="L1597" s="7"/>
      <c r="M1597" s="7"/>
      <c r="N1597" s="7"/>
      <c r="O1597" s="7"/>
      <c r="P1597" s="7"/>
      <c r="Q1597" s="7"/>
    </row>
    <row r="1598" spans="12:17" ht="15.75" customHeight="1">
      <c r="L1598" s="7"/>
      <c r="M1598" s="7"/>
      <c r="N1598" s="7"/>
      <c r="O1598" s="7"/>
      <c r="P1598" s="7"/>
      <c r="Q1598" s="7"/>
    </row>
    <row r="1599" spans="12:17" ht="15.75" customHeight="1">
      <c r="L1599" s="7"/>
      <c r="M1599" s="7"/>
      <c r="N1599" s="7"/>
      <c r="O1599" s="7"/>
      <c r="P1599" s="7"/>
      <c r="Q1599" s="7"/>
    </row>
    <row r="1600" spans="12:17" ht="15.75" customHeight="1">
      <c r="L1600" s="7"/>
      <c r="M1600" s="7"/>
      <c r="N1600" s="7"/>
      <c r="O1600" s="7"/>
      <c r="P1600" s="7"/>
      <c r="Q1600" s="7"/>
    </row>
    <row r="1601" spans="12:17" ht="15.75" customHeight="1">
      <c r="L1601" s="7"/>
      <c r="M1601" s="7"/>
      <c r="N1601" s="7"/>
      <c r="O1601" s="7"/>
      <c r="P1601" s="7"/>
      <c r="Q1601" s="7"/>
    </row>
    <row r="1602" spans="12:17" ht="15.75" customHeight="1">
      <c r="L1602" s="7"/>
      <c r="M1602" s="7"/>
      <c r="N1602" s="7"/>
      <c r="O1602" s="7"/>
      <c r="P1602" s="7"/>
      <c r="Q1602" s="7"/>
    </row>
    <row r="1603" spans="12:17" ht="15.75" customHeight="1">
      <c r="L1603" s="7"/>
      <c r="M1603" s="7"/>
      <c r="N1603" s="7"/>
      <c r="O1603" s="7"/>
      <c r="P1603" s="7"/>
      <c r="Q1603" s="7"/>
    </row>
    <row r="1604" spans="12:17" ht="15.75" customHeight="1">
      <c r="L1604" s="7"/>
      <c r="M1604" s="7"/>
      <c r="N1604" s="7"/>
      <c r="O1604" s="7"/>
      <c r="P1604" s="7"/>
      <c r="Q1604" s="7"/>
    </row>
    <row r="1605" spans="12:17" ht="15.75" customHeight="1">
      <c r="L1605" s="7"/>
      <c r="M1605" s="7"/>
      <c r="N1605" s="7"/>
      <c r="O1605" s="7"/>
      <c r="P1605" s="7"/>
      <c r="Q1605" s="7"/>
    </row>
    <row r="1606" spans="12:17" ht="15.75" customHeight="1">
      <c r="L1606" s="7"/>
      <c r="M1606" s="7"/>
      <c r="N1606" s="7"/>
      <c r="O1606" s="7"/>
      <c r="P1606" s="7"/>
      <c r="Q1606" s="7"/>
    </row>
    <row r="1607" spans="12:17" ht="15.75" customHeight="1">
      <c r="L1607" s="7"/>
      <c r="M1607" s="7"/>
      <c r="N1607" s="7"/>
      <c r="O1607" s="7"/>
      <c r="P1607" s="7"/>
      <c r="Q1607" s="7"/>
    </row>
    <row r="1608" spans="12:17" ht="15.75" customHeight="1">
      <c r="L1608" s="7"/>
      <c r="M1608" s="7"/>
      <c r="N1608" s="7"/>
      <c r="O1608" s="7"/>
      <c r="P1608" s="7"/>
      <c r="Q1608" s="7"/>
    </row>
    <row r="1609" spans="12:17" ht="15.75" customHeight="1">
      <c r="L1609" s="7"/>
      <c r="M1609" s="7"/>
      <c r="N1609" s="7"/>
      <c r="O1609" s="7"/>
      <c r="P1609" s="7"/>
      <c r="Q1609" s="7"/>
    </row>
    <row r="1610" spans="12:17" ht="15.75" customHeight="1">
      <c r="L1610" s="7"/>
      <c r="M1610" s="7"/>
      <c r="N1610" s="7"/>
      <c r="O1610" s="7"/>
      <c r="P1610" s="7"/>
      <c r="Q1610" s="7"/>
    </row>
    <row r="1611" spans="12:17" ht="15.75" customHeight="1">
      <c r="L1611" s="7"/>
      <c r="M1611" s="7"/>
      <c r="N1611" s="7"/>
      <c r="O1611" s="7"/>
      <c r="P1611" s="7"/>
      <c r="Q1611" s="7"/>
    </row>
    <row r="1612" spans="12:17" ht="15.75" customHeight="1">
      <c r="L1612" s="7"/>
      <c r="M1612" s="7"/>
      <c r="N1612" s="7"/>
      <c r="O1612" s="7"/>
      <c r="P1612" s="7"/>
      <c r="Q1612" s="7"/>
    </row>
    <row r="1613" spans="12:17" ht="15.75" customHeight="1">
      <c r="L1613" s="7"/>
      <c r="M1613" s="7"/>
      <c r="N1613" s="7"/>
      <c r="O1613" s="7"/>
      <c r="P1613" s="7"/>
      <c r="Q1613" s="7"/>
    </row>
    <row r="1614" spans="12:17" ht="15.75" customHeight="1">
      <c r="L1614" s="7"/>
      <c r="M1614" s="7"/>
      <c r="N1614" s="7"/>
      <c r="O1614" s="7"/>
      <c r="P1614" s="7"/>
      <c r="Q1614" s="7"/>
    </row>
    <row r="1615" spans="12:17" ht="15.75" customHeight="1">
      <c r="L1615" s="7"/>
      <c r="M1615" s="7"/>
      <c r="N1615" s="7"/>
      <c r="O1615" s="7"/>
      <c r="P1615" s="7"/>
      <c r="Q1615" s="7"/>
    </row>
    <row r="1616" spans="12:17" ht="15.75" customHeight="1">
      <c r="L1616" s="7"/>
      <c r="M1616" s="7"/>
      <c r="N1616" s="7"/>
      <c r="O1616" s="7"/>
      <c r="P1616" s="7"/>
      <c r="Q1616" s="7"/>
    </row>
    <row r="1617" spans="12:17" ht="15.75" customHeight="1">
      <c r="L1617" s="7"/>
      <c r="M1617" s="7"/>
      <c r="N1617" s="7"/>
      <c r="O1617" s="7"/>
      <c r="P1617" s="7"/>
      <c r="Q1617" s="7"/>
    </row>
    <row r="1618" spans="12:17" ht="15.75" customHeight="1">
      <c r="L1618" s="7"/>
      <c r="M1618" s="7"/>
      <c r="N1618" s="7"/>
      <c r="O1618" s="7"/>
      <c r="P1618" s="7"/>
      <c r="Q1618" s="7"/>
    </row>
    <row r="1619" spans="12:17" ht="15.75" customHeight="1">
      <c r="L1619" s="7"/>
      <c r="M1619" s="7"/>
      <c r="N1619" s="7"/>
      <c r="O1619" s="7"/>
      <c r="P1619" s="7"/>
      <c r="Q1619" s="7"/>
    </row>
    <row r="1620" spans="12:17" ht="15.75" customHeight="1">
      <c r="L1620" s="7"/>
      <c r="M1620" s="7"/>
      <c r="N1620" s="7"/>
      <c r="O1620" s="7"/>
      <c r="P1620" s="7"/>
      <c r="Q1620" s="7"/>
    </row>
    <row r="1621" spans="12:17" ht="15.75" customHeight="1">
      <c r="L1621" s="7"/>
      <c r="M1621" s="7"/>
      <c r="N1621" s="7"/>
      <c r="O1621" s="7"/>
      <c r="P1621" s="7"/>
      <c r="Q1621" s="7"/>
    </row>
    <row r="1622" spans="12:17" ht="15.75" customHeight="1">
      <c r="L1622" s="7"/>
      <c r="M1622" s="7"/>
      <c r="N1622" s="7"/>
      <c r="O1622" s="7"/>
      <c r="P1622" s="7"/>
      <c r="Q1622" s="7"/>
    </row>
    <row r="1623" spans="12:17" ht="15.75" customHeight="1">
      <c r="L1623" s="7"/>
      <c r="M1623" s="7"/>
      <c r="N1623" s="7"/>
      <c r="O1623" s="7"/>
      <c r="P1623" s="7"/>
      <c r="Q1623" s="7"/>
    </row>
    <row r="1624" spans="12:17" ht="15.75" customHeight="1">
      <c r="L1624" s="7"/>
      <c r="M1624" s="7"/>
      <c r="N1624" s="7"/>
      <c r="O1624" s="7"/>
      <c r="P1624" s="7"/>
      <c r="Q1624" s="7"/>
    </row>
    <row r="1625" spans="12:17" ht="15.75" customHeight="1">
      <c r="L1625" s="7"/>
      <c r="M1625" s="7"/>
      <c r="N1625" s="7"/>
      <c r="O1625" s="7"/>
      <c r="P1625" s="7"/>
      <c r="Q1625" s="7"/>
    </row>
    <row r="1626" spans="12:17" ht="15.75" customHeight="1">
      <c r="L1626" s="7"/>
      <c r="M1626" s="7"/>
      <c r="N1626" s="7"/>
      <c r="O1626" s="7"/>
      <c r="P1626" s="7"/>
      <c r="Q1626" s="7"/>
    </row>
    <row r="1627" spans="12:17" ht="15.75" customHeight="1">
      <c r="L1627" s="7"/>
      <c r="M1627" s="7"/>
      <c r="N1627" s="7"/>
      <c r="O1627" s="7"/>
      <c r="P1627" s="7"/>
      <c r="Q1627" s="7"/>
    </row>
    <row r="1628" spans="12:17" ht="15.75" customHeight="1">
      <c r="L1628" s="7"/>
      <c r="M1628" s="7"/>
      <c r="N1628" s="7"/>
      <c r="O1628" s="7"/>
      <c r="P1628" s="7"/>
      <c r="Q1628" s="7"/>
    </row>
    <row r="1629" spans="12:17" ht="15.75" customHeight="1">
      <c r="L1629" s="7"/>
      <c r="M1629" s="7"/>
      <c r="N1629" s="7"/>
      <c r="O1629" s="7"/>
      <c r="P1629" s="7"/>
      <c r="Q1629" s="7"/>
    </row>
    <row r="1630" spans="12:17" ht="15.75" customHeight="1">
      <c r="L1630" s="7"/>
      <c r="M1630" s="7"/>
      <c r="N1630" s="7"/>
      <c r="O1630" s="7"/>
      <c r="P1630" s="7"/>
      <c r="Q1630" s="7"/>
    </row>
    <row r="1631" spans="12:17" ht="15.75" customHeight="1">
      <c r="L1631" s="7"/>
      <c r="M1631" s="7"/>
      <c r="N1631" s="7"/>
      <c r="O1631" s="7"/>
      <c r="P1631" s="7"/>
      <c r="Q1631" s="7"/>
    </row>
    <row r="1632" spans="12:17" ht="15.75" customHeight="1">
      <c r="L1632" s="7"/>
      <c r="M1632" s="7"/>
      <c r="N1632" s="7"/>
      <c r="O1632" s="7"/>
      <c r="P1632" s="7"/>
      <c r="Q1632" s="7"/>
    </row>
    <row r="1633" spans="12:17" ht="15.75" customHeight="1">
      <c r="L1633" s="7"/>
      <c r="M1633" s="7"/>
      <c r="N1633" s="7"/>
      <c r="O1633" s="7"/>
      <c r="P1633" s="7"/>
      <c r="Q1633" s="7"/>
    </row>
    <row r="1634" spans="12:17" ht="15.75" customHeight="1">
      <c r="L1634" s="7"/>
      <c r="M1634" s="7"/>
      <c r="N1634" s="7"/>
      <c r="O1634" s="7"/>
      <c r="P1634" s="7"/>
      <c r="Q1634" s="7"/>
    </row>
    <row r="1635" spans="12:17" ht="15.75" customHeight="1">
      <c r="L1635" s="7"/>
      <c r="M1635" s="7"/>
      <c r="N1635" s="7"/>
      <c r="O1635" s="7"/>
      <c r="P1635" s="7"/>
      <c r="Q1635" s="7"/>
    </row>
    <row r="1636" spans="12:17" ht="15.75" customHeight="1">
      <c r="L1636" s="7"/>
      <c r="M1636" s="7"/>
      <c r="N1636" s="7"/>
      <c r="O1636" s="7"/>
      <c r="P1636" s="7"/>
      <c r="Q1636" s="7"/>
    </row>
    <row r="1637" spans="12:17" ht="15.75" customHeight="1">
      <c r="L1637" s="7"/>
      <c r="M1637" s="7"/>
      <c r="N1637" s="7"/>
      <c r="O1637" s="7"/>
      <c r="P1637" s="7"/>
      <c r="Q1637" s="7"/>
    </row>
    <row r="1638" spans="12:17" ht="15.75" customHeight="1">
      <c r="L1638" s="7"/>
      <c r="M1638" s="7"/>
      <c r="N1638" s="7"/>
      <c r="O1638" s="7"/>
      <c r="P1638" s="7"/>
      <c r="Q1638" s="7"/>
    </row>
    <row r="1639" spans="12:17" ht="15.75" customHeight="1">
      <c r="L1639" s="7"/>
      <c r="M1639" s="7"/>
      <c r="N1639" s="7"/>
      <c r="O1639" s="7"/>
      <c r="P1639" s="7"/>
      <c r="Q1639" s="7"/>
    </row>
    <row r="1640" spans="12:17" ht="15.75" customHeight="1">
      <c r="L1640" s="7"/>
      <c r="M1640" s="7"/>
      <c r="N1640" s="7"/>
      <c r="O1640" s="7"/>
      <c r="P1640" s="7"/>
      <c r="Q1640" s="7"/>
    </row>
    <row r="1641" spans="12:17" ht="15.75" customHeight="1">
      <c r="L1641" s="7"/>
      <c r="M1641" s="7"/>
      <c r="N1641" s="7"/>
      <c r="O1641" s="7"/>
      <c r="P1641" s="7"/>
      <c r="Q1641" s="7"/>
    </row>
    <row r="1642" spans="12:17" ht="15.75" customHeight="1">
      <c r="L1642" s="7"/>
      <c r="M1642" s="7"/>
      <c r="N1642" s="7"/>
      <c r="O1642" s="7"/>
      <c r="P1642" s="7"/>
      <c r="Q1642" s="7"/>
    </row>
    <row r="1643" spans="12:17" ht="15.75" customHeight="1">
      <c r="L1643" s="7"/>
      <c r="M1643" s="7"/>
      <c r="N1643" s="7"/>
      <c r="O1643" s="7"/>
      <c r="P1643" s="7"/>
      <c r="Q1643" s="7"/>
    </row>
    <row r="1644" spans="12:17" ht="15.75" customHeight="1">
      <c r="L1644" s="7"/>
      <c r="M1644" s="7"/>
      <c r="N1644" s="7"/>
      <c r="O1644" s="7"/>
      <c r="P1644" s="7"/>
      <c r="Q1644" s="7"/>
    </row>
    <row r="1645" spans="12:17" ht="15.75" customHeight="1">
      <c r="L1645" s="7"/>
      <c r="M1645" s="7"/>
      <c r="N1645" s="7"/>
      <c r="O1645" s="7"/>
      <c r="P1645" s="7"/>
      <c r="Q1645" s="7"/>
    </row>
    <row r="1646" spans="12:17" ht="15.75" customHeight="1">
      <c r="L1646" s="7"/>
      <c r="M1646" s="7"/>
      <c r="N1646" s="7"/>
      <c r="O1646" s="7"/>
      <c r="P1646" s="7"/>
      <c r="Q1646" s="7"/>
    </row>
    <row r="1647" spans="12:17" ht="15.75" customHeight="1">
      <c r="L1647" s="7"/>
      <c r="M1647" s="7"/>
      <c r="N1647" s="7"/>
      <c r="O1647" s="7"/>
      <c r="P1647" s="7"/>
      <c r="Q1647" s="7"/>
    </row>
    <row r="1648" spans="12:17" ht="15.75" customHeight="1">
      <c r="L1648" s="7"/>
      <c r="M1648" s="7"/>
      <c r="N1648" s="7"/>
      <c r="O1648" s="7"/>
      <c r="P1648" s="7"/>
      <c r="Q1648" s="7"/>
    </row>
    <row r="1649" spans="12:17" ht="15.75" customHeight="1">
      <c r="L1649" s="7"/>
      <c r="M1649" s="7"/>
      <c r="N1649" s="7"/>
      <c r="O1649" s="7"/>
      <c r="P1649" s="7"/>
      <c r="Q1649" s="7"/>
    </row>
    <row r="1650" spans="12:17" ht="15.75" customHeight="1">
      <c r="L1650" s="7"/>
      <c r="M1650" s="7"/>
      <c r="N1650" s="7"/>
      <c r="O1650" s="7"/>
      <c r="P1650" s="7"/>
      <c r="Q1650" s="7"/>
    </row>
    <row r="1651" spans="12:17" ht="15.75" customHeight="1">
      <c r="L1651" s="7"/>
      <c r="M1651" s="7"/>
      <c r="N1651" s="7"/>
      <c r="O1651" s="7"/>
      <c r="P1651" s="7"/>
      <c r="Q1651" s="7"/>
    </row>
    <row r="1652" spans="12:17" ht="15.75" customHeight="1">
      <c r="L1652" s="7"/>
      <c r="M1652" s="7"/>
      <c r="N1652" s="7"/>
      <c r="O1652" s="7"/>
      <c r="P1652" s="7"/>
      <c r="Q1652" s="7"/>
    </row>
    <row r="1653" spans="12:17" ht="15.75" customHeight="1">
      <c r="L1653" s="7"/>
      <c r="M1653" s="7"/>
      <c r="N1653" s="7"/>
      <c r="O1653" s="7"/>
      <c r="P1653" s="7"/>
      <c r="Q1653" s="7"/>
    </row>
    <row r="1654" spans="12:17" ht="15.75" customHeight="1">
      <c r="L1654" s="7"/>
      <c r="M1654" s="7"/>
      <c r="N1654" s="7"/>
      <c r="O1654" s="7"/>
      <c r="P1654" s="7"/>
      <c r="Q1654" s="7"/>
    </row>
    <row r="1655" spans="12:17" ht="15.75" customHeight="1">
      <c r="L1655" s="7"/>
      <c r="M1655" s="7"/>
      <c r="N1655" s="7"/>
      <c r="O1655" s="7"/>
      <c r="P1655" s="7"/>
      <c r="Q1655" s="7"/>
    </row>
    <row r="1656" spans="12:17" ht="15.75" customHeight="1">
      <c r="L1656" s="7"/>
      <c r="M1656" s="7"/>
      <c r="N1656" s="7"/>
      <c r="O1656" s="7"/>
      <c r="P1656" s="7"/>
      <c r="Q1656" s="7"/>
    </row>
    <row r="1657" spans="12:17" ht="15.75" customHeight="1">
      <c r="L1657" s="7"/>
      <c r="M1657" s="7"/>
      <c r="N1657" s="7"/>
      <c r="O1657" s="7"/>
      <c r="P1657" s="7"/>
      <c r="Q1657" s="7"/>
    </row>
    <row r="1658" spans="12:17" ht="15.75" customHeight="1">
      <c r="L1658" s="7"/>
      <c r="M1658" s="7"/>
      <c r="N1658" s="7"/>
      <c r="O1658" s="7"/>
      <c r="P1658" s="7"/>
      <c r="Q1658" s="7"/>
    </row>
    <row r="1659" spans="12:17" ht="15.75" customHeight="1">
      <c r="L1659" s="7"/>
      <c r="M1659" s="7"/>
      <c r="N1659" s="7"/>
      <c r="O1659" s="7"/>
      <c r="P1659" s="7"/>
      <c r="Q1659" s="7"/>
    </row>
    <row r="1660" spans="12:17" ht="15.75" customHeight="1">
      <c r="L1660" s="7"/>
      <c r="M1660" s="7"/>
      <c r="N1660" s="7"/>
      <c r="O1660" s="7"/>
      <c r="P1660" s="7"/>
      <c r="Q1660" s="7"/>
    </row>
    <row r="1661" spans="12:17" ht="15.75" customHeight="1">
      <c r="L1661" s="7"/>
      <c r="M1661" s="7"/>
      <c r="N1661" s="7"/>
      <c r="O1661" s="7"/>
      <c r="P1661" s="7"/>
      <c r="Q1661" s="7"/>
    </row>
    <row r="1662" spans="12:17" ht="15.75" customHeight="1">
      <c r="L1662" s="7"/>
      <c r="M1662" s="7"/>
      <c r="N1662" s="7"/>
      <c r="O1662" s="7"/>
      <c r="P1662" s="7"/>
      <c r="Q1662" s="7"/>
    </row>
    <row r="1663" spans="12:17" ht="15.75" customHeight="1">
      <c r="L1663" s="7"/>
      <c r="M1663" s="7"/>
      <c r="N1663" s="7"/>
      <c r="O1663" s="7"/>
      <c r="P1663" s="7"/>
      <c r="Q1663" s="7"/>
    </row>
    <row r="1664" spans="12:17" ht="15.75" customHeight="1">
      <c r="L1664" s="7"/>
      <c r="M1664" s="7"/>
      <c r="N1664" s="7"/>
      <c r="O1664" s="7"/>
      <c r="P1664" s="7"/>
      <c r="Q1664" s="7"/>
    </row>
    <row r="1665" spans="12:17" ht="15.75" customHeight="1">
      <c r="L1665" s="7"/>
      <c r="M1665" s="7"/>
      <c r="N1665" s="7"/>
      <c r="O1665" s="7"/>
      <c r="P1665" s="7"/>
      <c r="Q1665" s="7"/>
    </row>
    <row r="1666" spans="12:17" ht="15.75" customHeight="1">
      <c r="L1666" s="7"/>
      <c r="M1666" s="7"/>
      <c r="N1666" s="7"/>
      <c r="O1666" s="7"/>
      <c r="P1666" s="7"/>
      <c r="Q1666" s="7"/>
    </row>
    <row r="1667" spans="12:17" ht="15.75" customHeight="1">
      <c r="L1667" s="7"/>
      <c r="M1667" s="7"/>
      <c r="N1667" s="7"/>
      <c r="O1667" s="7"/>
      <c r="P1667" s="7"/>
      <c r="Q1667" s="7"/>
    </row>
    <row r="1668" spans="12:17" ht="15.75" customHeight="1">
      <c r="L1668" s="7"/>
      <c r="M1668" s="7"/>
      <c r="N1668" s="7"/>
      <c r="O1668" s="7"/>
      <c r="P1668" s="7"/>
      <c r="Q1668" s="7"/>
    </row>
    <row r="1669" spans="12:17" ht="15.75" customHeight="1">
      <c r="L1669" s="7"/>
      <c r="M1669" s="7"/>
      <c r="N1669" s="7"/>
      <c r="O1669" s="7"/>
      <c r="P1669" s="7"/>
      <c r="Q1669" s="7"/>
    </row>
    <row r="1670" spans="12:17" ht="15.75" customHeight="1">
      <c r="L1670" s="7"/>
      <c r="M1670" s="7"/>
      <c r="N1670" s="7"/>
      <c r="O1670" s="7"/>
      <c r="P1670" s="7"/>
      <c r="Q1670" s="7"/>
    </row>
    <row r="1671" spans="12:17" ht="15.75" customHeight="1">
      <c r="L1671" s="7"/>
      <c r="M1671" s="7"/>
      <c r="N1671" s="7"/>
      <c r="O1671" s="7"/>
      <c r="P1671" s="7"/>
      <c r="Q1671" s="7"/>
    </row>
    <row r="1672" spans="12:17" ht="15.75" customHeight="1">
      <c r="L1672" s="7"/>
      <c r="M1672" s="7"/>
      <c r="N1672" s="7"/>
      <c r="O1672" s="7"/>
      <c r="P1672" s="7"/>
      <c r="Q1672" s="7"/>
    </row>
    <row r="1673" spans="12:17" ht="15.75" customHeight="1">
      <c r="L1673" s="7"/>
      <c r="M1673" s="7"/>
      <c r="N1673" s="7"/>
      <c r="O1673" s="7"/>
      <c r="P1673" s="7"/>
      <c r="Q1673" s="7"/>
    </row>
    <row r="1674" spans="12:17" ht="15.75" customHeight="1">
      <c r="L1674" s="7"/>
      <c r="M1674" s="7"/>
      <c r="N1674" s="7"/>
      <c r="O1674" s="7"/>
      <c r="P1674" s="7"/>
      <c r="Q1674" s="7"/>
    </row>
    <row r="1675" spans="12:17" ht="15.75" customHeight="1">
      <c r="L1675" s="7"/>
      <c r="M1675" s="7"/>
      <c r="N1675" s="7"/>
      <c r="O1675" s="7"/>
      <c r="P1675" s="7"/>
      <c r="Q1675" s="7"/>
    </row>
    <row r="1676" spans="12:17" ht="15.75" customHeight="1">
      <c r="L1676" s="7"/>
      <c r="M1676" s="7"/>
      <c r="N1676" s="7"/>
      <c r="O1676" s="7"/>
      <c r="P1676" s="7"/>
      <c r="Q1676" s="7"/>
    </row>
    <row r="1677" spans="12:17" ht="15.75" customHeight="1">
      <c r="L1677" s="7"/>
      <c r="M1677" s="7"/>
      <c r="N1677" s="7"/>
      <c r="O1677" s="7"/>
      <c r="P1677" s="7"/>
      <c r="Q1677" s="7"/>
    </row>
    <row r="1678" spans="12:17" ht="15.75" customHeight="1">
      <c r="L1678" s="7"/>
      <c r="M1678" s="7"/>
      <c r="N1678" s="7"/>
      <c r="O1678" s="7"/>
      <c r="P1678" s="7"/>
      <c r="Q1678" s="7"/>
    </row>
    <row r="1679" spans="12:17" ht="15.75" customHeight="1">
      <c r="L1679" s="7"/>
      <c r="M1679" s="7"/>
      <c r="N1679" s="7"/>
      <c r="O1679" s="7"/>
      <c r="P1679" s="7"/>
      <c r="Q1679" s="7"/>
    </row>
    <row r="1680" spans="12:17" ht="15.75" customHeight="1">
      <c r="L1680" s="7"/>
      <c r="M1680" s="7"/>
      <c r="N1680" s="7"/>
      <c r="O1680" s="7"/>
      <c r="P1680" s="7"/>
      <c r="Q1680" s="7"/>
    </row>
    <row r="1681" spans="12:17" ht="15.75" customHeight="1">
      <c r="L1681" s="7"/>
      <c r="M1681" s="7"/>
      <c r="N1681" s="7"/>
      <c r="O1681" s="7"/>
      <c r="P1681" s="7"/>
      <c r="Q1681" s="7"/>
    </row>
    <row r="1682" spans="12:17" ht="15.75" customHeight="1">
      <c r="L1682" s="7"/>
      <c r="M1682" s="7"/>
      <c r="N1682" s="7"/>
      <c r="O1682" s="7"/>
      <c r="P1682" s="7"/>
      <c r="Q1682" s="7"/>
    </row>
    <row r="1683" spans="12:17" ht="15.75" customHeight="1">
      <c r="L1683" s="7"/>
      <c r="M1683" s="7"/>
      <c r="N1683" s="7"/>
      <c r="O1683" s="7"/>
      <c r="P1683" s="7"/>
      <c r="Q1683" s="7"/>
    </row>
    <row r="1684" spans="12:17" ht="15.75" customHeight="1">
      <c r="L1684" s="7"/>
      <c r="M1684" s="7"/>
      <c r="N1684" s="7"/>
      <c r="O1684" s="7"/>
      <c r="P1684" s="7"/>
      <c r="Q1684" s="7"/>
    </row>
    <row r="1685" spans="12:17" ht="15.75" customHeight="1">
      <c r="L1685" s="7"/>
      <c r="M1685" s="7"/>
      <c r="N1685" s="7"/>
      <c r="O1685" s="7"/>
      <c r="P1685" s="7"/>
      <c r="Q1685" s="7"/>
    </row>
    <row r="1686" spans="12:17" ht="15.75" customHeight="1">
      <c r="L1686" s="7"/>
      <c r="M1686" s="7"/>
      <c r="N1686" s="7"/>
      <c r="O1686" s="7"/>
      <c r="P1686" s="7"/>
      <c r="Q1686" s="7"/>
    </row>
    <row r="1687" spans="12:17" ht="15.75" customHeight="1">
      <c r="L1687" s="7"/>
      <c r="M1687" s="7"/>
      <c r="N1687" s="7"/>
      <c r="O1687" s="7"/>
      <c r="P1687" s="7"/>
      <c r="Q1687" s="7"/>
    </row>
    <row r="1688" spans="12:17" ht="15.75" customHeight="1">
      <c r="L1688" s="7"/>
      <c r="M1688" s="7"/>
      <c r="N1688" s="7"/>
      <c r="O1688" s="7"/>
      <c r="P1688" s="7"/>
      <c r="Q1688" s="7"/>
    </row>
    <row r="1689" spans="12:17" ht="15.75" customHeight="1">
      <c r="L1689" s="7"/>
      <c r="M1689" s="7"/>
      <c r="N1689" s="7"/>
      <c r="O1689" s="7"/>
      <c r="P1689" s="7"/>
      <c r="Q1689" s="7"/>
    </row>
    <row r="1690" spans="12:17" ht="15.75" customHeight="1">
      <c r="L1690" s="7"/>
      <c r="M1690" s="7"/>
      <c r="N1690" s="7"/>
      <c r="O1690" s="7"/>
      <c r="P1690" s="7"/>
      <c r="Q1690" s="7"/>
    </row>
    <row r="1691" spans="12:17" ht="15.75" customHeight="1">
      <c r="L1691" s="7"/>
      <c r="M1691" s="7"/>
      <c r="N1691" s="7"/>
      <c r="O1691" s="7"/>
      <c r="P1691" s="7"/>
      <c r="Q1691" s="7"/>
    </row>
    <row r="1692" spans="12:17" ht="15.75" customHeight="1">
      <c r="L1692" s="7"/>
      <c r="M1692" s="7"/>
      <c r="N1692" s="7"/>
      <c r="O1692" s="7"/>
      <c r="P1692" s="7"/>
      <c r="Q1692" s="7"/>
    </row>
    <row r="1693" spans="12:17" ht="15.75" customHeight="1">
      <c r="L1693" s="7"/>
      <c r="M1693" s="7"/>
      <c r="N1693" s="7"/>
      <c r="O1693" s="7"/>
      <c r="P1693" s="7"/>
      <c r="Q1693" s="7"/>
    </row>
    <row r="1694" spans="12:17" ht="15.75" customHeight="1">
      <c r="L1694" s="7"/>
      <c r="M1694" s="7"/>
      <c r="N1694" s="7"/>
      <c r="O1694" s="7"/>
      <c r="P1694" s="7"/>
      <c r="Q1694" s="7"/>
    </row>
    <row r="1695" spans="12:17" ht="15.75" customHeight="1">
      <c r="L1695" s="7"/>
      <c r="M1695" s="7"/>
      <c r="N1695" s="7"/>
      <c r="O1695" s="7"/>
      <c r="P1695" s="7"/>
      <c r="Q1695" s="7"/>
    </row>
    <row r="1696" spans="12:17" ht="15.75" customHeight="1">
      <c r="L1696" s="7"/>
      <c r="M1696" s="7"/>
      <c r="N1696" s="7"/>
      <c r="O1696" s="7"/>
      <c r="P1696" s="7"/>
      <c r="Q1696" s="7"/>
    </row>
    <row r="1697" spans="12:17" ht="15.75" customHeight="1">
      <c r="L1697" s="7"/>
      <c r="M1697" s="7"/>
      <c r="N1697" s="7"/>
      <c r="O1697" s="7"/>
      <c r="P1697" s="7"/>
      <c r="Q1697" s="7"/>
    </row>
    <row r="1698" spans="12:17" ht="15.75" customHeight="1">
      <c r="L1698" s="7"/>
      <c r="M1698" s="7"/>
      <c r="N1698" s="7"/>
      <c r="O1698" s="7"/>
      <c r="P1698" s="7"/>
      <c r="Q1698" s="7"/>
    </row>
    <row r="1699" spans="12:17" ht="15.75" customHeight="1">
      <c r="L1699" s="7"/>
      <c r="M1699" s="7"/>
      <c r="N1699" s="7"/>
      <c r="O1699" s="7"/>
      <c r="P1699" s="7"/>
      <c r="Q1699" s="7"/>
    </row>
    <row r="1700" spans="12:17" ht="15.75" customHeight="1">
      <c r="L1700" s="7"/>
      <c r="M1700" s="7"/>
      <c r="N1700" s="7"/>
      <c r="O1700" s="7"/>
      <c r="P1700" s="7"/>
      <c r="Q1700" s="7"/>
    </row>
    <row r="1701" spans="12:17" ht="15.75" customHeight="1">
      <c r="L1701" s="7"/>
      <c r="M1701" s="7"/>
      <c r="N1701" s="7"/>
      <c r="O1701" s="7"/>
      <c r="P1701" s="7"/>
      <c r="Q1701" s="7"/>
    </row>
    <row r="1702" spans="12:17" ht="15.75" customHeight="1">
      <c r="L1702" s="7"/>
      <c r="M1702" s="7"/>
      <c r="N1702" s="7"/>
      <c r="O1702" s="7"/>
      <c r="P1702" s="7"/>
      <c r="Q1702" s="7"/>
    </row>
    <row r="1703" spans="12:17" ht="15.75" customHeight="1">
      <c r="L1703" s="7"/>
      <c r="M1703" s="7"/>
      <c r="N1703" s="7"/>
      <c r="O1703" s="7"/>
      <c r="P1703" s="7"/>
      <c r="Q1703" s="7"/>
    </row>
    <row r="1704" spans="12:17" ht="15.75" customHeight="1">
      <c r="L1704" s="7"/>
      <c r="M1704" s="7"/>
      <c r="N1704" s="7"/>
      <c r="O1704" s="7"/>
      <c r="P1704" s="7"/>
      <c r="Q1704" s="7"/>
    </row>
    <row r="1705" spans="12:17" ht="15.75" customHeight="1">
      <c r="L1705" s="7"/>
      <c r="M1705" s="7"/>
      <c r="N1705" s="7"/>
      <c r="O1705" s="7"/>
      <c r="P1705" s="7"/>
      <c r="Q1705" s="7"/>
    </row>
    <row r="1706" spans="12:17" ht="15.75" customHeight="1">
      <c r="L1706" s="7"/>
      <c r="M1706" s="7"/>
      <c r="N1706" s="7"/>
      <c r="O1706" s="7"/>
      <c r="P1706" s="7"/>
      <c r="Q1706" s="7"/>
    </row>
    <row r="1707" spans="12:17" ht="15.75" customHeight="1">
      <c r="L1707" s="7"/>
      <c r="M1707" s="7"/>
      <c r="N1707" s="7"/>
      <c r="O1707" s="7"/>
      <c r="P1707" s="7"/>
      <c r="Q1707" s="7"/>
    </row>
    <row r="1708" spans="12:17" ht="15.75" customHeight="1">
      <c r="L1708" s="7"/>
      <c r="M1708" s="7"/>
      <c r="N1708" s="7"/>
      <c r="O1708" s="7"/>
      <c r="P1708" s="7"/>
      <c r="Q1708" s="7"/>
    </row>
    <row r="1709" spans="12:17" ht="15.75" customHeight="1">
      <c r="L1709" s="7"/>
      <c r="M1709" s="7"/>
      <c r="N1709" s="7"/>
      <c r="O1709" s="7"/>
      <c r="P1709" s="7"/>
      <c r="Q1709" s="7"/>
    </row>
    <row r="1710" spans="12:17" ht="15.75" customHeight="1">
      <c r="L1710" s="7"/>
      <c r="M1710" s="7"/>
      <c r="N1710" s="7"/>
      <c r="O1710" s="7"/>
      <c r="P1710" s="7"/>
      <c r="Q1710" s="7"/>
    </row>
    <row r="1711" spans="12:17" ht="15.75" customHeight="1">
      <c r="L1711" s="7"/>
      <c r="M1711" s="7"/>
      <c r="N1711" s="7"/>
      <c r="O1711" s="7"/>
      <c r="P1711" s="7"/>
      <c r="Q1711" s="7"/>
    </row>
    <row r="1712" spans="12:17" ht="15.75" customHeight="1">
      <c r="L1712" s="7"/>
      <c r="M1712" s="7"/>
      <c r="N1712" s="7"/>
      <c r="O1712" s="7"/>
      <c r="P1712" s="7"/>
      <c r="Q1712" s="7"/>
    </row>
    <row r="1713" spans="12:17" ht="15.75" customHeight="1">
      <c r="L1713" s="7"/>
      <c r="M1713" s="7"/>
      <c r="N1713" s="7"/>
      <c r="O1713" s="7"/>
      <c r="P1713" s="7"/>
      <c r="Q1713" s="7"/>
    </row>
    <row r="1714" spans="12:17" ht="15.75" customHeight="1">
      <c r="L1714" s="7"/>
      <c r="M1714" s="7"/>
      <c r="N1714" s="7"/>
      <c r="O1714" s="7"/>
      <c r="P1714" s="7"/>
      <c r="Q1714" s="7"/>
    </row>
    <row r="1715" spans="12:17" ht="15.75" customHeight="1">
      <c r="L1715" s="7"/>
      <c r="M1715" s="7"/>
      <c r="N1715" s="7"/>
      <c r="O1715" s="7"/>
      <c r="P1715" s="7"/>
      <c r="Q1715" s="7"/>
    </row>
    <row r="1716" spans="12:17" ht="15.75" customHeight="1">
      <c r="L1716" s="7"/>
      <c r="M1716" s="7"/>
      <c r="N1716" s="7"/>
      <c r="O1716" s="7"/>
      <c r="P1716" s="7"/>
      <c r="Q1716" s="7"/>
    </row>
    <row r="1717" spans="12:17" ht="15.75" customHeight="1">
      <c r="L1717" s="7"/>
      <c r="M1717" s="7"/>
      <c r="N1717" s="7"/>
      <c r="O1717" s="7"/>
      <c r="P1717" s="7"/>
      <c r="Q1717" s="7"/>
    </row>
    <row r="1718" spans="12:17" ht="15.75" customHeight="1">
      <c r="L1718" s="7"/>
      <c r="M1718" s="7"/>
      <c r="N1718" s="7"/>
      <c r="O1718" s="7"/>
      <c r="P1718" s="7"/>
      <c r="Q1718" s="7"/>
    </row>
    <row r="1719" spans="12:17" ht="15.75" customHeight="1">
      <c r="L1719" s="7"/>
      <c r="M1719" s="7"/>
      <c r="N1719" s="7"/>
      <c r="O1719" s="7"/>
      <c r="P1719" s="7"/>
      <c r="Q1719" s="7"/>
    </row>
    <row r="1720" spans="12:17" ht="15.75" customHeight="1">
      <c r="L1720" s="7"/>
      <c r="M1720" s="7"/>
      <c r="N1720" s="7"/>
      <c r="O1720" s="7"/>
      <c r="P1720" s="7"/>
      <c r="Q1720" s="7"/>
    </row>
    <row r="1721" spans="12:17" ht="15.75" customHeight="1">
      <c r="L1721" s="7"/>
      <c r="M1721" s="7"/>
      <c r="N1721" s="7"/>
      <c r="O1721" s="7"/>
      <c r="P1721" s="7"/>
      <c r="Q1721" s="7"/>
    </row>
    <row r="1722" spans="12:17" ht="15.75" customHeight="1">
      <c r="L1722" s="7"/>
      <c r="M1722" s="7"/>
      <c r="N1722" s="7"/>
      <c r="O1722" s="7"/>
      <c r="P1722" s="7"/>
      <c r="Q1722" s="7"/>
    </row>
    <row r="1723" spans="12:17" ht="15.75" customHeight="1">
      <c r="L1723" s="7"/>
      <c r="M1723" s="7"/>
      <c r="N1723" s="7"/>
      <c r="O1723" s="7"/>
      <c r="P1723" s="7"/>
      <c r="Q1723" s="7"/>
    </row>
    <row r="1724" spans="12:17" ht="15.75" customHeight="1">
      <c r="L1724" s="7"/>
      <c r="M1724" s="7"/>
      <c r="N1724" s="7"/>
      <c r="O1724" s="7"/>
      <c r="P1724" s="7"/>
      <c r="Q1724" s="7"/>
    </row>
    <row r="1725" spans="12:17" ht="15.75" customHeight="1">
      <c r="L1725" s="7"/>
      <c r="M1725" s="7"/>
      <c r="N1725" s="7"/>
      <c r="O1725" s="7"/>
      <c r="P1725" s="7"/>
      <c r="Q1725" s="7"/>
    </row>
    <row r="1726" spans="12:17" ht="15.75" customHeight="1">
      <c r="L1726" s="7"/>
      <c r="M1726" s="7"/>
      <c r="N1726" s="7"/>
      <c r="O1726" s="7"/>
      <c r="P1726" s="7"/>
      <c r="Q1726" s="7"/>
    </row>
    <row r="1727" spans="12:17" ht="15.75" customHeight="1">
      <c r="L1727" s="7"/>
      <c r="M1727" s="7"/>
      <c r="N1727" s="7"/>
      <c r="O1727" s="7"/>
      <c r="P1727" s="7"/>
      <c r="Q1727" s="7"/>
    </row>
    <row r="1728" spans="12:17" ht="15.75" customHeight="1">
      <c r="L1728" s="7"/>
      <c r="M1728" s="7"/>
      <c r="N1728" s="7"/>
      <c r="O1728" s="7"/>
      <c r="P1728" s="7"/>
      <c r="Q1728" s="7"/>
    </row>
    <row r="1729" spans="12:17" ht="15.75" customHeight="1">
      <c r="L1729" s="7"/>
      <c r="M1729" s="7"/>
      <c r="N1729" s="7"/>
      <c r="O1729" s="7"/>
      <c r="P1729" s="7"/>
      <c r="Q1729" s="7"/>
    </row>
    <row r="1730" spans="12:17" ht="15.75" customHeight="1">
      <c r="L1730" s="7"/>
      <c r="M1730" s="7"/>
      <c r="N1730" s="7"/>
      <c r="O1730" s="7"/>
      <c r="P1730" s="7"/>
      <c r="Q1730" s="7"/>
    </row>
    <row r="1731" spans="12:17" ht="15.75" customHeight="1">
      <c r="L1731" s="7"/>
      <c r="M1731" s="7"/>
      <c r="N1731" s="7"/>
      <c r="O1731" s="7"/>
      <c r="P1731" s="7"/>
      <c r="Q1731" s="7"/>
    </row>
    <row r="1732" spans="12:17" ht="15.75" customHeight="1">
      <c r="L1732" s="7"/>
      <c r="M1732" s="7"/>
      <c r="N1732" s="7"/>
      <c r="O1732" s="7"/>
      <c r="P1732" s="7"/>
      <c r="Q1732" s="7"/>
    </row>
    <row r="1733" spans="12:17" ht="15.75" customHeight="1">
      <c r="L1733" s="7"/>
      <c r="M1733" s="7"/>
      <c r="N1733" s="7"/>
      <c r="O1733" s="7"/>
      <c r="P1733" s="7"/>
      <c r="Q1733" s="7"/>
    </row>
    <row r="1734" spans="12:17" ht="15.75" customHeight="1">
      <c r="L1734" s="7"/>
      <c r="M1734" s="7"/>
      <c r="N1734" s="7"/>
      <c r="O1734" s="7"/>
      <c r="P1734" s="7"/>
      <c r="Q1734" s="7"/>
    </row>
    <row r="1735" spans="12:17" ht="15.75" customHeight="1">
      <c r="L1735" s="7"/>
      <c r="M1735" s="7"/>
      <c r="N1735" s="7"/>
      <c r="O1735" s="7"/>
      <c r="P1735" s="7"/>
      <c r="Q1735" s="7"/>
    </row>
    <row r="1736" spans="12:17" ht="15.75" customHeight="1">
      <c r="L1736" s="7"/>
      <c r="M1736" s="7"/>
      <c r="N1736" s="7"/>
      <c r="O1736" s="7"/>
      <c r="P1736" s="7"/>
      <c r="Q1736" s="7"/>
    </row>
    <row r="1737" spans="12:17" ht="15.75" customHeight="1">
      <c r="L1737" s="7"/>
      <c r="M1737" s="7"/>
      <c r="N1737" s="7"/>
      <c r="O1737" s="7"/>
      <c r="P1737" s="7"/>
      <c r="Q1737" s="7"/>
    </row>
    <row r="1738" spans="12:17" ht="15.75" customHeight="1">
      <c r="L1738" s="7"/>
      <c r="M1738" s="7"/>
      <c r="N1738" s="7"/>
      <c r="O1738" s="7"/>
      <c r="P1738" s="7"/>
      <c r="Q1738" s="7"/>
    </row>
    <row r="1739" spans="12:17" ht="15.75" customHeight="1">
      <c r="L1739" s="7"/>
      <c r="M1739" s="7"/>
      <c r="N1739" s="7"/>
      <c r="O1739" s="7"/>
      <c r="P1739" s="7"/>
      <c r="Q1739" s="7"/>
    </row>
    <row r="1740" spans="12:17" ht="15.75" customHeight="1">
      <c r="L1740" s="7"/>
      <c r="M1740" s="7"/>
      <c r="N1740" s="7"/>
      <c r="O1740" s="7"/>
      <c r="P1740" s="7"/>
      <c r="Q1740" s="7"/>
    </row>
    <row r="1741" spans="12:17" ht="15.75" customHeight="1">
      <c r="L1741" s="7"/>
      <c r="M1741" s="7"/>
      <c r="N1741" s="7"/>
      <c r="O1741" s="7"/>
      <c r="P1741" s="7"/>
      <c r="Q1741" s="7"/>
    </row>
    <row r="1742" spans="12:17" ht="15.75" customHeight="1">
      <c r="L1742" s="7"/>
      <c r="M1742" s="7"/>
      <c r="N1742" s="7"/>
      <c r="O1742" s="7"/>
      <c r="P1742" s="7"/>
      <c r="Q1742" s="7"/>
    </row>
    <row r="1743" spans="12:17" ht="15.75" customHeight="1">
      <c r="L1743" s="7"/>
      <c r="M1743" s="7"/>
      <c r="N1743" s="7"/>
      <c r="O1743" s="7"/>
      <c r="P1743" s="7"/>
      <c r="Q1743" s="7"/>
    </row>
    <row r="1744" spans="12:17" ht="15.75" customHeight="1">
      <c r="L1744" s="7"/>
      <c r="M1744" s="7"/>
      <c r="N1744" s="7"/>
      <c r="O1744" s="7"/>
      <c r="P1744" s="7"/>
      <c r="Q1744" s="7"/>
    </row>
    <row r="1745" spans="12:17" ht="15.75" customHeight="1">
      <c r="L1745" s="7"/>
      <c r="M1745" s="7"/>
      <c r="N1745" s="7"/>
      <c r="O1745" s="7"/>
      <c r="P1745" s="7"/>
      <c r="Q1745" s="7"/>
    </row>
    <row r="1746" spans="12:17" ht="15.75" customHeight="1">
      <c r="L1746" s="7"/>
      <c r="M1746" s="7"/>
      <c r="N1746" s="7"/>
      <c r="O1746" s="7"/>
      <c r="P1746" s="7"/>
      <c r="Q1746" s="7"/>
    </row>
    <row r="1747" spans="12:17" ht="15.75" customHeight="1">
      <c r="L1747" s="7"/>
      <c r="M1747" s="7"/>
      <c r="N1747" s="7"/>
      <c r="O1747" s="7"/>
      <c r="P1747" s="7"/>
      <c r="Q1747" s="7"/>
    </row>
    <row r="1748" spans="12:17" ht="15.75" customHeight="1">
      <c r="L1748" s="7"/>
      <c r="M1748" s="7"/>
      <c r="N1748" s="7"/>
      <c r="O1748" s="7"/>
      <c r="P1748" s="7"/>
      <c r="Q1748" s="7"/>
    </row>
    <row r="1749" spans="12:17" ht="15.75" customHeight="1">
      <c r="L1749" s="7"/>
      <c r="M1749" s="7"/>
      <c r="N1749" s="7"/>
      <c r="O1749" s="7"/>
      <c r="P1749" s="7"/>
      <c r="Q1749" s="7"/>
    </row>
    <row r="1750" spans="12:17" ht="15.75" customHeight="1">
      <c r="L1750" s="7"/>
      <c r="M1750" s="7"/>
      <c r="N1750" s="7"/>
      <c r="O1750" s="7"/>
      <c r="P1750" s="7"/>
      <c r="Q1750" s="7"/>
    </row>
    <row r="1751" spans="12:17" ht="15.75" customHeight="1">
      <c r="L1751" s="7"/>
      <c r="M1751" s="7"/>
      <c r="N1751" s="7"/>
      <c r="O1751" s="7"/>
      <c r="P1751" s="7"/>
      <c r="Q1751" s="7"/>
    </row>
    <row r="1752" spans="12:17" ht="15.75" customHeight="1">
      <c r="L1752" s="7"/>
      <c r="M1752" s="7"/>
      <c r="N1752" s="7"/>
      <c r="O1752" s="7"/>
      <c r="P1752" s="7"/>
      <c r="Q1752" s="7"/>
    </row>
    <row r="1753" spans="12:17" ht="15.75" customHeight="1">
      <c r="L1753" s="7"/>
      <c r="M1753" s="7"/>
      <c r="N1753" s="7"/>
      <c r="O1753" s="7"/>
      <c r="P1753" s="7"/>
      <c r="Q1753" s="7"/>
    </row>
    <row r="1754" spans="12:17" ht="15.75" customHeight="1">
      <c r="L1754" s="7"/>
      <c r="M1754" s="7"/>
      <c r="N1754" s="7"/>
      <c r="O1754" s="7"/>
      <c r="P1754" s="7"/>
      <c r="Q1754" s="7"/>
    </row>
    <row r="1755" spans="12:17" ht="15.75" customHeight="1">
      <c r="L1755" s="7"/>
      <c r="M1755" s="7"/>
      <c r="N1755" s="7"/>
      <c r="O1755" s="7"/>
      <c r="P1755" s="7"/>
      <c r="Q1755" s="7"/>
    </row>
    <row r="1756" spans="12:17" ht="15.75" customHeight="1">
      <c r="L1756" s="7"/>
      <c r="M1756" s="7"/>
      <c r="N1756" s="7"/>
      <c r="O1756" s="7"/>
      <c r="P1756" s="7"/>
      <c r="Q1756" s="7"/>
    </row>
    <row r="1757" spans="12:17" ht="15.75" customHeight="1">
      <c r="L1757" s="7"/>
      <c r="M1757" s="7"/>
      <c r="N1757" s="7"/>
      <c r="O1757" s="7"/>
      <c r="P1757" s="7"/>
      <c r="Q1757" s="7"/>
    </row>
    <row r="1758" spans="12:17" ht="15.75" customHeight="1">
      <c r="L1758" s="7"/>
      <c r="M1758" s="7"/>
      <c r="N1758" s="7"/>
      <c r="O1758" s="7"/>
      <c r="P1758" s="7"/>
      <c r="Q1758" s="7"/>
    </row>
    <row r="1759" spans="12:17" ht="15.75" customHeight="1">
      <c r="L1759" s="7"/>
      <c r="M1759" s="7"/>
      <c r="N1759" s="7"/>
      <c r="O1759" s="7"/>
      <c r="P1759" s="7"/>
      <c r="Q1759" s="7"/>
    </row>
    <row r="1760" spans="12:17" ht="15.75" customHeight="1">
      <c r="L1760" s="7"/>
      <c r="M1760" s="7"/>
      <c r="N1760" s="7"/>
      <c r="O1760" s="7"/>
      <c r="P1760" s="7"/>
      <c r="Q1760" s="7"/>
    </row>
    <row r="1761" spans="12:17" ht="15.75" customHeight="1">
      <c r="L1761" s="7"/>
      <c r="M1761" s="7"/>
      <c r="N1761" s="7"/>
      <c r="O1761" s="7"/>
      <c r="P1761" s="7"/>
      <c r="Q1761" s="7"/>
    </row>
    <row r="1762" spans="12:17" ht="15.75" customHeight="1">
      <c r="L1762" s="7"/>
      <c r="M1762" s="7"/>
      <c r="N1762" s="7"/>
      <c r="O1762" s="7"/>
      <c r="P1762" s="7"/>
      <c r="Q1762" s="7"/>
    </row>
    <row r="1763" spans="12:17" ht="15.75" customHeight="1">
      <c r="L1763" s="7"/>
      <c r="M1763" s="7"/>
      <c r="N1763" s="7"/>
      <c r="O1763" s="7"/>
      <c r="P1763" s="7"/>
      <c r="Q1763" s="7"/>
    </row>
    <row r="1764" spans="12:17" ht="15.75" customHeight="1">
      <c r="L1764" s="7"/>
      <c r="M1764" s="7"/>
      <c r="N1764" s="7"/>
      <c r="O1764" s="7"/>
      <c r="P1764" s="7"/>
      <c r="Q1764" s="7"/>
    </row>
    <row r="1765" spans="12:17" ht="15.75" customHeight="1">
      <c r="L1765" s="7"/>
      <c r="M1765" s="7"/>
      <c r="N1765" s="7"/>
      <c r="O1765" s="7"/>
      <c r="P1765" s="7"/>
      <c r="Q1765" s="7"/>
    </row>
    <row r="1766" spans="12:17" ht="15.75" customHeight="1">
      <c r="L1766" s="7"/>
      <c r="M1766" s="7"/>
      <c r="N1766" s="7"/>
      <c r="O1766" s="7"/>
      <c r="P1766" s="7"/>
      <c r="Q1766" s="7"/>
    </row>
    <row r="1767" spans="12:17" ht="15.75" customHeight="1">
      <c r="L1767" s="7"/>
      <c r="M1767" s="7"/>
      <c r="N1767" s="7"/>
      <c r="O1767" s="7"/>
      <c r="P1767" s="7"/>
      <c r="Q1767" s="7"/>
    </row>
    <row r="1768" spans="12:17" ht="15.75" customHeight="1">
      <c r="L1768" s="7"/>
      <c r="M1768" s="7"/>
      <c r="N1768" s="7"/>
      <c r="O1768" s="7"/>
      <c r="P1768" s="7"/>
      <c r="Q1768" s="7"/>
    </row>
    <row r="1769" spans="12:17" ht="15.75" customHeight="1">
      <c r="L1769" s="7"/>
      <c r="M1769" s="7"/>
      <c r="N1769" s="7"/>
      <c r="O1769" s="7"/>
      <c r="P1769" s="7"/>
      <c r="Q1769" s="7"/>
    </row>
    <row r="1770" spans="12:17" ht="15.75" customHeight="1">
      <c r="L1770" s="7"/>
      <c r="M1770" s="7"/>
      <c r="N1770" s="7"/>
      <c r="O1770" s="7"/>
      <c r="P1770" s="7"/>
      <c r="Q1770" s="7"/>
    </row>
    <row r="1771" spans="12:17" ht="15.75" customHeight="1">
      <c r="L1771" s="7"/>
      <c r="M1771" s="7"/>
      <c r="N1771" s="7"/>
      <c r="O1771" s="7"/>
      <c r="P1771" s="7"/>
      <c r="Q1771" s="7"/>
    </row>
    <row r="1772" spans="12:17" ht="15.75" customHeight="1">
      <c r="L1772" s="7"/>
      <c r="M1772" s="7"/>
      <c r="N1772" s="7"/>
      <c r="O1772" s="7"/>
      <c r="P1772" s="7"/>
      <c r="Q1772" s="7"/>
    </row>
    <row r="1773" spans="12:17" ht="15.75" customHeight="1">
      <c r="L1773" s="7"/>
      <c r="M1773" s="7"/>
      <c r="N1773" s="7"/>
      <c r="O1773" s="7"/>
      <c r="P1773" s="7"/>
      <c r="Q1773" s="7"/>
    </row>
    <row r="1774" spans="12:17" ht="15.75" customHeight="1">
      <c r="L1774" s="7"/>
      <c r="M1774" s="7"/>
      <c r="N1774" s="7"/>
      <c r="O1774" s="7"/>
      <c r="P1774" s="7"/>
      <c r="Q1774" s="7"/>
    </row>
    <row r="1775" spans="12:17" ht="15.75" customHeight="1">
      <c r="L1775" s="7"/>
      <c r="M1775" s="7"/>
      <c r="N1775" s="7"/>
      <c r="O1775" s="7"/>
      <c r="P1775" s="7"/>
      <c r="Q1775" s="7"/>
    </row>
    <row r="1776" spans="12:17" ht="15.75" customHeight="1">
      <c r="L1776" s="7"/>
      <c r="M1776" s="7"/>
      <c r="N1776" s="7"/>
      <c r="O1776" s="7"/>
      <c r="P1776" s="7"/>
      <c r="Q1776" s="7"/>
    </row>
    <row r="1777" spans="12:17" ht="15.75" customHeight="1">
      <c r="L1777" s="7"/>
      <c r="M1777" s="7"/>
      <c r="N1777" s="7"/>
      <c r="O1777" s="7"/>
      <c r="P1777" s="7"/>
      <c r="Q1777" s="7"/>
    </row>
    <row r="1778" spans="12:17" ht="15.75" customHeight="1">
      <c r="L1778" s="7"/>
      <c r="M1778" s="7"/>
      <c r="N1778" s="7"/>
      <c r="O1778" s="7"/>
      <c r="P1778" s="7"/>
      <c r="Q1778" s="7"/>
    </row>
    <row r="1779" spans="12:17" ht="15.75" customHeight="1">
      <c r="L1779" s="7"/>
      <c r="M1779" s="7"/>
      <c r="N1779" s="7"/>
      <c r="O1779" s="7"/>
      <c r="P1779" s="7"/>
      <c r="Q1779" s="7"/>
    </row>
    <row r="1780" spans="12:17" ht="15.75" customHeight="1">
      <c r="L1780" s="7"/>
      <c r="M1780" s="7"/>
      <c r="N1780" s="7"/>
      <c r="O1780" s="7"/>
      <c r="P1780" s="7"/>
      <c r="Q1780" s="7"/>
    </row>
    <row r="1781" spans="12:17" ht="15.75" customHeight="1">
      <c r="L1781" s="7"/>
      <c r="M1781" s="7"/>
      <c r="N1781" s="7"/>
      <c r="O1781" s="7"/>
      <c r="P1781" s="7"/>
      <c r="Q1781" s="7"/>
    </row>
    <row r="1782" spans="12:17" ht="15.75" customHeight="1">
      <c r="L1782" s="7"/>
      <c r="M1782" s="7"/>
      <c r="N1782" s="7"/>
      <c r="O1782" s="7"/>
      <c r="P1782" s="7"/>
      <c r="Q1782" s="7"/>
    </row>
    <row r="1783" spans="12:17" ht="15.75" customHeight="1">
      <c r="L1783" s="7"/>
      <c r="M1783" s="7"/>
      <c r="N1783" s="7"/>
      <c r="O1783" s="7"/>
      <c r="P1783" s="7"/>
      <c r="Q1783" s="7"/>
    </row>
    <row r="1784" spans="12:17" ht="15.75" customHeight="1">
      <c r="L1784" s="7"/>
      <c r="M1784" s="7"/>
      <c r="N1784" s="7"/>
      <c r="O1784" s="7"/>
      <c r="P1784" s="7"/>
      <c r="Q1784" s="7"/>
    </row>
    <row r="1785" spans="12:17" ht="15.75" customHeight="1">
      <c r="L1785" s="7"/>
      <c r="M1785" s="7"/>
      <c r="N1785" s="7"/>
      <c r="O1785" s="7"/>
      <c r="P1785" s="7"/>
      <c r="Q1785" s="7"/>
    </row>
    <row r="1786" spans="12:17" ht="15.75" customHeight="1">
      <c r="L1786" s="7"/>
      <c r="M1786" s="7"/>
      <c r="N1786" s="7"/>
      <c r="O1786" s="7"/>
      <c r="P1786" s="7"/>
      <c r="Q1786" s="7"/>
    </row>
    <row r="1787" spans="12:17" ht="15.75" customHeight="1">
      <c r="L1787" s="7"/>
      <c r="M1787" s="7"/>
      <c r="N1787" s="7"/>
      <c r="O1787" s="7"/>
      <c r="P1787" s="7"/>
      <c r="Q1787" s="7"/>
    </row>
    <row r="1788" spans="12:17" ht="15.75" customHeight="1">
      <c r="L1788" s="7"/>
      <c r="M1788" s="7"/>
      <c r="N1788" s="7"/>
      <c r="O1788" s="7"/>
      <c r="P1788" s="7"/>
      <c r="Q1788" s="7"/>
    </row>
    <row r="1789" spans="12:17" ht="15.75" customHeight="1">
      <c r="L1789" s="7"/>
      <c r="M1789" s="7"/>
      <c r="N1789" s="7"/>
      <c r="O1789" s="7"/>
      <c r="P1789" s="7"/>
      <c r="Q1789" s="7"/>
    </row>
    <row r="1790" spans="12:17" ht="15.75" customHeight="1">
      <c r="L1790" s="7"/>
      <c r="M1790" s="7"/>
      <c r="N1790" s="7"/>
      <c r="O1790" s="7"/>
      <c r="P1790" s="7"/>
      <c r="Q1790" s="7"/>
    </row>
    <row r="1791" spans="12:17" ht="15.75" customHeight="1">
      <c r="L1791" s="7"/>
      <c r="M1791" s="7"/>
      <c r="N1791" s="7"/>
      <c r="O1791" s="7"/>
      <c r="P1791" s="7"/>
      <c r="Q1791" s="7"/>
    </row>
    <row r="1792" spans="12:17" ht="15.75" customHeight="1">
      <c r="L1792" s="7"/>
      <c r="M1792" s="7"/>
      <c r="N1792" s="7"/>
      <c r="O1792" s="7"/>
      <c r="P1792" s="7"/>
      <c r="Q1792" s="7"/>
    </row>
    <row r="1793" spans="12:17" ht="15.75" customHeight="1">
      <c r="L1793" s="7"/>
      <c r="M1793" s="7"/>
      <c r="N1793" s="7"/>
      <c r="O1793" s="7"/>
      <c r="P1793" s="7"/>
      <c r="Q1793" s="7"/>
    </row>
    <row r="1794" spans="12:17" ht="15.75" customHeight="1">
      <c r="L1794" s="7"/>
      <c r="M1794" s="7"/>
      <c r="N1794" s="7"/>
      <c r="O1794" s="7"/>
      <c r="P1794" s="7"/>
      <c r="Q1794" s="7"/>
    </row>
    <row r="1795" spans="12:17" ht="15.75" customHeight="1">
      <c r="L1795" s="7"/>
      <c r="M1795" s="7"/>
      <c r="N1795" s="7"/>
      <c r="O1795" s="7"/>
      <c r="P1795" s="7"/>
      <c r="Q1795" s="7"/>
    </row>
    <row r="1796" spans="12:17" ht="15.75" customHeight="1">
      <c r="L1796" s="7"/>
      <c r="M1796" s="7"/>
      <c r="N1796" s="7"/>
      <c r="O1796" s="7"/>
      <c r="P1796" s="7"/>
      <c r="Q1796" s="7"/>
    </row>
    <row r="1797" spans="12:17" ht="15.75" customHeight="1">
      <c r="L1797" s="7"/>
      <c r="M1797" s="7"/>
      <c r="N1797" s="7"/>
      <c r="O1797" s="7"/>
      <c r="P1797" s="7"/>
      <c r="Q1797" s="7"/>
    </row>
    <row r="1798" spans="12:17" ht="15.75" customHeight="1">
      <c r="L1798" s="7"/>
      <c r="M1798" s="7"/>
      <c r="N1798" s="7"/>
      <c r="O1798" s="7"/>
      <c r="P1798" s="7"/>
      <c r="Q1798" s="7"/>
    </row>
    <row r="1799" spans="12:17" ht="15.75" customHeight="1">
      <c r="L1799" s="7"/>
      <c r="M1799" s="7"/>
      <c r="N1799" s="7"/>
      <c r="O1799" s="7"/>
      <c r="P1799" s="7"/>
      <c r="Q1799" s="7"/>
    </row>
    <row r="1800" spans="12:17" ht="15.75" customHeight="1">
      <c r="L1800" s="7"/>
      <c r="M1800" s="7"/>
      <c r="N1800" s="7"/>
      <c r="O1800" s="7"/>
      <c r="P1800" s="7"/>
      <c r="Q1800" s="7"/>
    </row>
    <row r="1801" spans="12:17" ht="15.75" customHeight="1">
      <c r="L1801" s="7"/>
      <c r="M1801" s="7"/>
      <c r="N1801" s="7"/>
      <c r="O1801" s="7"/>
      <c r="P1801" s="7"/>
      <c r="Q1801" s="7"/>
    </row>
    <row r="1802" spans="12:17" ht="15.75" customHeight="1">
      <c r="L1802" s="7"/>
      <c r="M1802" s="7"/>
      <c r="N1802" s="7"/>
      <c r="O1802" s="7"/>
      <c r="P1802" s="7"/>
      <c r="Q1802" s="7"/>
    </row>
    <row r="1803" spans="12:17" ht="15.75" customHeight="1">
      <c r="L1803" s="7"/>
      <c r="M1803" s="7"/>
      <c r="N1803" s="7"/>
      <c r="O1803" s="7"/>
      <c r="P1803" s="7"/>
      <c r="Q1803" s="7"/>
    </row>
    <row r="1804" spans="12:17" ht="15.75" customHeight="1">
      <c r="L1804" s="7"/>
      <c r="M1804" s="7"/>
      <c r="N1804" s="7"/>
      <c r="O1804" s="7"/>
      <c r="P1804" s="7"/>
      <c r="Q1804" s="7"/>
    </row>
    <row r="1805" spans="12:17" ht="15.75" customHeight="1">
      <c r="L1805" s="7"/>
      <c r="M1805" s="7"/>
      <c r="N1805" s="7"/>
      <c r="O1805" s="7"/>
      <c r="P1805" s="7"/>
      <c r="Q1805" s="7"/>
    </row>
    <row r="1806" spans="12:17" ht="15.75" customHeight="1">
      <c r="L1806" s="7"/>
      <c r="M1806" s="7"/>
      <c r="N1806" s="7"/>
      <c r="O1806" s="7"/>
      <c r="P1806" s="7"/>
      <c r="Q1806" s="7"/>
    </row>
    <row r="1807" spans="12:17" ht="15.75" customHeight="1">
      <c r="L1807" s="7"/>
      <c r="M1807" s="7"/>
      <c r="N1807" s="7"/>
      <c r="O1807" s="7"/>
      <c r="P1807" s="7"/>
      <c r="Q1807" s="7"/>
    </row>
    <row r="1808" spans="12:17" ht="15.75" customHeight="1">
      <c r="L1808" s="7"/>
      <c r="M1808" s="7"/>
      <c r="N1808" s="7"/>
      <c r="O1808" s="7"/>
      <c r="P1808" s="7"/>
      <c r="Q1808" s="7"/>
    </row>
    <row r="1809" spans="12:17" ht="15.75" customHeight="1">
      <c r="L1809" s="7"/>
      <c r="M1809" s="7"/>
      <c r="N1809" s="7"/>
      <c r="O1809" s="7"/>
      <c r="P1809" s="7"/>
      <c r="Q1809" s="7"/>
    </row>
    <row r="1810" spans="12:17" ht="15.75" customHeight="1">
      <c r="L1810" s="7"/>
      <c r="M1810" s="7"/>
      <c r="N1810" s="7"/>
      <c r="O1810" s="7"/>
      <c r="P1810" s="7"/>
      <c r="Q1810" s="7"/>
    </row>
    <row r="1811" spans="12:17" ht="15.75" customHeight="1">
      <c r="L1811" s="7"/>
      <c r="M1811" s="7"/>
      <c r="N1811" s="7"/>
      <c r="O1811" s="7"/>
      <c r="P1811" s="7"/>
      <c r="Q1811" s="7"/>
    </row>
    <row r="1812" spans="12:17" ht="15.75" customHeight="1">
      <c r="L1812" s="7"/>
      <c r="M1812" s="7"/>
      <c r="N1812" s="7"/>
      <c r="O1812" s="7"/>
      <c r="P1812" s="7"/>
      <c r="Q1812" s="7"/>
    </row>
    <row r="1813" spans="12:17" ht="15.75" customHeight="1">
      <c r="L1813" s="7"/>
      <c r="M1813" s="7"/>
      <c r="N1813" s="7"/>
      <c r="O1813" s="7"/>
      <c r="P1813" s="7"/>
      <c r="Q1813" s="7"/>
    </row>
    <row r="1814" spans="12:17" ht="15.75" customHeight="1">
      <c r="L1814" s="7"/>
      <c r="M1814" s="7"/>
      <c r="N1814" s="7"/>
      <c r="O1814" s="7"/>
      <c r="P1814" s="7"/>
      <c r="Q1814" s="7"/>
    </row>
    <row r="1815" spans="12:17" ht="15.75" customHeight="1">
      <c r="L1815" s="7"/>
      <c r="M1815" s="7"/>
      <c r="N1815" s="7"/>
      <c r="O1815" s="7"/>
      <c r="P1815" s="7"/>
      <c r="Q1815" s="7"/>
    </row>
    <row r="1816" spans="12:17" ht="15.75" customHeight="1">
      <c r="L1816" s="7"/>
      <c r="M1816" s="7"/>
      <c r="N1816" s="7"/>
      <c r="O1816" s="7"/>
      <c r="P1816" s="7"/>
      <c r="Q1816" s="7"/>
    </row>
    <row r="1817" spans="12:17" ht="15.75" customHeight="1">
      <c r="L1817" s="7"/>
      <c r="M1817" s="7"/>
      <c r="N1817" s="7"/>
      <c r="O1817" s="7"/>
      <c r="P1817" s="7"/>
      <c r="Q1817" s="7"/>
    </row>
    <row r="1818" spans="12:17" ht="15.75" customHeight="1">
      <c r="L1818" s="7"/>
      <c r="M1818" s="7"/>
      <c r="N1818" s="7"/>
      <c r="O1818" s="7"/>
      <c r="P1818" s="7"/>
      <c r="Q1818" s="7"/>
    </row>
    <row r="1819" spans="12:17" ht="15.75" customHeight="1">
      <c r="L1819" s="7"/>
      <c r="M1819" s="7"/>
      <c r="N1819" s="7"/>
      <c r="O1819" s="7"/>
      <c r="P1819" s="7"/>
      <c r="Q1819" s="7"/>
    </row>
    <row r="1820" spans="12:17" ht="15.75" customHeight="1">
      <c r="L1820" s="7"/>
      <c r="M1820" s="7"/>
      <c r="N1820" s="7"/>
      <c r="O1820" s="7"/>
      <c r="P1820" s="7"/>
      <c r="Q1820" s="7"/>
    </row>
    <row r="1821" spans="12:17" ht="15.75" customHeight="1">
      <c r="L1821" s="7"/>
      <c r="M1821" s="7"/>
      <c r="N1821" s="7"/>
      <c r="O1821" s="7"/>
      <c r="P1821" s="7"/>
      <c r="Q1821" s="7"/>
    </row>
    <row r="1822" spans="12:17" ht="15.75" customHeight="1">
      <c r="L1822" s="7"/>
      <c r="M1822" s="7"/>
      <c r="N1822" s="7"/>
      <c r="O1822" s="7"/>
      <c r="P1822" s="7"/>
      <c r="Q1822" s="7"/>
    </row>
    <row r="1823" spans="12:17" ht="15.75" customHeight="1">
      <c r="L1823" s="7"/>
      <c r="M1823" s="7"/>
      <c r="N1823" s="7"/>
      <c r="O1823" s="7"/>
      <c r="P1823" s="7"/>
      <c r="Q1823" s="7"/>
    </row>
    <row r="1824" spans="12:17" ht="15.75" customHeight="1">
      <c r="L1824" s="7"/>
      <c r="M1824" s="7"/>
      <c r="N1824" s="7"/>
      <c r="O1824" s="7"/>
      <c r="P1824" s="7"/>
      <c r="Q1824" s="7"/>
    </row>
    <row r="1825" spans="12:17" ht="15.75" customHeight="1">
      <c r="L1825" s="7"/>
      <c r="M1825" s="7"/>
      <c r="N1825" s="7"/>
      <c r="O1825" s="7"/>
      <c r="P1825" s="7"/>
      <c r="Q1825" s="7"/>
    </row>
    <row r="1826" spans="12:17" ht="15.75" customHeight="1">
      <c r="L1826" s="7"/>
      <c r="M1826" s="7"/>
      <c r="N1826" s="7"/>
      <c r="O1826" s="7"/>
      <c r="P1826" s="7"/>
      <c r="Q1826" s="7"/>
    </row>
    <row r="1827" spans="12:17" ht="15.75" customHeight="1">
      <c r="L1827" s="7"/>
      <c r="M1827" s="7"/>
      <c r="N1827" s="7"/>
      <c r="O1827" s="7"/>
      <c r="P1827" s="7"/>
      <c r="Q1827" s="7"/>
    </row>
    <row r="1828" spans="12:17" ht="15.75" customHeight="1">
      <c r="L1828" s="7"/>
      <c r="M1828" s="7"/>
      <c r="N1828" s="7"/>
      <c r="O1828" s="7"/>
      <c r="P1828" s="7"/>
      <c r="Q1828" s="7"/>
    </row>
    <row r="1829" spans="12:17" ht="15.75" customHeight="1">
      <c r="L1829" s="7"/>
      <c r="M1829" s="7"/>
      <c r="N1829" s="7"/>
      <c r="O1829" s="7"/>
      <c r="P1829" s="7"/>
      <c r="Q1829" s="7"/>
    </row>
    <row r="1830" spans="12:17" ht="15.75" customHeight="1">
      <c r="L1830" s="7"/>
      <c r="M1830" s="7"/>
      <c r="N1830" s="7"/>
      <c r="O1830" s="7"/>
      <c r="P1830" s="7"/>
      <c r="Q1830" s="7"/>
    </row>
    <row r="1831" spans="12:17" ht="15.75" customHeight="1">
      <c r="L1831" s="7"/>
      <c r="M1831" s="7"/>
      <c r="N1831" s="7"/>
      <c r="O1831" s="7"/>
      <c r="P1831" s="7"/>
      <c r="Q1831" s="7"/>
    </row>
    <row r="1832" spans="12:17" ht="15.75" customHeight="1">
      <c r="L1832" s="7"/>
      <c r="M1832" s="7"/>
      <c r="N1832" s="7"/>
      <c r="O1832" s="7"/>
      <c r="P1832" s="7"/>
      <c r="Q1832" s="7"/>
    </row>
    <row r="1833" spans="12:17" ht="15.75" customHeight="1">
      <c r="L1833" s="7"/>
      <c r="M1833" s="7"/>
      <c r="N1833" s="7"/>
      <c r="O1833" s="7"/>
      <c r="P1833" s="7"/>
      <c r="Q1833" s="7"/>
    </row>
    <row r="1834" spans="12:17" ht="15.75" customHeight="1">
      <c r="L1834" s="7"/>
      <c r="M1834" s="7"/>
      <c r="N1834" s="7"/>
      <c r="O1834" s="7"/>
      <c r="P1834" s="7"/>
      <c r="Q1834" s="7"/>
    </row>
    <row r="1835" spans="12:17" ht="15.75" customHeight="1">
      <c r="L1835" s="7"/>
      <c r="M1835" s="7"/>
      <c r="N1835" s="7"/>
      <c r="O1835" s="7"/>
      <c r="P1835" s="7"/>
      <c r="Q1835" s="7"/>
    </row>
    <row r="1836" spans="12:17" ht="15.75" customHeight="1">
      <c r="L1836" s="7"/>
      <c r="M1836" s="7"/>
      <c r="N1836" s="7"/>
      <c r="O1836" s="7"/>
      <c r="P1836" s="7"/>
      <c r="Q1836" s="7"/>
    </row>
    <row r="1837" spans="12:17" ht="15.75" customHeight="1">
      <c r="L1837" s="7"/>
      <c r="M1837" s="7"/>
      <c r="N1837" s="7"/>
      <c r="O1837" s="7"/>
      <c r="P1837" s="7"/>
      <c r="Q1837" s="7"/>
    </row>
    <row r="1838" spans="12:17" ht="15.75" customHeight="1">
      <c r="L1838" s="7"/>
      <c r="M1838" s="7"/>
      <c r="N1838" s="7"/>
      <c r="O1838" s="7"/>
      <c r="P1838" s="7"/>
      <c r="Q1838" s="7"/>
    </row>
    <row r="1839" spans="12:17" ht="15.75" customHeight="1">
      <c r="L1839" s="7"/>
      <c r="M1839" s="7"/>
      <c r="N1839" s="7"/>
      <c r="O1839" s="7"/>
      <c r="P1839" s="7"/>
      <c r="Q1839" s="7"/>
    </row>
    <row r="1840" spans="12:17" ht="15.75" customHeight="1">
      <c r="L1840" s="7"/>
      <c r="M1840" s="7"/>
      <c r="N1840" s="7"/>
      <c r="O1840" s="7"/>
      <c r="P1840" s="7"/>
      <c r="Q1840" s="7"/>
    </row>
    <row r="1841" spans="12:17" ht="15.75" customHeight="1">
      <c r="L1841" s="7"/>
      <c r="M1841" s="7"/>
      <c r="N1841" s="7"/>
      <c r="O1841" s="7"/>
      <c r="P1841" s="7"/>
      <c r="Q1841" s="7"/>
    </row>
    <row r="1842" spans="12:17" ht="15.75" customHeight="1">
      <c r="L1842" s="7"/>
      <c r="M1842" s="7"/>
      <c r="N1842" s="7"/>
      <c r="O1842" s="7"/>
      <c r="P1842" s="7"/>
      <c r="Q1842" s="7"/>
    </row>
    <row r="1843" spans="12:17" ht="15.75" customHeight="1">
      <c r="L1843" s="7"/>
      <c r="M1843" s="7"/>
      <c r="N1843" s="7"/>
      <c r="O1843" s="7"/>
      <c r="P1843" s="7"/>
      <c r="Q1843" s="7"/>
    </row>
    <row r="1844" spans="12:17" ht="15.75" customHeight="1">
      <c r="L1844" s="7"/>
      <c r="M1844" s="7"/>
      <c r="N1844" s="7"/>
      <c r="O1844" s="7"/>
      <c r="P1844" s="7"/>
      <c r="Q1844" s="7"/>
    </row>
    <row r="1845" spans="12:17" ht="15.75" customHeight="1">
      <c r="L1845" s="7"/>
      <c r="M1845" s="7"/>
      <c r="N1845" s="7"/>
      <c r="O1845" s="7"/>
      <c r="P1845" s="7"/>
      <c r="Q1845" s="7"/>
    </row>
    <row r="1846" spans="12:17" ht="15.75" customHeight="1">
      <c r="L1846" s="7"/>
      <c r="M1846" s="7"/>
      <c r="N1846" s="7"/>
      <c r="O1846" s="7"/>
      <c r="P1846" s="7"/>
      <c r="Q1846" s="7"/>
    </row>
    <row r="1847" spans="12:17" ht="15.75" customHeight="1">
      <c r="L1847" s="7"/>
      <c r="M1847" s="7"/>
      <c r="N1847" s="7"/>
      <c r="O1847" s="7"/>
      <c r="P1847" s="7"/>
      <c r="Q1847" s="7"/>
    </row>
    <row r="1848" spans="12:17" ht="15.75" customHeight="1">
      <c r="L1848" s="7"/>
      <c r="M1848" s="7"/>
      <c r="N1848" s="7"/>
      <c r="O1848" s="7"/>
      <c r="P1848" s="7"/>
      <c r="Q1848" s="7"/>
    </row>
    <row r="1849" spans="12:17" ht="15.75" customHeight="1">
      <c r="L1849" s="7"/>
      <c r="M1849" s="7"/>
      <c r="N1849" s="7"/>
      <c r="O1849" s="7"/>
      <c r="P1849" s="7"/>
      <c r="Q1849" s="7"/>
    </row>
    <row r="1850" spans="12:17" ht="15.75" customHeight="1">
      <c r="L1850" s="7"/>
      <c r="M1850" s="7"/>
      <c r="N1850" s="7"/>
      <c r="O1850" s="7"/>
      <c r="P1850" s="7"/>
      <c r="Q1850" s="7"/>
    </row>
    <row r="1851" spans="12:17" ht="15.75" customHeight="1">
      <c r="L1851" s="7"/>
      <c r="M1851" s="7"/>
      <c r="N1851" s="7"/>
      <c r="O1851" s="7"/>
      <c r="P1851" s="7"/>
      <c r="Q1851" s="7"/>
    </row>
    <row r="1852" spans="12:17" ht="15.75" customHeight="1">
      <c r="L1852" s="7"/>
      <c r="M1852" s="7"/>
      <c r="N1852" s="7"/>
      <c r="O1852" s="7"/>
      <c r="P1852" s="7"/>
      <c r="Q1852" s="7"/>
    </row>
    <row r="1853" spans="12:17" ht="15.75" customHeight="1">
      <c r="L1853" s="7"/>
      <c r="M1853" s="7"/>
      <c r="N1853" s="7"/>
      <c r="O1853" s="7"/>
      <c r="P1853" s="7"/>
      <c r="Q1853" s="7"/>
    </row>
    <row r="1854" spans="12:17" ht="15.75" customHeight="1">
      <c r="L1854" s="7"/>
      <c r="M1854" s="7"/>
      <c r="N1854" s="7"/>
      <c r="O1854" s="7"/>
      <c r="P1854" s="7"/>
      <c r="Q1854" s="7"/>
    </row>
    <row r="1855" spans="12:17" ht="15.75" customHeight="1">
      <c r="L1855" s="7"/>
      <c r="M1855" s="7"/>
      <c r="N1855" s="7"/>
      <c r="O1855" s="7"/>
      <c r="P1855" s="7"/>
      <c r="Q1855" s="7"/>
    </row>
    <row r="1856" spans="12:17" ht="15.75" customHeight="1">
      <c r="L1856" s="7"/>
      <c r="M1856" s="7"/>
      <c r="N1856" s="7"/>
      <c r="O1856" s="7"/>
      <c r="P1856" s="7"/>
      <c r="Q1856" s="7"/>
    </row>
    <row r="1857" spans="12:17" ht="15.75" customHeight="1">
      <c r="L1857" s="7"/>
      <c r="M1857" s="7"/>
      <c r="N1857" s="7"/>
      <c r="O1857" s="7"/>
      <c r="P1857" s="7"/>
      <c r="Q1857" s="7"/>
    </row>
    <row r="1858" spans="12:17" ht="15.75" customHeight="1">
      <c r="L1858" s="7"/>
      <c r="M1858" s="7"/>
      <c r="N1858" s="7"/>
      <c r="O1858" s="7"/>
      <c r="P1858" s="7"/>
      <c r="Q1858" s="7"/>
    </row>
    <row r="1859" spans="12:17" ht="15.75" customHeight="1">
      <c r="L1859" s="7"/>
      <c r="M1859" s="7"/>
      <c r="N1859" s="7"/>
      <c r="O1859" s="7"/>
      <c r="P1859" s="7"/>
      <c r="Q1859" s="7"/>
    </row>
    <row r="1860" spans="12:17" ht="15.75" customHeight="1">
      <c r="L1860" s="7"/>
      <c r="M1860" s="7"/>
      <c r="N1860" s="7"/>
      <c r="O1860" s="7"/>
      <c r="P1860" s="7"/>
      <c r="Q1860" s="7"/>
    </row>
    <row r="1861" spans="12:17" ht="15.75" customHeight="1">
      <c r="L1861" s="7"/>
      <c r="M1861" s="7"/>
      <c r="N1861" s="7"/>
      <c r="O1861" s="7"/>
      <c r="P1861" s="7"/>
      <c r="Q1861" s="7"/>
    </row>
    <row r="1862" spans="12:17" ht="15.75" customHeight="1">
      <c r="L1862" s="7"/>
      <c r="M1862" s="7"/>
      <c r="N1862" s="7"/>
      <c r="O1862" s="7"/>
      <c r="P1862" s="7"/>
      <c r="Q1862" s="7"/>
    </row>
    <row r="1863" spans="12:17" ht="15.75" customHeight="1">
      <c r="L1863" s="7"/>
      <c r="M1863" s="7"/>
      <c r="N1863" s="7"/>
      <c r="O1863" s="7"/>
      <c r="P1863" s="7"/>
      <c r="Q1863" s="7"/>
    </row>
    <row r="1864" spans="12:17" ht="15.75" customHeight="1">
      <c r="L1864" s="7"/>
      <c r="M1864" s="7"/>
      <c r="N1864" s="7"/>
      <c r="O1864" s="7"/>
      <c r="P1864" s="7"/>
      <c r="Q1864" s="7"/>
    </row>
    <row r="1865" spans="12:17" ht="15.75" customHeight="1">
      <c r="L1865" s="7"/>
      <c r="M1865" s="7"/>
      <c r="N1865" s="7"/>
      <c r="O1865" s="7"/>
      <c r="P1865" s="7"/>
      <c r="Q1865" s="7"/>
    </row>
    <row r="1866" spans="12:17" ht="15.75" customHeight="1">
      <c r="L1866" s="7"/>
      <c r="M1866" s="7"/>
      <c r="N1866" s="7"/>
      <c r="O1866" s="7"/>
      <c r="P1866" s="7"/>
      <c r="Q1866" s="7"/>
    </row>
    <row r="1867" spans="12:17" ht="15.75" customHeight="1">
      <c r="L1867" s="7"/>
      <c r="M1867" s="7"/>
      <c r="N1867" s="7"/>
      <c r="O1867" s="7"/>
      <c r="P1867" s="7"/>
      <c r="Q1867" s="7"/>
    </row>
    <row r="1868" spans="12:17" ht="15.75" customHeight="1">
      <c r="L1868" s="7"/>
      <c r="M1868" s="7"/>
      <c r="N1868" s="7"/>
      <c r="O1868" s="7"/>
      <c r="P1868" s="7"/>
      <c r="Q1868" s="7"/>
    </row>
    <row r="1869" spans="12:17" ht="15.75" customHeight="1">
      <c r="L1869" s="7"/>
      <c r="M1869" s="7"/>
      <c r="N1869" s="7"/>
      <c r="O1869" s="7"/>
      <c r="P1869" s="7"/>
      <c r="Q1869" s="7"/>
    </row>
    <row r="1870" spans="12:17" ht="15.75" customHeight="1">
      <c r="L1870" s="7"/>
      <c r="M1870" s="7"/>
      <c r="N1870" s="7"/>
      <c r="O1870" s="7"/>
      <c r="P1870" s="7"/>
      <c r="Q1870" s="7"/>
    </row>
    <row r="1871" spans="12:17" ht="15.75" customHeight="1">
      <c r="L1871" s="7"/>
      <c r="M1871" s="7"/>
      <c r="N1871" s="7"/>
      <c r="O1871" s="7"/>
      <c r="P1871" s="7"/>
      <c r="Q1871" s="7"/>
    </row>
    <row r="1872" spans="12:17" ht="15.75" customHeight="1">
      <c r="L1872" s="7"/>
      <c r="M1872" s="7"/>
      <c r="N1872" s="7"/>
      <c r="O1872" s="7"/>
      <c r="P1872" s="7"/>
      <c r="Q1872" s="7"/>
    </row>
    <row r="1873" spans="12:17" ht="15.75" customHeight="1">
      <c r="L1873" s="7"/>
      <c r="M1873" s="7"/>
      <c r="N1873" s="7"/>
      <c r="O1873" s="7"/>
      <c r="P1873" s="7"/>
      <c r="Q1873" s="7"/>
    </row>
    <row r="1874" spans="12:17" ht="15.75" customHeight="1">
      <c r="L1874" s="7"/>
      <c r="M1874" s="7"/>
      <c r="N1874" s="7"/>
      <c r="O1874" s="7"/>
      <c r="P1874" s="7"/>
      <c r="Q1874" s="7"/>
    </row>
    <row r="1875" spans="12:17" ht="15.75" customHeight="1">
      <c r="L1875" s="7"/>
      <c r="M1875" s="7"/>
      <c r="N1875" s="7"/>
      <c r="O1875" s="7"/>
      <c r="P1875" s="7"/>
      <c r="Q1875" s="7"/>
    </row>
    <row r="1876" spans="12:17" ht="15.75" customHeight="1">
      <c r="L1876" s="7"/>
      <c r="M1876" s="7"/>
      <c r="N1876" s="7"/>
      <c r="O1876" s="7"/>
      <c r="P1876" s="7"/>
      <c r="Q1876" s="7"/>
    </row>
    <row r="1877" spans="12:17" ht="15.75" customHeight="1">
      <c r="L1877" s="7"/>
      <c r="M1877" s="7"/>
      <c r="N1877" s="7"/>
      <c r="O1877" s="7"/>
      <c r="P1877" s="7"/>
      <c r="Q1877" s="7"/>
    </row>
    <row r="1878" spans="12:17" ht="15.75" customHeight="1">
      <c r="L1878" s="7"/>
      <c r="M1878" s="7"/>
      <c r="N1878" s="7"/>
      <c r="O1878" s="7"/>
      <c r="P1878" s="7"/>
      <c r="Q1878" s="7"/>
    </row>
    <row r="1879" spans="12:17" ht="15.75" customHeight="1">
      <c r="L1879" s="7"/>
      <c r="M1879" s="7"/>
      <c r="N1879" s="7"/>
      <c r="O1879" s="7"/>
      <c r="P1879" s="7"/>
      <c r="Q1879" s="7"/>
    </row>
    <row r="1880" spans="12:17" ht="15.75" customHeight="1">
      <c r="L1880" s="7"/>
      <c r="M1880" s="7"/>
      <c r="N1880" s="7"/>
      <c r="O1880" s="7"/>
      <c r="P1880" s="7"/>
      <c r="Q1880" s="7"/>
    </row>
    <row r="1881" spans="12:17" ht="15.75" customHeight="1">
      <c r="L1881" s="7"/>
      <c r="M1881" s="7"/>
      <c r="N1881" s="7"/>
      <c r="O1881" s="7"/>
      <c r="P1881" s="7"/>
      <c r="Q1881" s="7"/>
    </row>
    <row r="1882" spans="12:17" ht="15.75" customHeight="1">
      <c r="L1882" s="7"/>
      <c r="M1882" s="7"/>
      <c r="N1882" s="7"/>
      <c r="O1882" s="7"/>
      <c r="P1882" s="7"/>
      <c r="Q1882" s="7"/>
    </row>
    <row r="1883" spans="12:17" ht="15.75" customHeight="1">
      <c r="L1883" s="7"/>
      <c r="M1883" s="7"/>
      <c r="N1883" s="7"/>
      <c r="O1883" s="7"/>
      <c r="P1883" s="7"/>
      <c r="Q1883" s="7"/>
    </row>
    <row r="1884" spans="12:17" ht="15.75" customHeight="1">
      <c r="L1884" s="7"/>
      <c r="M1884" s="7"/>
      <c r="N1884" s="7"/>
      <c r="O1884" s="7"/>
      <c r="P1884" s="7"/>
      <c r="Q1884" s="7"/>
    </row>
    <row r="1885" spans="12:17" ht="15.75" customHeight="1">
      <c r="L1885" s="7"/>
      <c r="M1885" s="7"/>
      <c r="N1885" s="7"/>
      <c r="O1885" s="7"/>
      <c r="P1885" s="7"/>
      <c r="Q1885" s="7"/>
    </row>
    <row r="1886" spans="12:17" ht="15.75" customHeight="1">
      <c r="L1886" s="7"/>
      <c r="M1886" s="7"/>
      <c r="N1886" s="7"/>
      <c r="O1886" s="7"/>
      <c r="P1886" s="7"/>
      <c r="Q1886" s="7"/>
    </row>
    <row r="1887" spans="12:17" ht="15.75" customHeight="1">
      <c r="L1887" s="7"/>
      <c r="M1887" s="7"/>
      <c r="N1887" s="7"/>
      <c r="O1887" s="7"/>
      <c r="P1887" s="7"/>
      <c r="Q1887" s="7"/>
    </row>
    <row r="1888" spans="12:17" ht="15.75" customHeight="1">
      <c r="L1888" s="7"/>
      <c r="M1888" s="7"/>
      <c r="N1888" s="7"/>
      <c r="O1888" s="7"/>
      <c r="P1888" s="7"/>
      <c r="Q1888" s="7"/>
    </row>
    <row r="1889" spans="12:17" ht="15.75" customHeight="1">
      <c r="L1889" s="7"/>
      <c r="M1889" s="7"/>
      <c r="N1889" s="7"/>
      <c r="O1889" s="7"/>
      <c r="P1889" s="7"/>
      <c r="Q1889" s="7"/>
    </row>
    <row r="1890" spans="12:17" ht="15.75" customHeight="1">
      <c r="L1890" s="7"/>
      <c r="M1890" s="7"/>
      <c r="N1890" s="7"/>
      <c r="O1890" s="7"/>
      <c r="P1890" s="7"/>
      <c r="Q1890" s="7"/>
    </row>
    <row r="1891" spans="12:17" ht="15.75" customHeight="1">
      <c r="L1891" s="7"/>
      <c r="M1891" s="7"/>
      <c r="N1891" s="7"/>
      <c r="O1891" s="7"/>
      <c r="P1891" s="7"/>
      <c r="Q1891" s="7"/>
    </row>
    <row r="1892" spans="12:17" ht="15.75" customHeight="1">
      <c r="L1892" s="7"/>
      <c r="M1892" s="7"/>
      <c r="N1892" s="7"/>
      <c r="O1892" s="7"/>
      <c r="P1892" s="7"/>
      <c r="Q1892" s="7"/>
    </row>
    <row r="1893" spans="12:17" ht="15.75" customHeight="1">
      <c r="L1893" s="7"/>
      <c r="M1893" s="7"/>
      <c r="N1893" s="7"/>
      <c r="O1893" s="7"/>
      <c r="P1893" s="7"/>
      <c r="Q1893" s="7"/>
    </row>
    <row r="1894" spans="12:17" ht="15.75" customHeight="1">
      <c r="L1894" s="7"/>
      <c r="M1894" s="7"/>
      <c r="N1894" s="7"/>
      <c r="O1894" s="7"/>
      <c r="P1894" s="7"/>
      <c r="Q1894" s="7"/>
    </row>
    <row r="1895" spans="12:17" ht="15.75" customHeight="1">
      <c r="L1895" s="7"/>
      <c r="M1895" s="7"/>
      <c r="N1895" s="7"/>
      <c r="O1895" s="7"/>
      <c r="P1895" s="7"/>
      <c r="Q1895" s="7"/>
    </row>
    <row r="1896" spans="12:17" ht="15.75" customHeight="1">
      <c r="L1896" s="7"/>
      <c r="M1896" s="7"/>
      <c r="N1896" s="7"/>
      <c r="O1896" s="7"/>
      <c r="P1896" s="7"/>
      <c r="Q1896" s="7"/>
    </row>
    <row r="1897" spans="12:17" ht="15.75" customHeight="1">
      <c r="L1897" s="7"/>
      <c r="M1897" s="7"/>
      <c r="N1897" s="7"/>
      <c r="O1897" s="7"/>
      <c r="P1897" s="7"/>
      <c r="Q1897" s="7"/>
    </row>
    <row r="1898" spans="12:17" ht="15.75" customHeight="1">
      <c r="L1898" s="7"/>
      <c r="M1898" s="7"/>
      <c r="N1898" s="7"/>
      <c r="O1898" s="7"/>
      <c r="P1898" s="7"/>
      <c r="Q1898" s="7"/>
    </row>
    <row r="1899" spans="12:17" ht="15.75" customHeight="1">
      <c r="L1899" s="7"/>
      <c r="M1899" s="7"/>
      <c r="N1899" s="7"/>
      <c r="O1899" s="7"/>
      <c r="P1899" s="7"/>
      <c r="Q1899" s="7"/>
    </row>
    <row r="1900" spans="12:17" ht="15.75" customHeight="1">
      <c r="L1900" s="7"/>
      <c r="M1900" s="7"/>
      <c r="N1900" s="7"/>
      <c r="O1900" s="7"/>
      <c r="P1900" s="7"/>
      <c r="Q1900" s="7"/>
    </row>
    <row r="1901" spans="12:17" ht="15.75" customHeight="1">
      <c r="L1901" s="7"/>
      <c r="M1901" s="7"/>
      <c r="N1901" s="7"/>
      <c r="O1901" s="7"/>
      <c r="P1901" s="7"/>
      <c r="Q1901" s="7"/>
    </row>
    <row r="1902" spans="12:17" ht="15.75" customHeight="1">
      <c r="L1902" s="7"/>
      <c r="M1902" s="7"/>
      <c r="N1902" s="7"/>
      <c r="O1902" s="7"/>
      <c r="P1902" s="7"/>
      <c r="Q1902" s="7"/>
    </row>
    <row r="1903" spans="12:17" ht="15.75" customHeight="1">
      <c r="L1903" s="7"/>
      <c r="M1903" s="7"/>
      <c r="N1903" s="7"/>
      <c r="O1903" s="7"/>
      <c r="P1903" s="7"/>
      <c r="Q1903" s="7"/>
    </row>
    <row r="1904" spans="12:17" ht="15.75" customHeight="1">
      <c r="L1904" s="7"/>
      <c r="M1904" s="7"/>
      <c r="N1904" s="7"/>
      <c r="O1904" s="7"/>
      <c r="P1904" s="7"/>
      <c r="Q1904" s="7"/>
    </row>
    <row r="1905" spans="12:17" ht="15.75" customHeight="1">
      <c r="L1905" s="7"/>
      <c r="M1905" s="7"/>
      <c r="N1905" s="7"/>
      <c r="O1905" s="7"/>
      <c r="P1905" s="7"/>
      <c r="Q1905" s="7"/>
    </row>
    <row r="1906" spans="12:17" ht="15.75" customHeight="1">
      <c r="L1906" s="7"/>
      <c r="M1906" s="7"/>
      <c r="N1906" s="7"/>
      <c r="O1906" s="7"/>
      <c r="P1906" s="7"/>
      <c r="Q1906" s="7"/>
    </row>
    <row r="1907" spans="12:17" ht="15.75" customHeight="1">
      <c r="L1907" s="7"/>
      <c r="M1907" s="7"/>
      <c r="N1907" s="7"/>
      <c r="O1907" s="7"/>
      <c r="P1907" s="7"/>
      <c r="Q1907" s="7"/>
    </row>
    <row r="1908" spans="12:17" ht="15.75" customHeight="1">
      <c r="L1908" s="7"/>
      <c r="M1908" s="7"/>
      <c r="N1908" s="7"/>
      <c r="O1908" s="7"/>
      <c r="P1908" s="7"/>
      <c r="Q1908" s="7"/>
    </row>
    <row r="1909" spans="12:17" ht="15.75" customHeight="1">
      <c r="L1909" s="7"/>
      <c r="M1909" s="7"/>
      <c r="N1909" s="7"/>
      <c r="O1909" s="7"/>
      <c r="P1909" s="7"/>
      <c r="Q1909" s="7"/>
    </row>
    <row r="1910" spans="12:17" ht="15.75" customHeight="1">
      <c r="L1910" s="7"/>
      <c r="M1910" s="7"/>
      <c r="N1910" s="7"/>
      <c r="O1910" s="7"/>
      <c r="P1910" s="7"/>
      <c r="Q1910" s="7"/>
    </row>
    <row r="1911" spans="12:17" ht="15.75" customHeight="1">
      <c r="L1911" s="7"/>
      <c r="M1911" s="7"/>
      <c r="N1911" s="7"/>
      <c r="O1911" s="7"/>
      <c r="P1911" s="7"/>
      <c r="Q1911" s="7"/>
    </row>
    <row r="1912" spans="12:17" ht="15.75" customHeight="1">
      <c r="L1912" s="7"/>
      <c r="M1912" s="7"/>
      <c r="N1912" s="7"/>
      <c r="O1912" s="7"/>
      <c r="P1912" s="7"/>
      <c r="Q1912" s="7"/>
    </row>
    <row r="1913" spans="12:17" ht="15.75" customHeight="1">
      <c r="L1913" s="7"/>
      <c r="M1913" s="7"/>
      <c r="N1913" s="7"/>
      <c r="O1913" s="7"/>
      <c r="P1913" s="7"/>
      <c r="Q1913" s="7"/>
    </row>
    <row r="1914" spans="12:17" ht="15.75" customHeight="1">
      <c r="L1914" s="7"/>
      <c r="M1914" s="7"/>
      <c r="N1914" s="7"/>
      <c r="O1914" s="7"/>
      <c r="P1914" s="7"/>
      <c r="Q1914" s="7"/>
    </row>
    <row r="1915" spans="12:17" ht="15.75" customHeight="1">
      <c r="L1915" s="7"/>
      <c r="M1915" s="7"/>
      <c r="N1915" s="7"/>
      <c r="O1915" s="7"/>
      <c r="P1915" s="7"/>
      <c r="Q1915" s="7"/>
    </row>
    <row r="1916" spans="12:17" ht="15.75" customHeight="1">
      <c r="L1916" s="7"/>
      <c r="M1916" s="7"/>
      <c r="N1916" s="7"/>
      <c r="O1916" s="7"/>
      <c r="P1916" s="7"/>
      <c r="Q1916" s="7"/>
    </row>
    <row r="1917" spans="12:17" ht="15.75" customHeight="1">
      <c r="L1917" s="7"/>
      <c r="M1917" s="7"/>
      <c r="N1917" s="7"/>
      <c r="O1917" s="7"/>
      <c r="P1917" s="7"/>
      <c r="Q1917" s="7"/>
    </row>
    <row r="1918" spans="12:17" ht="15.75" customHeight="1">
      <c r="L1918" s="7"/>
      <c r="M1918" s="7"/>
      <c r="N1918" s="7"/>
      <c r="O1918" s="7"/>
      <c r="P1918" s="7"/>
      <c r="Q1918" s="7"/>
    </row>
    <row r="1919" spans="12:17" ht="15.75" customHeight="1">
      <c r="L1919" s="7"/>
      <c r="M1919" s="7"/>
      <c r="N1919" s="7"/>
      <c r="O1919" s="7"/>
      <c r="P1919" s="7"/>
      <c r="Q1919" s="7"/>
    </row>
    <row r="1920" spans="12:17" ht="15.75" customHeight="1">
      <c r="L1920" s="7"/>
      <c r="M1920" s="7"/>
      <c r="N1920" s="7"/>
      <c r="O1920" s="7"/>
      <c r="P1920" s="7"/>
      <c r="Q1920" s="7"/>
    </row>
    <row r="1921" spans="12:17" ht="15.75" customHeight="1">
      <c r="L1921" s="7"/>
      <c r="M1921" s="7"/>
      <c r="N1921" s="7"/>
      <c r="O1921" s="7"/>
      <c r="P1921" s="7"/>
      <c r="Q1921" s="7"/>
    </row>
    <row r="1922" spans="12:17" ht="15.75" customHeight="1">
      <c r="L1922" s="7"/>
      <c r="M1922" s="7"/>
      <c r="N1922" s="7"/>
      <c r="O1922" s="7"/>
      <c r="P1922" s="7"/>
      <c r="Q1922" s="7"/>
    </row>
    <row r="1923" spans="12:17" ht="15.75" customHeight="1">
      <c r="L1923" s="7"/>
      <c r="M1923" s="7"/>
      <c r="N1923" s="7"/>
      <c r="O1923" s="7"/>
      <c r="P1923" s="7"/>
      <c r="Q1923" s="7"/>
    </row>
    <row r="1924" spans="12:17" ht="15.75" customHeight="1">
      <c r="L1924" s="7"/>
      <c r="M1924" s="7"/>
      <c r="N1924" s="7"/>
      <c r="O1924" s="7"/>
      <c r="P1924" s="7"/>
      <c r="Q1924" s="7"/>
    </row>
    <row r="1925" spans="12:17" ht="15.75" customHeight="1">
      <c r="L1925" s="7"/>
      <c r="M1925" s="7"/>
      <c r="N1925" s="7"/>
      <c r="O1925" s="7"/>
      <c r="P1925" s="7"/>
      <c r="Q1925" s="7"/>
    </row>
    <row r="1926" spans="12:17" ht="15.75" customHeight="1">
      <c r="L1926" s="7"/>
      <c r="M1926" s="7"/>
      <c r="N1926" s="7"/>
      <c r="O1926" s="7"/>
      <c r="P1926" s="7"/>
      <c r="Q1926" s="7"/>
    </row>
    <row r="1927" spans="12:17" ht="15.75" customHeight="1">
      <c r="L1927" s="7"/>
      <c r="M1927" s="7"/>
      <c r="N1927" s="7"/>
      <c r="O1927" s="7"/>
      <c r="P1927" s="7"/>
      <c r="Q1927" s="7"/>
    </row>
    <row r="1928" spans="12:17" ht="15.75" customHeight="1">
      <c r="L1928" s="7"/>
      <c r="M1928" s="7"/>
      <c r="N1928" s="7"/>
      <c r="O1928" s="7"/>
      <c r="P1928" s="7"/>
      <c r="Q1928" s="7"/>
    </row>
    <row r="1929" spans="12:17" ht="15.75" customHeight="1">
      <c r="L1929" s="7"/>
      <c r="M1929" s="7"/>
      <c r="N1929" s="7"/>
      <c r="O1929" s="7"/>
      <c r="P1929" s="7"/>
      <c r="Q1929" s="7"/>
    </row>
    <row r="1930" spans="12:17" ht="15.75" customHeight="1">
      <c r="L1930" s="7"/>
      <c r="M1930" s="7"/>
      <c r="N1930" s="7"/>
      <c r="O1930" s="7"/>
      <c r="P1930" s="7"/>
      <c r="Q1930" s="7"/>
    </row>
    <row r="1931" spans="12:17" ht="15.75" customHeight="1">
      <c r="L1931" s="7"/>
      <c r="M1931" s="7"/>
      <c r="N1931" s="7"/>
      <c r="O1931" s="7"/>
      <c r="P1931" s="7"/>
      <c r="Q1931" s="7"/>
    </row>
    <row r="1932" spans="12:17" ht="15.75" customHeight="1">
      <c r="L1932" s="7"/>
      <c r="M1932" s="7"/>
      <c r="N1932" s="7"/>
      <c r="O1932" s="7"/>
      <c r="P1932" s="7"/>
      <c r="Q1932" s="7"/>
    </row>
    <row r="1933" spans="12:17" ht="15.75" customHeight="1">
      <c r="L1933" s="7"/>
      <c r="M1933" s="7"/>
      <c r="N1933" s="7"/>
      <c r="O1933" s="7"/>
      <c r="P1933" s="7"/>
      <c r="Q1933" s="7"/>
    </row>
    <row r="1934" spans="12:17" ht="15.75" customHeight="1">
      <c r="L1934" s="7"/>
      <c r="M1934" s="7"/>
      <c r="N1934" s="7"/>
      <c r="O1934" s="7"/>
      <c r="P1934" s="7"/>
      <c r="Q1934" s="7"/>
    </row>
    <row r="1935" spans="12:17" ht="15.75" customHeight="1">
      <c r="L1935" s="7"/>
      <c r="M1935" s="7"/>
      <c r="N1935" s="7"/>
      <c r="O1935" s="7"/>
      <c r="P1935" s="7"/>
      <c r="Q1935" s="7"/>
    </row>
    <row r="1936" spans="12:17" ht="15.75" customHeight="1">
      <c r="L1936" s="7"/>
      <c r="M1936" s="7"/>
      <c r="N1936" s="7"/>
      <c r="O1936" s="7"/>
      <c r="P1936" s="7"/>
      <c r="Q1936" s="7"/>
    </row>
    <row r="1937" spans="12:17" ht="15.75" customHeight="1">
      <c r="L1937" s="7"/>
      <c r="M1937" s="7"/>
      <c r="N1937" s="7"/>
      <c r="O1937" s="7"/>
      <c r="P1937" s="7"/>
      <c r="Q1937" s="7"/>
    </row>
    <row r="1938" spans="12:17" ht="15.75" customHeight="1">
      <c r="L1938" s="7"/>
      <c r="M1938" s="7"/>
      <c r="N1938" s="7"/>
      <c r="O1938" s="7"/>
      <c r="P1938" s="7"/>
      <c r="Q1938" s="7"/>
    </row>
    <row r="1939" spans="12:17" ht="15.75" customHeight="1">
      <c r="L1939" s="7"/>
      <c r="M1939" s="7"/>
      <c r="N1939" s="7"/>
      <c r="O1939" s="7"/>
      <c r="P1939" s="7"/>
      <c r="Q1939" s="7"/>
    </row>
    <row r="1940" spans="12:17" ht="15.75" customHeight="1">
      <c r="L1940" s="7"/>
      <c r="M1940" s="7"/>
      <c r="N1940" s="7"/>
      <c r="O1940" s="7"/>
      <c r="P1940" s="7"/>
      <c r="Q1940" s="7"/>
    </row>
    <row r="1941" spans="12:17" ht="15.75" customHeight="1">
      <c r="L1941" s="7"/>
      <c r="M1941" s="7"/>
      <c r="N1941" s="7"/>
      <c r="O1941" s="7"/>
      <c r="P1941" s="7"/>
      <c r="Q1941" s="7"/>
    </row>
    <row r="1942" spans="12:17" ht="15.75" customHeight="1">
      <c r="L1942" s="7"/>
      <c r="M1942" s="7"/>
      <c r="N1942" s="7"/>
      <c r="O1942" s="7"/>
      <c r="P1942" s="7"/>
      <c r="Q1942" s="7"/>
    </row>
    <row r="1943" spans="12:17" ht="15.75" customHeight="1">
      <c r="L1943" s="7"/>
      <c r="M1943" s="7"/>
      <c r="N1943" s="7"/>
      <c r="O1943" s="7"/>
      <c r="P1943" s="7"/>
      <c r="Q1943" s="7"/>
    </row>
    <row r="1944" spans="12:17" ht="15.75" customHeight="1">
      <c r="L1944" s="7"/>
      <c r="M1944" s="7"/>
      <c r="N1944" s="7"/>
      <c r="O1944" s="7"/>
      <c r="P1944" s="7"/>
      <c r="Q1944" s="7"/>
    </row>
    <row r="1945" spans="12:17" ht="15.75" customHeight="1">
      <c r="L1945" s="7"/>
      <c r="M1945" s="7"/>
      <c r="N1945" s="7"/>
      <c r="O1945" s="7"/>
      <c r="P1945" s="7"/>
      <c r="Q1945" s="7"/>
    </row>
    <row r="1946" spans="12:17" ht="15.75" customHeight="1">
      <c r="L1946" s="7"/>
      <c r="M1946" s="7"/>
      <c r="N1946" s="7"/>
      <c r="O1946" s="7"/>
      <c r="P1946" s="7"/>
      <c r="Q1946" s="7"/>
    </row>
    <row r="1947" spans="12:17" ht="15.75" customHeight="1">
      <c r="L1947" s="7"/>
      <c r="M1947" s="7"/>
      <c r="N1947" s="7"/>
      <c r="O1947" s="7"/>
      <c r="P1947" s="7"/>
      <c r="Q1947" s="7"/>
    </row>
    <row r="1948" spans="12:17" ht="15.75" customHeight="1">
      <c r="L1948" s="7"/>
      <c r="M1948" s="7"/>
      <c r="N1948" s="7"/>
      <c r="O1948" s="7"/>
      <c r="P1948" s="7"/>
      <c r="Q1948" s="7"/>
    </row>
    <row r="1949" spans="12:17" ht="15.75" customHeight="1">
      <c r="L1949" s="7"/>
      <c r="M1949" s="7"/>
      <c r="N1949" s="7"/>
      <c r="O1949" s="7"/>
      <c r="P1949" s="7"/>
      <c r="Q1949" s="7"/>
    </row>
    <row r="1950" spans="12:17" ht="15.75" customHeight="1">
      <c r="L1950" s="7"/>
      <c r="M1950" s="7"/>
      <c r="N1950" s="7"/>
      <c r="O1950" s="7"/>
      <c r="P1950" s="7"/>
      <c r="Q1950" s="7"/>
    </row>
    <row r="1951" spans="12:17" ht="15.75" customHeight="1">
      <c r="L1951" s="7"/>
      <c r="M1951" s="7"/>
      <c r="N1951" s="7"/>
      <c r="O1951" s="7"/>
      <c r="P1951" s="7"/>
      <c r="Q1951" s="7"/>
    </row>
    <row r="1952" spans="12:17" ht="15.75" customHeight="1">
      <c r="L1952" s="7"/>
      <c r="M1952" s="7"/>
      <c r="N1952" s="7"/>
      <c r="O1952" s="7"/>
      <c r="P1952" s="7"/>
      <c r="Q1952" s="7"/>
    </row>
    <row r="1953" spans="12:17" ht="15.75" customHeight="1">
      <c r="L1953" s="7"/>
      <c r="M1953" s="7"/>
      <c r="N1953" s="7"/>
      <c r="O1953" s="7"/>
      <c r="P1953" s="7"/>
      <c r="Q1953" s="7"/>
    </row>
    <row r="1954" spans="12:17" ht="15.75" customHeight="1">
      <c r="L1954" s="7"/>
      <c r="M1954" s="7"/>
      <c r="N1954" s="7"/>
      <c r="O1954" s="7"/>
      <c r="P1954" s="7"/>
      <c r="Q1954" s="7"/>
    </row>
    <row r="1955" spans="12:17" ht="15.75" customHeight="1">
      <c r="L1955" s="7"/>
      <c r="M1955" s="7"/>
      <c r="N1955" s="7"/>
      <c r="O1955" s="7"/>
      <c r="P1955" s="7"/>
      <c r="Q1955" s="7"/>
    </row>
    <row r="1956" spans="12:17" ht="15.75" customHeight="1">
      <c r="L1956" s="7"/>
      <c r="M1956" s="7"/>
      <c r="N1956" s="7"/>
      <c r="O1956" s="7"/>
      <c r="P1956" s="7"/>
      <c r="Q1956" s="7"/>
    </row>
    <row r="1957" spans="12:17" ht="15.75" customHeight="1">
      <c r="L1957" s="7"/>
      <c r="M1957" s="7"/>
      <c r="N1957" s="7"/>
      <c r="O1957" s="7"/>
      <c r="P1957" s="7"/>
      <c r="Q1957" s="7"/>
    </row>
    <row r="1958" spans="12:17" ht="15.75" customHeight="1">
      <c r="L1958" s="7"/>
      <c r="M1958" s="7"/>
      <c r="N1958" s="7"/>
      <c r="O1958" s="7"/>
      <c r="P1958" s="7"/>
      <c r="Q1958" s="7"/>
    </row>
    <row r="1959" spans="12:17" ht="15.75" customHeight="1">
      <c r="L1959" s="7"/>
      <c r="M1959" s="7"/>
      <c r="N1959" s="7"/>
      <c r="O1959" s="7"/>
      <c r="P1959" s="7"/>
      <c r="Q1959" s="7"/>
    </row>
    <row r="1960" spans="12:17" ht="15.75" customHeight="1">
      <c r="L1960" s="7"/>
      <c r="M1960" s="7"/>
      <c r="N1960" s="7"/>
      <c r="O1960" s="7"/>
      <c r="P1960" s="7"/>
      <c r="Q1960" s="7"/>
    </row>
    <row r="1961" spans="12:17" ht="15.75" customHeight="1">
      <c r="L1961" s="7"/>
      <c r="M1961" s="7"/>
      <c r="N1961" s="7"/>
      <c r="O1961" s="7"/>
      <c r="P1961" s="7"/>
      <c r="Q1961" s="7"/>
    </row>
    <row r="1962" spans="12:17" ht="15.75" customHeight="1">
      <c r="L1962" s="7"/>
      <c r="M1962" s="7"/>
      <c r="N1962" s="7"/>
      <c r="O1962" s="7"/>
      <c r="P1962" s="7"/>
      <c r="Q1962" s="7"/>
    </row>
    <row r="1963" spans="12:17" ht="15.75" customHeight="1">
      <c r="L1963" s="7"/>
      <c r="M1963" s="7"/>
      <c r="N1963" s="7"/>
      <c r="O1963" s="7"/>
      <c r="P1963" s="7"/>
      <c r="Q1963" s="7"/>
    </row>
    <row r="1964" spans="12:17" ht="15.75" customHeight="1">
      <c r="L1964" s="7"/>
      <c r="M1964" s="7"/>
      <c r="N1964" s="7"/>
      <c r="O1964" s="7"/>
      <c r="P1964" s="7"/>
      <c r="Q1964" s="7"/>
    </row>
    <row r="1965" spans="12:17" ht="15.75" customHeight="1">
      <c r="L1965" s="7"/>
      <c r="M1965" s="7"/>
      <c r="N1965" s="7"/>
      <c r="O1965" s="7"/>
      <c r="P1965" s="7"/>
      <c r="Q1965" s="7"/>
    </row>
    <row r="1966" spans="12:17" ht="15.75" customHeight="1">
      <c r="L1966" s="7"/>
      <c r="M1966" s="7"/>
      <c r="N1966" s="7"/>
      <c r="O1966" s="7"/>
      <c r="P1966" s="7"/>
      <c r="Q1966" s="7"/>
    </row>
    <row r="1967" spans="12:17" ht="15.75" customHeight="1">
      <c r="L1967" s="7"/>
      <c r="M1967" s="7"/>
      <c r="N1967" s="7"/>
      <c r="O1967" s="7"/>
      <c r="P1967" s="7"/>
      <c r="Q1967" s="7"/>
    </row>
    <row r="1968" spans="12:17" ht="15.75" customHeight="1">
      <c r="L1968" s="7"/>
      <c r="M1968" s="7"/>
      <c r="N1968" s="7"/>
      <c r="O1968" s="7"/>
      <c r="P1968" s="7"/>
      <c r="Q1968" s="7"/>
    </row>
    <row r="1969" spans="12:17" ht="15.75" customHeight="1">
      <c r="L1969" s="7"/>
      <c r="M1969" s="7"/>
      <c r="N1969" s="7"/>
      <c r="O1969" s="7"/>
      <c r="P1969" s="7"/>
      <c r="Q1969" s="7"/>
    </row>
    <row r="1970" spans="12:17" ht="15.75" customHeight="1">
      <c r="L1970" s="7"/>
      <c r="M1970" s="7"/>
      <c r="N1970" s="7"/>
      <c r="O1970" s="7"/>
      <c r="P1970" s="7"/>
      <c r="Q1970" s="7"/>
    </row>
    <row r="1971" spans="12:17" ht="15.75" customHeight="1">
      <c r="L1971" s="7"/>
      <c r="M1971" s="7"/>
      <c r="N1971" s="7"/>
      <c r="O1971" s="7"/>
      <c r="P1971" s="7"/>
      <c r="Q1971" s="7"/>
    </row>
    <row r="1972" spans="12:17" ht="15.75" customHeight="1">
      <c r="L1972" s="7"/>
      <c r="M1972" s="7"/>
      <c r="N1972" s="7"/>
      <c r="O1972" s="7"/>
      <c r="P1972" s="7"/>
      <c r="Q1972" s="7"/>
    </row>
    <row r="1973" spans="12:17" ht="15.75" customHeight="1">
      <c r="L1973" s="7"/>
      <c r="M1973" s="7"/>
      <c r="N1973" s="7"/>
      <c r="O1973" s="7"/>
      <c r="P1973" s="7"/>
      <c r="Q1973" s="7"/>
    </row>
    <row r="1974" spans="12:17" ht="15.75" customHeight="1">
      <c r="L1974" s="7"/>
      <c r="M1974" s="7"/>
      <c r="N1974" s="7"/>
      <c r="O1974" s="7"/>
      <c r="P1974" s="7"/>
      <c r="Q1974" s="7"/>
    </row>
    <row r="1975" spans="12:17" ht="15.75" customHeight="1">
      <c r="L1975" s="7"/>
      <c r="M1975" s="7"/>
      <c r="N1975" s="7"/>
      <c r="O1975" s="7"/>
      <c r="P1975" s="7"/>
      <c r="Q1975" s="7"/>
    </row>
    <row r="1976" spans="12:17" ht="15.75" customHeight="1">
      <c r="L1976" s="7"/>
      <c r="M1976" s="7"/>
      <c r="N1976" s="7"/>
      <c r="O1976" s="7"/>
      <c r="P1976" s="7"/>
      <c r="Q1976" s="7"/>
    </row>
    <row r="1977" spans="12:17" ht="15.75" customHeight="1">
      <c r="L1977" s="7"/>
      <c r="M1977" s="7"/>
      <c r="N1977" s="7"/>
      <c r="O1977" s="7"/>
      <c r="P1977" s="7"/>
      <c r="Q1977" s="7"/>
    </row>
    <row r="1978" spans="12:17" ht="15.75" customHeight="1">
      <c r="L1978" s="7"/>
      <c r="M1978" s="7"/>
      <c r="N1978" s="7"/>
      <c r="O1978" s="7"/>
      <c r="P1978" s="7"/>
      <c r="Q1978" s="7"/>
    </row>
    <row r="1979" spans="12:17" ht="15.75" customHeight="1">
      <c r="L1979" s="7"/>
      <c r="M1979" s="7"/>
      <c r="N1979" s="7"/>
      <c r="O1979" s="7"/>
      <c r="P1979" s="7"/>
      <c r="Q1979" s="7"/>
    </row>
    <row r="1980" spans="12:17" ht="15.75" customHeight="1">
      <c r="L1980" s="7"/>
      <c r="M1980" s="7"/>
      <c r="N1980" s="7"/>
      <c r="O1980" s="7"/>
      <c r="P1980" s="7"/>
      <c r="Q1980" s="7"/>
    </row>
    <row r="1981" spans="12:17" ht="15.75" customHeight="1">
      <c r="L1981" s="7"/>
      <c r="M1981" s="7"/>
      <c r="N1981" s="7"/>
      <c r="O1981" s="7"/>
      <c r="P1981" s="7"/>
      <c r="Q1981" s="7"/>
    </row>
    <row r="1982" spans="12:17" ht="15.75" customHeight="1">
      <c r="L1982" s="7"/>
      <c r="M1982" s="7"/>
      <c r="N1982" s="7"/>
      <c r="O1982" s="7"/>
      <c r="P1982" s="7"/>
      <c r="Q1982" s="7"/>
    </row>
    <row r="1983" spans="12:17" ht="15.75" customHeight="1">
      <c r="L1983" s="7"/>
      <c r="M1983" s="7"/>
      <c r="N1983" s="7"/>
      <c r="O1983" s="7"/>
      <c r="P1983" s="7"/>
      <c r="Q1983" s="7"/>
    </row>
    <row r="1984" spans="12:17" ht="15.75" customHeight="1">
      <c r="L1984" s="7"/>
      <c r="M1984" s="7"/>
      <c r="N1984" s="7"/>
      <c r="O1984" s="7"/>
      <c r="P1984" s="7"/>
      <c r="Q1984" s="7"/>
    </row>
    <row r="1985" spans="12:17" ht="15.75" customHeight="1">
      <c r="L1985" s="7"/>
      <c r="M1985" s="7"/>
      <c r="N1985" s="7"/>
      <c r="O1985" s="7"/>
      <c r="P1985" s="7"/>
      <c r="Q1985" s="7"/>
    </row>
    <row r="1986" spans="12:17" ht="15.75" customHeight="1">
      <c r="L1986" s="7"/>
      <c r="M1986" s="7"/>
      <c r="N1986" s="7"/>
      <c r="O1986" s="7"/>
      <c r="P1986" s="7"/>
      <c r="Q1986" s="7"/>
    </row>
    <row r="1987" spans="12:17" ht="15.75" customHeight="1">
      <c r="L1987" s="7"/>
      <c r="M1987" s="7"/>
      <c r="N1987" s="7"/>
      <c r="O1987" s="7"/>
      <c r="P1987" s="7"/>
      <c r="Q1987" s="7"/>
    </row>
    <row r="1988" spans="12:17" ht="15.75" customHeight="1">
      <c r="L1988" s="7"/>
      <c r="M1988" s="7"/>
      <c r="N1988" s="7"/>
      <c r="O1988" s="7"/>
      <c r="P1988" s="7"/>
      <c r="Q1988" s="7"/>
    </row>
    <row r="1989" spans="12:17" ht="15.75" customHeight="1">
      <c r="L1989" s="7"/>
      <c r="M1989" s="7"/>
      <c r="N1989" s="7"/>
      <c r="O1989" s="7"/>
      <c r="P1989" s="7"/>
      <c r="Q1989" s="7"/>
    </row>
    <row r="1990" spans="12:17" ht="15.75" customHeight="1">
      <c r="L1990" s="7"/>
      <c r="M1990" s="7"/>
      <c r="N1990" s="7"/>
      <c r="O1990" s="7"/>
      <c r="P1990" s="7"/>
      <c r="Q1990" s="7"/>
    </row>
    <row r="1991" spans="12:17" ht="15.75" customHeight="1">
      <c r="L1991" s="7"/>
      <c r="M1991" s="7"/>
      <c r="N1991" s="7"/>
      <c r="O1991" s="7"/>
      <c r="P1991" s="7"/>
      <c r="Q1991" s="7"/>
    </row>
    <row r="1992" spans="12:17" ht="15.75" customHeight="1">
      <c r="L1992" s="7"/>
      <c r="M1992" s="7"/>
      <c r="N1992" s="7"/>
      <c r="O1992" s="7"/>
      <c r="P1992" s="7"/>
      <c r="Q1992" s="7"/>
    </row>
    <row r="1993" spans="12:17" ht="15.75" customHeight="1">
      <c r="L1993" s="7"/>
      <c r="M1993" s="7"/>
      <c r="N1993" s="7"/>
      <c r="O1993" s="7"/>
      <c r="P1993" s="7"/>
      <c r="Q1993" s="7"/>
    </row>
    <row r="1994" spans="12:17" ht="15.75" customHeight="1">
      <c r="L1994" s="7"/>
      <c r="M1994" s="7"/>
      <c r="N1994" s="7"/>
      <c r="O1994" s="7"/>
      <c r="P1994" s="7"/>
      <c r="Q1994" s="7"/>
    </row>
    <row r="1995" spans="12:17" ht="15.75" customHeight="1">
      <c r="L1995" s="7"/>
      <c r="M1995" s="7"/>
      <c r="N1995" s="7"/>
      <c r="O1995" s="7"/>
      <c r="P1995" s="7"/>
      <c r="Q1995" s="7"/>
    </row>
    <row r="1996" spans="12:17" ht="15.75" customHeight="1">
      <c r="L1996" s="7"/>
      <c r="M1996" s="7"/>
      <c r="N1996" s="7"/>
      <c r="O1996" s="7"/>
      <c r="P1996" s="7"/>
      <c r="Q1996" s="7"/>
    </row>
    <row r="1997" spans="12:17" ht="15.75" customHeight="1">
      <c r="L1997" s="7"/>
      <c r="M1997" s="7"/>
      <c r="N1997" s="7"/>
      <c r="O1997" s="7"/>
      <c r="P1997" s="7"/>
      <c r="Q1997" s="7"/>
    </row>
    <row r="1998" spans="12:17" ht="15.75" customHeight="1">
      <c r="L1998" s="7"/>
      <c r="M1998" s="7"/>
      <c r="N1998" s="7"/>
      <c r="O1998" s="7"/>
      <c r="P1998" s="7"/>
      <c r="Q1998" s="7"/>
    </row>
    <row r="1999" spans="12:17" ht="15.75" customHeight="1">
      <c r="L1999" s="7"/>
      <c r="M1999" s="7"/>
      <c r="N1999" s="7"/>
      <c r="O1999" s="7"/>
      <c r="P1999" s="7"/>
      <c r="Q1999" s="7"/>
    </row>
    <row r="2000" spans="12:17" ht="15.75" customHeight="1">
      <c r="L2000" s="7"/>
      <c r="M2000" s="7"/>
      <c r="N2000" s="7"/>
      <c r="O2000" s="7"/>
      <c r="P2000" s="7"/>
      <c r="Q2000" s="7"/>
    </row>
    <row r="2001" spans="12:17" ht="15.75" customHeight="1">
      <c r="L2001" s="7"/>
      <c r="M2001" s="7"/>
      <c r="N2001" s="7"/>
      <c r="O2001" s="7"/>
      <c r="P2001" s="7"/>
      <c r="Q2001" s="7"/>
    </row>
    <row r="2002" spans="12:17" ht="15.75" customHeight="1">
      <c r="L2002" s="7"/>
      <c r="M2002" s="7"/>
      <c r="N2002" s="7"/>
      <c r="O2002" s="7"/>
      <c r="P2002" s="7"/>
      <c r="Q2002" s="7"/>
    </row>
    <row r="2003" spans="12:17" ht="15.75" customHeight="1">
      <c r="L2003" s="7"/>
      <c r="M2003" s="7"/>
      <c r="N2003" s="7"/>
      <c r="O2003" s="7"/>
      <c r="P2003" s="7"/>
      <c r="Q2003" s="7"/>
    </row>
    <row r="2004" spans="12:17" ht="15.75" customHeight="1">
      <c r="L2004" s="7"/>
      <c r="M2004" s="7"/>
      <c r="N2004" s="7"/>
      <c r="O2004" s="7"/>
      <c r="P2004" s="7"/>
      <c r="Q2004" s="7"/>
    </row>
    <row r="2005" spans="12:17" ht="15.75" customHeight="1">
      <c r="L2005" s="7"/>
      <c r="M2005" s="7"/>
      <c r="N2005" s="7"/>
      <c r="O2005" s="7"/>
      <c r="P2005" s="7"/>
      <c r="Q2005" s="7"/>
    </row>
    <row r="2006" spans="12:17" ht="15.75" customHeight="1">
      <c r="L2006" s="7"/>
      <c r="M2006" s="7"/>
      <c r="N2006" s="7"/>
      <c r="O2006" s="7"/>
      <c r="P2006" s="7"/>
      <c r="Q2006" s="7"/>
    </row>
    <row r="2007" spans="12:17" ht="15.75" customHeight="1">
      <c r="L2007" s="7"/>
      <c r="M2007" s="7"/>
      <c r="N2007" s="7"/>
      <c r="O2007" s="7"/>
      <c r="P2007" s="7"/>
      <c r="Q2007" s="7"/>
    </row>
    <row r="2008" spans="12:17" ht="15.75" customHeight="1">
      <c r="L2008" s="7"/>
      <c r="M2008" s="7"/>
      <c r="N2008" s="7"/>
      <c r="O2008" s="7"/>
      <c r="P2008" s="7"/>
      <c r="Q2008" s="7"/>
    </row>
    <row r="2009" spans="12:17" ht="15.75" customHeight="1">
      <c r="L2009" s="7"/>
      <c r="M2009" s="7"/>
      <c r="N2009" s="7"/>
      <c r="O2009" s="7"/>
      <c r="P2009" s="7"/>
      <c r="Q2009" s="7"/>
    </row>
    <row r="2010" spans="12:17" ht="15.75" customHeight="1">
      <c r="L2010" s="7"/>
      <c r="M2010" s="7"/>
      <c r="N2010" s="7"/>
      <c r="O2010" s="7"/>
      <c r="P2010" s="7"/>
      <c r="Q2010" s="7"/>
    </row>
    <row r="2011" spans="12:17" ht="15.75" customHeight="1">
      <c r="L2011" s="7"/>
      <c r="M2011" s="7"/>
      <c r="N2011" s="7"/>
      <c r="O2011" s="7"/>
      <c r="P2011" s="7"/>
      <c r="Q2011" s="7"/>
    </row>
    <row r="2012" spans="12:17" ht="15.75" customHeight="1">
      <c r="L2012" s="7"/>
      <c r="M2012" s="7"/>
      <c r="N2012" s="7"/>
      <c r="O2012" s="7"/>
      <c r="P2012" s="7"/>
      <c r="Q2012" s="7"/>
    </row>
    <row r="2013" spans="12:17" ht="15.75" customHeight="1">
      <c r="L2013" s="7"/>
      <c r="M2013" s="7"/>
      <c r="N2013" s="7"/>
      <c r="O2013" s="7"/>
      <c r="P2013" s="7"/>
      <c r="Q2013" s="7"/>
    </row>
    <row r="2014" spans="12:17" ht="15.75" customHeight="1">
      <c r="L2014" s="7"/>
      <c r="M2014" s="7"/>
      <c r="N2014" s="7"/>
      <c r="O2014" s="7"/>
      <c r="P2014" s="7"/>
      <c r="Q2014" s="7"/>
    </row>
    <row r="2015" spans="12:17" ht="15.75" customHeight="1">
      <c r="L2015" s="7"/>
      <c r="M2015" s="7"/>
      <c r="N2015" s="7"/>
      <c r="O2015" s="7"/>
      <c r="P2015" s="7"/>
      <c r="Q2015" s="7"/>
    </row>
    <row r="2016" spans="12:17" ht="15.75" customHeight="1">
      <c r="L2016" s="7"/>
      <c r="M2016" s="7"/>
      <c r="N2016" s="7"/>
      <c r="O2016" s="7"/>
      <c r="P2016" s="7"/>
      <c r="Q2016" s="7"/>
    </row>
    <row r="2017" spans="12:17" ht="15.75" customHeight="1">
      <c r="L2017" s="7"/>
      <c r="M2017" s="7"/>
      <c r="N2017" s="7"/>
      <c r="O2017" s="7"/>
      <c r="P2017" s="7"/>
      <c r="Q2017" s="7"/>
    </row>
    <row r="2018" spans="12:17" ht="15.75" customHeight="1">
      <c r="L2018" s="7"/>
      <c r="M2018" s="7"/>
      <c r="N2018" s="7"/>
      <c r="O2018" s="7"/>
      <c r="P2018" s="7"/>
      <c r="Q2018" s="7"/>
    </row>
    <row r="2019" spans="12:17" ht="15.75" customHeight="1">
      <c r="L2019" s="7"/>
      <c r="M2019" s="7"/>
      <c r="N2019" s="7"/>
      <c r="O2019" s="7"/>
      <c r="P2019" s="7"/>
      <c r="Q2019" s="7"/>
    </row>
    <row r="2020" spans="12:17" ht="15.75" customHeight="1">
      <c r="L2020" s="7"/>
      <c r="M2020" s="7"/>
      <c r="N2020" s="7"/>
      <c r="O2020" s="7"/>
      <c r="P2020" s="7"/>
      <c r="Q2020" s="7"/>
    </row>
    <row r="2021" spans="12:17" ht="15.75" customHeight="1">
      <c r="L2021" s="7"/>
      <c r="M2021" s="7"/>
      <c r="N2021" s="7"/>
      <c r="O2021" s="7"/>
      <c r="P2021" s="7"/>
      <c r="Q2021" s="7"/>
    </row>
    <row r="2022" spans="12:17" ht="15.75" customHeight="1">
      <c r="L2022" s="7"/>
      <c r="M2022" s="7"/>
      <c r="N2022" s="7"/>
      <c r="O2022" s="7"/>
      <c r="P2022" s="7"/>
      <c r="Q2022" s="7"/>
    </row>
    <row r="2023" spans="12:17" ht="15.75" customHeight="1">
      <c r="L2023" s="7"/>
      <c r="M2023" s="7"/>
      <c r="N2023" s="7"/>
      <c r="O2023" s="7"/>
      <c r="P2023" s="7"/>
      <c r="Q2023" s="7"/>
    </row>
    <row r="2024" spans="12:17" ht="15.75" customHeight="1">
      <c r="L2024" s="7"/>
      <c r="M2024" s="7"/>
      <c r="N2024" s="7"/>
      <c r="O2024" s="7"/>
      <c r="P2024" s="7"/>
      <c r="Q2024" s="7"/>
    </row>
    <row r="2025" spans="12:17" ht="15.75" customHeight="1">
      <c r="L2025" s="7"/>
      <c r="M2025" s="7"/>
      <c r="N2025" s="7"/>
      <c r="O2025" s="7"/>
      <c r="P2025" s="7"/>
      <c r="Q2025" s="7"/>
    </row>
    <row r="2026" spans="12:17" ht="15.75" customHeight="1">
      <c r="L2026" s="7"/>
      <c r="M2026" s="7"/>
      <c r="N2026" s="7"/>
      <c r="O2026" s="7"/>
      <c r="P2026" s="7"/>
      <c r="Q2026" s="7"/>
    </row>
    <row r="2027" spans="12:17" ht="15.75" customHeight="1">
      <c r="L2027" s="7"/>
      <c r="M2027" s="7"/>
      <c r="N2027" s="7"/>
      <c r="O2027" s="7"/>
      <c r="P2027" s="7"/>
      <c r="Q2027" s="7"/>
    </row>
    <row r="2028" spans="12:17" ht="15.75" customHeight="1">
      <c r="L2028" s="7"/>
      <c r="M2028" s="7"/>
      <c r="N2028" s="7"/>
      <c r="O2028" s="7"/>
      <c r="P2028" s="7"/>
      <c r="Q2028" s="7"/>
    </row>
    <row r="2029" spans="12:17" ht="15.75" customHeight="1">
      <c r="L2029" s="7"/>
      <c r="M2029" s="7"/>
      <c r="N2029" s="7"/>
      <c r="O2029" s="7"/>
      <c r="P2029" s="7"/>
      <c r="Q2029" s="7"/>
    </row>
    <row r="2030" spans="12:17" ht="15.75" customHeight="1">
      <c r="L2030" s="7"/>
      <c r="M2030" s="7"/>
      <c r="N2030" s="7"/>
      <c r="O2030" s="7"/>
      <c r="P2030" s="7"/>
      <c r="Q2030" s="7"/>
    </row>
    <row r="2031" spans="12:17" ht="15.75" customHeight="1">
      <c r="L2031" s="7"/>
      <c r="M2031" s="7"/>
      <c r="N2031" s="7"/>
      <c r="O2031" s="7"/>
      <c r="P2031" s="7"/>
      <c r="Q2031" s="7"/>
    </row>
    <row r="2032" spans="12:17" ht="15.75" customHeight="1">
      <c r="L2032" s="7"/>
      <c r="M2032" s="7"/>
      <c r="N2032" s="7"/>
      <c r="O2032" s="7"/>
      <c r="P2032" s="7"/>
      <c r="Q2032" s="7"/>
    </row>
    <row r="2033" spans="12:17" ht="15.75" customHeight="1">
      <c r="L2033" s="7"/>
      <c r="M2033" s="7"/>
      <c r="N2033" s="7"/>
      <c r="O2033" s="7"/>
      <c r="P2033" s="7"/>
      <c r="Q2033" s="7"/>
    </row>
    <row r="2034" spans="12:17" ht="15.75" customHeight="1">
      <c r="L2034" s="7"/>
      <c r="M2034" s="7"/>
      <c r="N2034" s="7"/>
      <c r="O2034" s="7"/>
      <c r="P2034" s="7"/>
      <c r="Q2034" s="7"/>
    </row>
    <row r="2035" spans="12:17" ht="15.75" customHeight="1">
      <c r="L2035" s="7"/>
      <c r="M2035" s="7"/>
      <c r="N2035" s="7"/>
      <c r="O2035" s="7"/>
      <c r="P2035" s="7"/>
      <c r="Q2035" s="7"/>
    </row>
    <row r="2036" spans="12:17" ht="15.75" customHeight="1">
      <c r="L2036" s="7"/>
      <c r="M2036" s="7"/>
      <c r="N2036" s="7"/>
      <c r="O2036" s="7"/>
      <c r="P2036" s="7"/>
      <c r="Q2036" s="7"/>
    </row>
    <row r="2037" spans="12:17" ht="15.75" customHeight="1">
      <c r="L2037" s="7"/>
      <c r="M2037" s="7"/>
      <c r="N2037" s="7"/>
      <c r="O2037" s="7"/>
      <c r="P2037" s="7"/>
      <c r="Q2037" s="7"/>
    </row>
    <row r="2038" spans="12:17" ht="15.75" customHeight="1">
      <c r="L2038" s="7"/>
      <c r="M2038" s="7"/>
      <c r="N2038" s="7"/>
      <c r="O2038" s="7"/>
      <c r="P2038" s="7"/>
      <c r="Q2038" s="7"/>
    </row>
    <row r="2039" spans="12:17" ht="15.75" customHeight="1">
      <c r="L2039" s="7"/>
      <c r="M2039" s="7"/>
      <c r="N2039" s="7"/>
      <c r="O2039" s="7"/>
      <c r="P2039" s="7"/>
      <c r="Q2039" s="7"/>
    </row>
    <row r="2040" spans="12:17" ht="15.75" customHeight="1">
      <c r="L2040" s="7"/>
      <c r="M2040" s="7"/>
      <c r="N2040" s="7"/>
      <c r="O2040" s="7"/>
      <c r="P2040" s="7"/>
      <c r="Q2040" s="7"/>
    </row>
    <row r="2041" spans="12:17" ht="15.75" customHeight="1">
      <c r="L2041" s="7"/>
      <c r="M2041" s="7"/>
      <c r="N2041" s="7"/>
      <c r="O2041" s="7"/>
      <c r="P2041" s="7"/>
      <c r="Q2041" s="7"/>
    </row>
    <row r="2042" spans="12:17" ht="15.75" customHeight="1">
      <c r="L2042" s="7"/>
      <c r="M2042" s="7"/>
      <c r="N2042" s="7"/>
      <c r="O2042" s="7"/>
      <c r="P2042" s="7"/>
      <c r="Q2042" s="7"/>
    </row>
    <row r="2043" spans="12:17" ht="15.75" customHeight="1">
      <c r="L2043" s="7"/>
      <c r="M2043" s="7"/>
      <c r="N2043" s="7"/>
      <c r="O2043" s="7"/>
      <c r="P2043" s="7"/>
      <c r="Q2043" s="7"/>
    </row>
    <row r="2044" spans="12:17" ht="15.75" customHeight="1">
      <c r="L2044" s="7"/>
      <c r="M2044" s="7"/>
      <c r="N2044" s="7"/>
      <c r="O2044" s="7"/>
      <c r="P2044" s="7"/>
      <c r="Q2044" s="7"/>
    </row>
    <row r="2045" spans="12:17" ht="15.75" customHeight="1">
      <c r="L2045" s="7"/>
      <c r="M2045" s="7"/>
      <c r="N2045" s="7"/>
      <c r="O2045" s="7"/>
      <c r="P2045" s="7"/>
      <c r="Q2045" s="7"/>
    </row>
    <row r="2046" spans="12:17" ht="15.75" customHeight="1">
      <c r="L2046" s="7"/>
      <c r="M2046" s="7"/>
      <c r="N2046" s="7"/>
      <c r="O2046" s="7"/>
      <c r="P2046" s="7"/>
      <c r="Q2046" s="7"/>
    </row>
    <row r="2047" spans="12:17" ht="15.75" customHeight="1">
      <c r="L2047" s="7"/>
      <c r="M2047" s="7"/>
      <c r="N2047" s="7"/>
      <c r="O2047" s="7"/>
      <c r="P2047" s="7"/>
      <c r="Q2047" s="7"/>
    </row>
    <row r="2048" spans="12:17" ht="15.75" customHeight="1">
      <c r="L2048" s="7"/>
      <c r="M2048" s="7"/>
      <c r="N2048" s="7"/>
      <c r="O2048" s="7"/>
      <c r="P2048" s="7"/>
      <c r="Q2048" s="7"/>
    </row>
    <row r="2049" spans="12:17" ht="15.75" customHeight="1">
      <c r="L2049" s="7"/>
      <c r="M2049" s="7"/>
      <c r="N2049" s="7"/>
      <c r="O2049" s="7"/>
      <c r="P2049" s="7"/>
      <c r="Q2049" s="7"/>
    </row>
    <row r="2050" spans="12:17" ht="15.75" customHeight="1">
      <c r="L2050" s="7"/>
      <c r="M2050" s="7"/>
      <c r="N2050" s="7"/>
      <c r="O2050" s="7"/>
      <c r="P2050" s="7"/>
      <c r="Q2050" s="7"/>
    </row>
    <row r="2051" spans="12:17" ht="15.75" customHeight="1">
      <c r="L2051" s="7"/>
      <c r="M2051" s="7"/>
      <c r="N2051" s="7"/>
      <c r="O2051" s="7"/>
      <c r="P2051" s="7"/>
      <c r="Q2051" s="7"/>
    </row>
    <row r="2052" spans="12:17" ht="15.75" customHeight="1">
      <c r="L2052" s="7"/>
      <c r="M2052" s="7"/>
      <c r="N2052" s="7"/>
      <c r="O2052" s="7"/>
      <c r="P2052" s="7"/>
      <c r="Q2052" s="7"/>
    </row>
    <row r="2053" spans="12:17" ht="15.75" customHeight="1">
      <c r="L2053" s="7"/>
      <c r="M2053" s="7"/>
      <c r="N2053" s="7"/>
      <c r="O2053" s="7"/>
      <c r="P2053" s="7"/>
      <c r="Q2053" s="7"/>
    </row>
    <row r="2054" spans="12:17" ht="15.75" customHeight="1">
      <c r="L2054" s="7"/>
      <c r="M2054" s="7"/>
      <c r="N2054" s="7"/>
      <c r="O2054" s="7"/>
      <c r="P2054" s="7"/>
      <c r="Q2054" s="7"/>
    </row>
    <row r="2055" spans="12:17" ht="15.75" customHeight="1">
      <c r="L2055" s="7"/>
      <c r="M2055" s="7"/>
      <c r="N2055" s="7"/>
      <c r="O2055" s="7"/>
      <c r="P2055" s="7"/>
      <c r="Q2055" s="7"/>
    </row>
    <row r="2056" spans="12:17" ht="15.75" customHeight="1">
      <c r="L2056" s="7"/>
      <c r="M2056" s="7"/>
      <c r="N2056" s="7"/>
      <c r="O2056" s="7"/>
      <c r="P2056" s="7"/>
      <c r="Q2056" s="7"/>
    </row>
    <row r="2057" spans="12:17" ht="15.75" customHeight="1">
      <c r="L2057" s="7"/>
      <c r="M2057" s="7"/>
      <c r="N2057" s="7"/>
      <c r="O2057" s="7"/>
      <c r="P2057" s="7"/>
      <c r="Q2057" s="7"/>
    </row>
    <row r="2058" spans="12:17" ht="15.75" customHeight="1">
      <c r="L2058" s="7"/>
      <c r="M2058" s="7"/>
      <c r="N2058" s="7"/>
      <c r="O2058" s="7"/>
      <c r="P2058" s="7"/>
      <c r="Q2058" s="7"/>
    </row>
    <row r="2059" spans="12:17" ht="15.75" customHeight="1">
      <c r="L2059" s="7"/>
      <c r="M2059" s="7"/>
      <c r="N2059" s="7"/>
      <c r="O2059" s="7"/>
      <c r="P2059" s="7"/>
      <c r="Q2059" s="7"/>
    </row>
    <row r="2060" spans="12:17" ht="15.75" customHeight="1">
      <c r="L2060" s="7"/>
      <c r="M2060" s="7"/>
      <c r="N2060" s="7"/>
      <c r="O2060" s="7"/>
      <c r="P2060" s="7"/>
      <c r="Q2060" s="7"/>
    </row>
    <row r="2061" spans="12:17" ht="15.75" customHeight="1">
      <c r="L2061" s="7"/>
      <c r="M2061" s="7"/>
      <c r="N2061" s="7"/>
      <c r="O2061" s="7"/>
      <c r="P2061" s="7"/>
      <c r="Q2061" s="7"/>
    </row>
    <row r="2062" spans="12:17" ht="15.75" customHeight="1">
      <c r="L2062" s="7"/>
      <c r="M2062" s="7"/>
      <c r="N2062" s="7"/>
      <c r="O2062" s="7"/>
      <c r="P2062" s="7"/>
      <c r="Q2062" s="7"/>
    </row>
    <row r="2063" spans="12:17" ht="15.75" customHeight="1">
      <c r="L2063" s="7"/>
      <c r="M2063" s="7"/>
      <c r="N2063" s="7"/>
      <c r="O2063" s="7"/>
      <c r="P2063" s="7"/>
      <c r="Q2063" s="7"/>
    </row>
    <row r="2064" spans="12:17" ht="15.75" customHeight="1">
      <c r="L2064" s="7"/>
      <c r="M2064" s="7"/>
      <c r="N2064" s="7"/>
      <c r="O2064" s="7"/>
      <c r="P2064" s="7"/>
      <c r="Q2064" s="7"/>
    </row>
    <row r="2065" spans="12:17" ht="15.75" customHeight="1">
      <c r="L2065" s="7"/>
      <c r="M2065" s="7"/>
      <c r="N2065" s="7"/>
      <c r="O2065" s="7"/>
      <c r="P2065" s="7"/>
      <c r="Q2065" s="7"/>
    </row>
    <row r="2066" spans="12:17" ht="15.75" customHeight="1">
      <c r="L2066" s="7"/>
      <c r="M2066" s="7"/>
      <c r="N2066" s="7"/>
      <c r="O2066" s="7"/>
      <c r="P2066" s="7"/>
      <c r="Q2066" s="7"/>
    </row>
    <row r="2067" spans="12:17" ht="15.75" customHeight="1">
      <c r="L2067" s="7"/>
      <c r="M2067" s="7"/>
      <c r="N2067" s="7"/>
      <c r="O2067" s="7"/>
      <c r="P2067" s="7"/>
      <c r="Q2067" s="7"/>
    </row>
    <row r="2068" spans="12:17" ht="15.75" customHeight="1">
      <c r="L2068" s="7"/>
      <c r="M2068" s="7"/>
      <c r="N2068" s="7"/>
      <c r="O2068" s="7"/>
      <c r="P2068" s="7"/>
      <c r="Q2068" s="7"/>
    </row>
    <row r="2069" spans="12:17" ht="15.75" customHeight="1">
      <c r="L2069" s="7"/>
      <c r="M2069" s="7"/>
      <c r="N2069" s="7"/>
      <c r="O2069" s="7"/>
      <c r="P2069" s="7"/>
      <c r="Q2069" s="7"/>
    </row>
    <row r="2070" spans="12:17" ht="15.75" customHeight="1">
      <c r="L2070" s="7"/>
      <c r="M2070" s="7"/>
      <c r="N2070" s="7"/>
      <c r="O2070" s="7"/>
      <c r="P2070" s="7"/>
      <c r="Q2070" s="7"/>
    </row>
    <row r="2071" spans="12:17" ht="15.75" customHeight="1">
      <c r="L2071" s="7"/>
      <c r="M2071" s="7"/>
      <c r="N2071" s="7"/>
      <c r="O2071" s="7"/>
      <c r="P2071" s="7"/>
      <c r="Q2071" s="7"/>
    </row>
    <row r="2072" spans="12:17" ht="15.75" customHeight="1">
      <c r="L2072" s="7"/>
      <c r="M2072" s="7"/>
      <c r="N2072" s="7"/>
      <c r="O2072" s="7"/>
      <c r="P2072" s="7"/>
      <c r="Q2072" s="7"/>
    </row>
    <row r="2073" spans="12:17" ht="15.75" customHeight="1">
      <c r="L2073" s="7"/>
      <c r="M2073" s="7"/>
      <c r="N2073" s="7"/>
      <c r="O2073" s="7"/>
      <c r="P2073" s="7"/>
      <c r="Q2073" s="7"/>
    </row>
    <row r="2074" spans="12:17" ht="15.75" customHeight="1">
      <c r="L2074" s="7"/>
      <c r="M2074" s="7"/>
      <c r="N2074" s="7"/>
      <c r="O2074" s="7"/>
      <c r="P2074" s="7"/>
      <c r="Q2074" s="7"/>
    </row>
    <row r="2075" spans="12:17" ht="15.75" customHeight="1">
      <c r="L2075" s="7"/>
      <c r="M2075" s="7"/>
      <c r="N2075" s="7"/>
      <c r="O2075" s="7"/>
      <c r="P2075" s="7"/>
      <c r="Q2075" s="7"/>
    </row>
    <row r="2076" spans="12:17" ht="15.75" customHeight="1">
      <c r="L2076" s="7"/>
      <c r="M2076" s="7"/>
      <c r="N2076" s="7"/>
      <c r="O2076" s="7"/>
      <c r="P2076" s="7"/>
      <c r="Q2076" s="7"/>
    </row>
    <row r="2077" spans="12:17" ht="15.75" customHeight="1">
      <c r="L2077" s="7"/>
      <c r="M2077" s="7"/>
      <c r="N2077" s="7"/>
      <c r="O2077" s="7"/>
      <c r="P2077" s="7"/>
      <c r="Q2077" s="7"/>
    </row>
    <row r="2078" spans="12:17" ht="15.75" customHeight="1">
      <c r="L2078" s="7"/>
      <c r="M2078" s="7"/>
      <c r="N2078" s="7"/>
      <c r="O2078" s="7"/>
      <c r="P2078" s="7"/>
      <c r="Q2078" s="7"/>
    </row>
    <row r="2079" spans="12:17" ht="15.75" customHeight="1">
      <c r="L2079" s="7"/>
      <c r="M2079" s="7"/>
      <c r="N2079" s="7"/>
      <c r="O2079" s="7"/>
      <c r="P2079" s="7"/>
      <c r="Q2079" s="7"/>
    </row>
    <row r="2080" spans="12:17" ht="15.75" customHeight="1">
      <c r="L2080" s="7"/>
      <c r="M2080" s="7"/>
      <c r="N2080" s="7"/>
      <c r="O2080" s="7"/>
      <c r="P2080" s="7"/>
      <c r="Q2080" s="7"/>
    </row>
    <row r="2081" spans="12:17" ht="15.75" customHeight="1">
      <c r="L2081" s="7"/>
      <c r="M2081" s="7"/>
      <c r="N2081" s="7"/>
      <c r="O2081" s="7"/>
      <c r="P2081" s="7"/>
      <c r="Q2081" s="7"/>
    </row>
    <row r="2082" spans="12:17" ht="15.75" customHeight="1">
      <c r="L2082" s="7"/>
      <c r="M2082" s="7"/>
      <c r="N2082" s="7"/>
      <c r="O2082" s="7"/>
      <c r="P2082" s="7"/>
      <c r="Q2082" s="7"/>
    </row>
    <row r="2083" spans="12:17" ht="15.75" customHeight="1">
      <c r="L2083" s="7"/>
      <c r="M2083" s="7"/>
      <c r="N2083" s="7"/>
      <c r="O2083" s="7"/>
      <c r="P2083" s="7"/>
      <c r="Q2083" s="7"/>
    </row>
    <row r="2084" spans="12:17" ht="15.75" customHeight="1">
      <c r="L2084" s="7"/>
      <c r="M2084" s="7"/>
      <c r="N2084" s="7"/>
      <c r="O2084" s="7"/>
      <c r="P2084" s="7"/>
      <c r="Q2084" s="7"/>
    </row>
    <row r="2085" spans="12:17" ht="15.75" customHeight="1">
      <c r="L2085" s="7"/>
      <c r="M2085" s="7"/>
      <c r="N2085" s="7"/>
      <c r="O2085" s="7"/>
      <c r="P2085" s="7"/>
      <c r="Q2085" s="7"/>
    </row>
    <row r="2086" spans="12:17" ht="15.75" customHeight="1">
      <c r="L2086" s="7"/>
      <c r="M2086" s="7"/>
      <c r="N2086" s="7"/>
      <c r="O2086" s="7"/>
      <c r="P2086" s="7"/>
      <c r="Q2086" s="7"/>
    </row>
    <row r="2087" spans="12:17" ht="15.75" customHeight="1">
      <c r="L2087" s="7"/>
      <c r="M2087" s="7"/>
      <c r="N2087" s="7"/>
      <c r="O2087" s="7"/>
      <c r="P2087" s="7"/>
      <c r="Q2087" s="7"/>
    </row>
    <row r="2088" spans="12:17" ht="15.75" customHeight="1">
      <c r="L2088" s="7"/>
      <c r="M2088" s="7"/>
      <c r="N2088" s="7"/>
      <c r="O2088" s="7"/>
      <c r="P2088" s="7"/>
      <c r="Q2088" s="7"/>
    </row>
    <row r="2089" spans="12:17" ht="15.75" customHeight="1">
      <c r="L2089" s="7"/>
      <c r="M2089" s="7"/>
      <c r="N2089" s="7"/>
      <c r="O2089" s="7"/>
      <c r="P2089" s="7"/>
      <c r="Q2089" s="7"/>
    </row>
    <row r="2090" spans="12:17" ht="15.75" customHeight="1">
      <c r="L2090" s="7"/>
      <c r="M2090" s="7"/>
      <c r="N2090" s="7"/>
      <c r="O2090" s="7"/>
      <c r="P2090" s="7"/>
      <c r="Q2090" s="7"/>
    </row>
    <row r="2091" spans="12:17" ht="15.75" customHeight="1">
      <c r="L2091" s="7"/>
      <c r="M2091" s="7"/>
      <c r="N2091" s="7"/>
      <c r="O2091" s="7"/>
      <c r="P2091" s="7"/>
      <c r="Q2091" s="7"/>
    </row>
    <row r="2092" spans="12:17" ht="15.75" customHeight="1">
      <c r="L2092" s="7"/>
      <c r="M2092" s="7"/>
      <c r="N2092" s="7"/>
      <c r="O2092" s="7"/>
      <c r="P2092" s="7"/>
      <c r="Q2092" s="7"/>
    </row>
    <row r="2093" spans="12:17" ht="15.75" customHeight="1">
      <c r="L2093" s="7"/>
      <c r="M2093" s="7"/>
      <c r="N2093" s="7"/>
      <c r="O2093" s="7"/>
      <c r="P2093" s="7"/>
      <c r="Q2093" s="7"/>
    </row>
    <row r="2094" spans="12:17" ht="15.75" customHeight="1">
      <c r="L2094" s="7"/>
      <c r="M2094" s="7"/>
      <c r="N2094" s="7"/>
      <c r="O2094" s="7"/>
      <c r="P2094" s="7"/>
      <c r="Q2094" s="7"/>
    </row>
    <row r="2095" spans="12:17" ht="15.75" customHeight="1">
      <c r="L2095" s="7"/>
      <c r="M2095" s="7"/>
      <c r="N2095" s="7"/>
      <c r="O2095" s="7"/>
      <c r="P2095" s="7"/>
      <c r="Q2095" s="7"/>
    </row>
    <row r="2096" spans="12:17" ht="15.75" customHeight="1">
      <c r="L2096" s="7"/>
      <c r="M2096" s="7"/>
      <c r="N2096" s="7"/>
      <c r="O2096" s="7"/>
      <c r="P2096" s="7"/>
      <c r="Q2096" s="7"/>
    </row>
    <row r="2097" spans="12:17" ht="15.75" customHeight="1">
      <c r="L2097" s="7"/>
      <c r="M2097" s="7"/>
      <c r="N2097" s="7"/>
      <c r="O2097" s="7"/>
      <c r="P2097" s="7"/>
      <c r="Q2097" s="7"/>
    </row>
    <row r="2098" spans="12:17" ht="15.75" customHeight="1">
      <c r="L2098" s="7"/>
      <c r="M2098" s="7"/>
      <c r="N2098" s="7"/>
      <c r="O2098" s="7"/>
      <c r="P2098" s="7"/>
      <c r="Q2098" s="7"/>
    </row>
    <row r="2099" spans="12:17" ht="15.75" customHeight="1">
      <c r="L2099" s="7"/>
      <c r="M2099" s="7"/>
      <c r="N2099" s="7"/>
      <c r="O2099" s="7"/>
      <c r="P2099" s="7"/>
      <c r="Q2099" s="7"/>
    </row>
    <row r="2100" spans="12:17" ht="15.75" customHeight="1">
      <c r="L2100" s="7"/>
      <c r="M2100" s="7"/>
      <c r="N2100" s="7"/>
      <c r="O2100" s="7"/>
      <c r="P2100" s="7"/>
      <c r="Q2100" s="7"/>
    </row>
    <row r="2101" spans="12:17" ht="15.75" customHeight="1">
      <c r="L2101" s="7"/>
      <c r="M2101" s="7"/>
      <c r="N2101" s="7"/>
      <c r="O2101" s="7"/>
      <c r="P2101" s="7"/>
      <c r="Q2101" s="7"/>
    </row>
    <row r="2102" spans="12:17" ht="15.75" customHeight="1">
      <c r="L2102" s="7"/>
      <c r="M2102" s="7"/>
      <c r="N2102" s="7"/>
      <c r="O2102" s="7"/>
      <c r="P2102" s="7"/>
      <c r="Q2102" s="7"/>
    </row>
    <row r="2103" spans="12:17" ht="15.75" customHeight="1">
      <c r="L2103" s="7"/>
      <c r="M2103" s="7"/>
      <c r="N2103" s="7"/>
      <c r="O2103" s="7"/>
      <c r="P2103" s="7"/>
      <c r="Q2103" s="7"/>
    </row>
    <row r="2104" spans="12:17" ht="15.75" customHeight="1">
      <c r="L2104" s="7"/>
      <c r="M2104" s="7"/>
      <c r="N2104" s="7"/>
      <c r="O2104" s="7"/>
      <c r="P2104" s="7"/>
      <c r="Q2104" s="7"/>
    </row>
    <row r="2105" spans="12:17" ht="15.75" customHeight="1">
      <c r="L2105" s="7"/>
      <c r="M2105" s="7"/>
      <c r="N2105" s="7"/>
      <c r="O2105" s="7"/>
      <c r="P2105" s="7"/>
      <c r="Q2105" s="7"/>
    </row>
    <row r="2106" spans="12:17" ht="15.75" customHeight="1">
      <c r="L2106" s="7"/>
      <c r="M2106" s="7"/>
      <c r="N2106" s="7"/>
      <c r="O2106" s="7"/>
      <c r="P2106" s="7"/>
      <c r="Q2106" s="7"/>
    </row>
    <row r="2107" spans="12:17" ht="15.75" customHeight="1">
      <c r="L2107" s="7"/>
      <c r="M2107" s="7"/>
      <c r="N2107" s="7"/>
      <c r="O2107" s="7"/>
      <c r="P2107" s="7"/>
      <c r="Q2107" s="7"/>
    </row>
    <row r="2108" spans="12:17" ht="15.75" customHeight="1">
      <c r="L2108" s="7"/>
      <c r="M2108" s="7"/>
      <c r="N2108" s="7"/>
      <c r="O2108" s="7"/>
      <c r="P2108" s="7"/>
      <c r="Q2108" s="7"/>
    </row>
    <row r="2109" spans="12:17" ht="15.75" customHeight="1">
      <c r="L2109" s="7"/>
      <c r="M2109" s="7"/>
      <c r="N2109" s="7"/>
      <c r="O2109" s="7"/>
      <c r="P2109" s="7"/>
      <c r="Q2109" s="7"/>
    </row>
    <row r="2110" spans="12:17" ht="15.75" customHeight="1">
      <c r="L2110" s="7"/>
      <c r="M2110" s="7"/>
      <c r="N2110" s="7"/>
      <c r="O2110" s="7"/>
      <c r="P2110" s="7"/>
      <c r="Q2110" s="7"/>
    </row>
    <row r="2111" spans="12:17" ht="15.75" customHeight="1">
      <c r="L2111" s="7"/>
      <c r="M2111" s="7"/>
      <c r="N2111" s="7"/>
      <c r="O2111" s="7"/>
      <c r="P2111" s="7"/>
      <c r="Q2111" s="7"/>
    </row>
    <row r="2112" spans="12:17" ht="15.75" customHeight="1">
      <c r="L2112" s="7"/>
      <c r="M2112" s="7"/>
      <c r="N2112" s="7"/>
      <c r="O2112" s="7"/>
      <c r="P2112" s="7"/>
      <c r="Q2112" s="7"/>
    </row>
    <row r="2113" spans="12:17" ht="15.75" customHeight="1">
      <c r="L2113" s="7"/>
      <c r="M2113" s="7"/>
      <c r="N2113" s="7"/>
      <c r="O2113" s="7"/>
      <c r="P2113" s="7"/>
      <c r="Q2113" s="7"/>
    </row>
    <row r="2114" spans="12:17" ht="15.75" customHeight="1">
      <c r="L2114" s="7"/>
      <c r="M2114" s="7"/>
      <c r="N2114" s="7"/>
      <c r="O2114" s="7"/>
      <c r="P2114" s="7"/>
      <c r="Q2114" s="7"/>
    </row>
    <row r="2115" spans="12:17" ht="15.75" customHeight="1">
      <c r="L2115" s="7"/>
      <c r="M2115" s="7"/>
      <c r="N2115" s="7"/>
      <c r="O2115" s="7"/>
      <c r="P2115" s="7"/>
      <c r="Q2115" s="7"/>
    </row>
    <row r="2116" spans="12:17" ht="15.75" customHeight="1">
      <c r="L2116" s="7"/>
      <c r="M2116" s="7"/>
      <c r="N2116" s="7"/>
      <c r="O2116" s="7"/>
      <c r="P2116" s="7"/>
      <c r="Q2116" s="7"/>
    </row>
    <row r="2117" spans="12:17" ht="15.75" customHeight="1">
      <c r="L2117" s="7"/>
      <c r="M2117" s="7"/>
      <c r="N2117" s="7"/>
      <c r="O2117" s="7"/>
      <c r="P2117" s="7"/>
      <c r="Q2117" s="7"/>
    </row>
    <row r="2118" spans="12:17" ht="15.75" customHeight="1">
      <c r="L2118" s="7"/>
      <c r="M2118" s="7"/>
      <c r="N2118" s="7"/>
      <c r="O2118" s="7"/>
      <c r="P2118" s="7"/>
      <c r="Q2118" s="7"/>
    </row>
    <row r="2119" spans="12:17" ht="15.75" customHeight="1">
      <c r="L2119" s="7"/>
      <c r="M2119" s="7"/>
      <c r="N2119" s="7"/>
      <c r="O2119" s="7"/>
      <c r="P2119" s="7"/>
      <c r="Q2119" s="7"/>
    </row>
    <row r="2120" spans="12:17" ht="15.75" customHeight="1">
      <c r="L2120" s="7"/>
      <c r="M2120" s="7"/>
      <c r="N2120" s="7"/>
      <c r="O2120" s="7"/>
      <c r="P2120" s="7"/>
      <c r="Q2120" s="7"/>
    </row>
    <row r="2121" spans="12:17" ht="15.75" customHeight="1">
      <c r="L2121" s="7"/>
      <c r="M2121" s="7"/>
      <c r="N2121" s="7"/>
      <c r="O2121" s="7"/>
      <c r="P2121" s="7"/>
      <c r="Q2121" s="7"/>
    </row>
    <row r="2122" spans="12:17" ht="15.75" customHeight="1">
      <c r="L2122" s="7"/>
      <c r="M2122" s="7"/>
      <c r="N2122" s="7"/>
      <c r="O2122" s="7"/>
      <c r="P2122" s="7"/>
      <c r="Q2122" s="7"/>
    </row>
    <row r="2123" spans="12:17" ht="15.75" customHeight="1">
      <c r="L2123" s="7"/>
      <c r="M2123" s="7"/>
      <c r="N2123" s="7"/>
      <c r="O2123" s="7"/>
      <c r="P2123" s="7"/>
      <c r="Q2123" s="7"/>
    </row>
    <row r="2124" spans="12:17" ht="15.75" customHeight="1">
      <c r="L2124" s="7"/>
      <c r="M2124" s="7"/>
      <c r="N2124" s="7"/>
      <c r="O2124" s="7"/>
      <c r="P2124" s="7"/>
      <c r="Q2124" s="7"/>
    </row>
    <row r="2125" spans="12:17" ht="15.75" customHeight="1">
      <c r="L2125" s="7"/>
      <c r="M2125" s="7"/>
      <c r="N2125" s="7"/>
      <c r="O2125" s="7"/>
      <c r="P2125" s="7"/>
      <c r="Q2125" s="7"/>
    </row>
    <row r="2126" spans="12:17" ht="15.75" customHeight="1">
      <c r="L2126" s="7"/>
      <c r="M2126" s="7"/>
      <c r="N2126" s="7"/>
      <c r="O2126" s="7"/>
      <c r="P2126" s="7"/>
      <c r="Q2126" s="7"/>
    </row>
    <row r="2127" spans="12:17" ht="15.75" customHeight="1">
      <c r="L2127" s="7"/>
      <c r="M2127" s="7"/>
      <c r="N2127" s="7"/>
      <c r="O2127" s="7"/>
      <c r="P2127" s="7"/>
      <c r="Q2127" s="7"/>
    </row>
    <row r="2128" spans="12:17" ht="15.75" customHeight="1">
      <c r="L2128" s="7"/>
      <c r="M2128" s="7"/>
      <c r="N2128" s="7"/>
      <c r="O2128" s="7"/>
      <c r="P2128" s="7"/>
      <c r="Q2128" s="7"/>
    </row>
    <row r="2129" spans="12:17" ht="15.75" customHeight="1">
      <c r="L2129" s="7"/>
      <c r="M2129" s="7"/>
      <c r="N2129" s="7"/>
      <c r="O2129" s="7"/>
      <c r="P2129" s="7"/>
      <c r="Q2129" s="7"/>
    </row>
    <row r="2130" spans="12:17" ht="15.75" customHeight="1">
      <c r="L2130" s="7"/>
      <c r="M2130" s="7"/>
      <c r="N2130" s="7"/>
      <c r="O2130" s="7"/>
      <c r="P2130" s="7"/>
      <c r="Q2130" s="7"/>
    </row>
    <row r="2131" spans="12:17" ht="15.75" customHeight="1">
      <c r="L2131" s="7"/>
      <c r="M2131" s="7"/>
      <c r="N2131" s="7"/>
      <c r="O2131" s="7"/>
      <c r="P2131" s="7"/>
      <c r="Q2131" s="7"/>
    </row>
    <row r="2132" spans="12:17" ht="15.75" customHeight="1">
      <c r="L2132" s="7"/>
      <c r="M2132" s="7"/>
      <c r="N2132" s="7"/>
      <c r="O2132" s="7"/>
      <c r="P2132" s="7"/>
      <c r="Q2132" s="7"/>
    </row>
    <row r="2133" spans="12:17" ht="15.75" customHeight="1">
      <c r="L2133" s="7"/>
      <c r="M2133" s="7"/>
      <c r="N2133" s="7"/>
      <c r="O2133" s="7"/>
      <c r="P2133" s="7"/>
      <c r="Q2133" s="7"/>
    </row>
    <row r="2134" spans="12:17" ht="15.75" customHeight="1">
      <c r="L2134" s="7"/>
      <c r="M2134" s="7"/>
      <c r="N2134" s="7"/>
      <c r="O2134" s="7"/>
      <c r="P2134" s="7"/>
      <c r="Q2134" s="7"/>
    </row>
    <row r="2135" spans="12:17" ht="15.75" customHeight="1">
      <c r="L2135" s="7"/>
      <c r="M2135" s="7"/>
      <c r="N2135" s="7"/>
      <c r="O2135" s="7"/>
      <c r="P2135" s="7"/>
      <c r="Q2135" s="7"/>
    </row>
    <row r="2136" spans="12:17" ht="15.75" customHeight="1">
      <c r="L2136" s="7"/>
      <c r="M2136" s="7"/>
      <c r="N2136" s="7"/>
      <c r="O2136" s="7"/>
      <c r="P2136" s="7"/>
      <c r="Q2136" s="7"/>
    </row>
    <row r="2137" spans="12:17" ht="15.75" customHeight="1">
      <c r="L2137" s="7"/>
      <c r="M2137" s="7"/>
      <c r="N2137" s="7"/>
      <c r="O2137" s="7"/>
      <c r="P2137" s="7"/>
      <c r="Q2137" s="7"/>
    </row>
    <row r="2138" spans="12:17" ht="15.75" customHeight="1">
      <c r="L2138" s="7"/>
      <c r="M2138" s="7"/>
      <c r="N2138" s="7"/>
      <c r="O2138" s="7"/>
      <c r="P2138" s="7"/>
      <c r="Q2138" s="7"/>
    </row>
    <row r="2139" spans="12:17" ht="15.75" customHeight="1">
      <c r="L2139" s="7"/>
      <c r="M2139" s="7"/>
      <c r="N2139" s="7"/>
      <c r="O2139" s="7"/>
      <c r="P2139" s="7"/>
      <c r="Q2139" s="7"/>
    </row>
    <row r="2140" spans="12:17" ht="15.75" customHeight="1">
      <c r="L2140" s="7"/>
      <c r="M2140" s="7"/>
      <c r="N2140" s="7"/>
      <c r="O2140" s="7"/>
      <c r="P2140" s="7"/>
      <c r="Q2140" s="7"/>
    </row>
    <row r="2141" spans="12:17" ht="15.75" customHeight="1">
      <c r="L2141" s="7"/>
      <c r="M2141" s="7"/>
      <c r="N2141" s="7"/>
      <c r="O2141" s="7"/>
      <c r="P2141" s="7"/>
      <c r="Q2141" s="7"/>
    </row>
    <row r="2142" spans="12:17" ht="15.75" customHeight="1">
      <c r="L2142" s="7"/>
      <c r="M2142" s="7"/>
      <c r="N2142" s="7"/>
      <c r="O2142" s="7"/>
      <c r="P2142" s="7"/>
      <c r="Q2142" s="7"/>
    </row>
    <row r="2143" spans="12:17" ht="15.75" customHeight="1">
      <c r="L2143" s="7"/>
      <c r="M2143" s="7"/>
      <c r="N2143" s="7"/>
      <c r="O2143" s="7"/>
      <c r="P2143" s="7"/>
      <c r="Q2143" s="7"/>
    </row>
    <row r="2144" spans="12:17" ht="15.75" customHeight="1">
      <c r="L2144" s="7"/>
      <c r="M2144" s="7"/>
      <c r="N2144" s="7"/>
      <c r="O2144" s="7"/>
      <c r="P2144" s="7"/>
      <c r="Q2144" s="7"/>
    </row>
    <row r="2145" spans="12:17" ht="15.75" customHeight="1">
      <c r="L2145" s="7"/>
      <c r="M2145" s="7"/>
      <c r="N2145" s="7"/>
      <c r="O2145" s="7"/>
      <c r="P2145" s="7"/>
      <c r="Q2145" s="7"/>
    </row>
    <row r="2146" spans="12:17" ht="15.75" customHeight="1">
      <c r="L2146" s="7"/>
      <c r="M2146" s="7"/>
      <c r="N2146" s="7"/>
      <c r="O2146" s="7"/>
      <c r="P2146" s="7"/>
      <c r="Q2146" s="7"/>
    </row>
    <row r="2147" spans="12:17" ht="15.75" customHeight="1">
      <c r="L2147" s="7"/>
      <c r="M2147" s="7"/>
      <c r="N2147" s="7"/>
      <c r="O2147" s="7"/>
      <c r="P2147" s="7"/>
      <c r="Q2147" s="7"/>
    </row>
    <row r="2148" spans="12:17" ht="15.75" customHeight="1">
      <c r="L2148" s="7"/>
      <c r="M2148" s="7"/>
      <c r="N2148" s="7"/>
      <c r="O2148" s="7"/>
      <c r="P2148" s="7"/>
      <c r="Q2148" s="7"/>
    </row>
    <row r="2149" spans="12:17" ht="15.75" customHeight="1">
      <c r="L2149" s="7"/>
      <c r="M2149" s="7"/>
      <c r="N2149" s="7"/>
      <c r="O2149" s="7"/>
      <c r="P2149" s="7"/>
      <c r="Q2149" s="7"/>
    </row>
    <row r="2150" spans="12:17" ht="15.75" customHeight="1">
      <c r="L2150" s="7"/>
      <c r="M2150" s="7"/>
      <c r="N2150" s="7"/>
      <c r="O2150" s="7"/>
      <c r="P2150" s="7"/>
      <c r="Q2150" s="7"/>
    </row>
    <row r="2151" spans="12:17" ht="15.75" customHeight="1">
      <c r="L2151" s="7"/>
      <c r="M2151" s="7"/>
      <c r="N2151" s="7"/>
      <c r="O2151" s="7"/>
      <c r="P2151" s="7"/>
      <c r="Q2151" s="7"/>
    </row>
    <row r="2152" spans="12:17" ht="15.75" customHeight="1">
      <c r="L2152" s="7"/>
      <c r="M2152" s="7"/>
      <c r="N2152" s="7"/>
      <c r="O2152" s="7"/>
      <c r="P2152" s="7"/>
      <c r="Q2152" s="7"/>
    </row>
    <row r="2153" spans="12:17" ht="15.75" customHeight="1">
      <c r="L2153" s="7"/>
      <c r="M2153" s="7"/>
      <c r="N2153" s="7"/>
      <c r="O2153" s="7"/>
      <c r="P2153" s="7"/>
      <c r="Q2153" s="7"/>
    </row>
    <row r="2154" spans="12:17" ht="15.75" customHeight="1">
      <c r="L2154" s="7"/>
      <c r="M2154" s="7"/>
      <c r="N2154" s="7"/>
      <c r="O2154" s="7"/>
      <c r="P2154" s="7"/>
      <c r="Q2154" s="7"/>
    </row>
    <row r="2155" spans="12:17" ht="15.75" customHeight="1">
      <c r="L2155" s="7"/>
      <c r="M2155" s="7"/>
      <c r="N2155" s="7"/>
      <c r="O2155" s="7"/>
      <c r="P2155" s="7"/>
      <c r="Q2155" s="7"/>
    </row>
    <row r="2156" spans="12:17" ht="15.75" customHeight="1">
      <c r="L2156" s="7"/>
      <c r="M2156" s="7"/>
      <c r="N2156" s="7"/>
      <c r="O2156" s="7"/>
      <c r="P2156" s="7"/>
      <c r="Q2156" s="7"/>
    </row>
    <row r="2157" spans="12:17" ht="15.75" customHeight="1">
      <c r="L2157" s="7"/>
      <c r="M2157" s="7"/>
      <c r="N2157" s="7"/>
      <c r="O2157" s="7"/>
      <c r="P2157" s="7"/>
      <c r="Q2157" s="7"/>
    </row>
    <row r="2158" spans="12:17" ht="15.75" customHeight="1">
      <c r="L2158" s="7"/>
      <c r="M2158" s="7"/>
      <c r="N2158" s="7"/>
      <c r="O2158" s="7"/>
      <c r="P2158" s="7"/>
      <c r="Q2158" s="7"/>
    </row>
    <row r="2159" spans="12:17" ht="15.75" customHeight="1">
      <c r="L2159" s="7"/>
      <c r="M2159" s="7"/>
      <c r="N2159" s="7"/>
      <c r="O2159" s="7"/>
      <c r="P2159" s="7"/>
      <c r="Q2159" s="7"/>
    </row>
    <row r="2160" spans="12:17" ht="15.75" customHeight="1">
      <c r="L2160" s="7"/>
      <c r="M2160" s="7"/>
      <c r="N2160" s="7"/>
      <c r="O2160" s="7"/>
      <c r="P2160" s="7"/>
      <c r="Q2160" s="7"/>
    </row>
    <row r="2161" spans="12:17" ht="15.75" customHeight="1">
      <c r="L2161" s="7"/>
      <c r="M2161" s="7"/>
      <c r="N2161" s="7"/>
      <c r="O2161" s="7"/>
      <c r="P2161" s="7"/>
      <c r="Q2161" s="7"/>
    </row>
    <row r="2162" spans="12:17" ht="15.75" customHeight="1">
      <c r="L2162" s="7"/>
      <c r="M2162" s="7"/>
      <c r="N2162" s="7"/>
      <c r="O2162" s="7"/>
      <c r="P2162" s="7"/>
      <c r="Q2162" s="7"/>
    </row>
    <row r="2163" spans="12:17" ht="15.75" customHeight="1">
      <c r="L2163" s="7"/>
      <c r="M2163" s="7"/>
      <c r="N2163" s="7"/>
      <c r="O2163" s="7"/>
      <c r="P2163" s="7"/>
      <c r="Q2163" s="7"/>
    </row>
    <row r="2164" spans="12:17" ht="15.75" customHeight="1">
      <c r="L2164" s="7"/>
      <c r="M2164" s="7"/>
      <c r="N2164" s="7"/>
      <c r="O2164" s="7"/>
      <c r="P2164" s="7"/>
      <c r="Q2164" s="7"/>
    </row>
    <row r="2165" spans="12:17" ht="15.75" customHeight="1">
      <c r="L2165" s="7"/>
      <c r="M2165" s="7"/>
      <c r="N2165" s="7"/>
      <c r="O2165" s="7"/>
      <c r="P2165" s="7"/>
      <c r="Q2165" s="7"/>
    </row>
    <row r="2166" spans="12:17" ht="15.75" customHeight="1">
      <c r="L2166" s="7"/>
      <c r="M2166" s="7"/>
      <c r="N2166" s="7"/>
      <c r="O2166" s="7"/>
      <c r="P2166" s="7"/>
      <c r="Q2166" s="7"/>
    </row>
    <row r="2167" spans="12:17" ht="15.75" customHeight="1">
      <c r="L2167" s="7"/>
      <c r="M2167" s="7"/>
      <c r="N2167" s="7"/>
      <c r="O2167" s="7"/>
      <c r="P2167" s="7"/>
      <c r="Q2167" s="7"/>
    </row>
    <row r="2168" spans="12:17" ht="15.75" customHeight="1">
      <c r="L2168" s="7"/>
      <c r="M2168" s="7"/>
      <c r="N2168" s="7"/>
      <c r="O2168" s="7"/>
      <c r="P2168" s="7"/>
      <c r="Q2168" s="7"/>
    </row>
    <row r="2169" spans="12:17" ht="15.75" customHeight="1">
      <c r="L2169" s="7"/>
      <c r="M2169" s="7"/>
      <c r="N2169" s="7"/>
      <c r="O2169" s="7"/>
      <c r="P2169" s="7"/>
      <c r="Q2169" s="7"/>
    </row>
    <row r="2170" spans="12:17" ht="15.75" customHeight="1">
      <c r="L2170" s="7"/>
      <c r="M2170" s="7"/>
      <c r="N2170" s="7"/>
      <c r="O2170" s="7"/>
      <c r="P2170" s="7"/>
      <c r="Q2170" s="7"/>
    </row>
    <row r="2171" spans="12:17" ht="15.75" customHeight="1">
      <c r="L2171" s="7"/>
      <c r="M2171" s="7"/>
      <c r="N2171" s="7"/>
      <c r="O2171" s="7"/>
      <c r="P2171" s="7"/>
      <c r="Q2171" s="7"/>
    </row>
    <row r="2172" spans="12:17" ht="15.75" customHeight="1">
      <c r="L2172" s="7"/>
      <c r="M2172" s="7"/>
      <c r="N2172" s="7"/>
      <c r="O2172" s="7"/>
      <c r="P2172" s="7"/>
      <c r="Q2172" s="7"/>
    </row>
    <row r="2173" spans="12:17" ht="15.75" customHeight="1">
      <c r="L2173" s="7"/>
      <c r="M2173" s="7"/>
      <c r="N2173" s="7"/>
      <c r="O2173" s="7"/>
      <c r="P2173" s="7"/>
      <c r="Q2173" s="7"/>
    </row>
    <row r="2174" spans="12:17" ht="15.75" customHeight="1">
      <c r="L2174" s="7"/>
      <c r="M2174" s="7"/>
      <c r="N2174" s="7"/>
      <c r="O2174" s="7"/>
      <c r="P2174" s="7"/>
      <c r="Q2174" s="7"/>
    </row>
    <row r="2175" spans="12:17" ht="15.75" customHeight="1">
      <c r="L2175" s="7"/>
      <c r="M2175" s="7"/>
      <c r="N2175" s="7"/>
      <c r="O2175" s="7"/>
      <c r="P2175" s="7"/>
      <c r="Q2175" s="7"/>
    </row>
    <row r="2176" spans="12:17" ht="15.75" customHeight="1">
      <c r="L2176" s="7"/>
      <c r="M2176" s="7"/>
      <c r="N2176" s="7"/>
      <c r="O2176" s="7"/>
      <c r="P2176" s="7"/>
      <c r="Q2176" s="7"/>
    </row>
    <row r="2177" spans="12:17" ht="15.75" customHeight="1">
      <c r="L2177" s="7"/>
      <c r="M2177" s="7"/>
      <c r="N2177" s="7"/>
      <c r="O2177" s="7"/>
      <c r="P2177" s="7"/>
      <c r="Q2177" s="7"/>
    </row>
    <row r="2178" spans="12:17" ht="15.75" customHeight="1">
      <c r="L2178" s="7"/>
      <c r="M2178" s="7"/>
      <c r="N2178" s="7"/>
      <c r="O2178" s="7"/>
      <c r="P2178" s="7"/>
      <c r="Q2178" s="7"/>
    </row>
    <row r="2179" spans="12:17" ht="15.75" customHeight="1">
      <c r="L2179" s="7"/>
      <c r="M2179" s="7"/>
      <c r="N2179" s="7"/>
      <c r="O2179" s="7"/>
      <c r="P2179" s="7"/>
      <c r="Q2179" s="7"/>
    </row>
    <row r="2180" spans="12:17" ht="15.75" customHeight="1">
      <c r="L2180" s="7"/>
      <c r="M2180" s="7"/>
      <c r="N2180" s="7"/>
      <c r="O2180" s="7"/>
      <c r="P2180" s="7"/>
      <c r="Q2180" s="7"/>
    </row>
    <row r="2181" spans="12:17" ht="15.75" customHeight="1">
      <c r="L2181" s="7"/>
      <c r="M2181" s="7"/>
      <c r="N2181" s="7"/>
      <c r="O2181" s="7"/>
      <c r="P2181" s="7"/>
      <c r="Q2181" s="7"/>
    </row>
    <row r="2182" spans="12:17" ht="15.75" customHeight="1">
      <c r="L2182" s="7"/>
      <c r="M2182" s="7"/>
      <c r="N2182" s="7"/>
      <c r="O2182" s="7"/>
      <c r="P2182" s="7"/>
      <c r="Q2182" s="7"/>
    </row>
    <row r="2183" spans="12:17" ht="15.75" customHeight="1">
      <c r="L2183" s="7"/>
      <c r="M2183" s="7"/>
      <c r="N2183" s="7"/>
      <c r="O2183" s="7"/>
      <c r="P2183" s="7"/>
      <c r="Q2183" s="7"/>
    </row>
    <row r="2184" spans="12:17" ht="15.75" customHeight="1">
      <c r="L2184" s="7"/>
      <c r="M2184" s="7"/>
      <c r="N2184" s="7"/>
      <c r="O2184" s="7"/>
      <c r="P2184" s="7"/>
      <c r="Q2184" s="7"/>
    </row>
    <row r="2185" spans="12:17" ht="15.75" customHeight="1">
      <c r="L2185" s="7"/>
      <c r="M2185" s="7"/>
      <c r="N2185" s="7"/>
      <c r="O2185" s="7"/>
      <c r="P2185" s="7"/>
      <c r="Q2185" s="7"/>
    </row>
    <row r="2186" spans="12:17" ht="15.75" customHeight="1">
      <c r="L2186" s="7"/>
      <c r="M2186" s="7"/>
      <c r="N2186" s="7"/>
      <c r="O2186" s="7"/>
      <c r="P2186" s="7"/>
      <c r="Q2186" s="7"/>
    </row>
    <row r="2187" spans="12:17" ht="15.75" customHeight="1">
      <c r="L2187" s="7"/>
      <c r="M2187" s="7"/>
      <c r="N2187" s="7"/>
      <c r="O2187" s="7"/>
      <c r="P2187" s="7"/>
      <c r="Q2187" s="7"/>
    </row>
    <row r="2188" spans="12:17" ht="15.75" customHeight="1">
      <c r="L2188" s="7"/>
      <c r="M2188" s="7"/>
      <c r="N2188" s="7"/>
      <c r="O2188" s="7"/>
      <c r="P2188" s="7"/>
      <c r="Q2188" s="7"/>
    </row>
    <row r="2189" spans="12:17" ht="15.75" customHeight="1">
      <c r="L2189" s="7"/>
      <c r="M2189" s="7"/>
      <c r="N2189" s="7"/>
      <c r="O2189" s="7"/>
      <c r="P2189" s="7"/>
      <c r="Q2189" s="7"/>
    </row>
    <row r="2190" spans="12:17" ht="15.75" customHeight="1">
      <c r="L2190" s="7"/>
      <c r="M2190" s="7"/>
      <c r="N2190" s="7"/>
      <c r="O2190" s="7"/>
      <c r="P2190" s="7"/>
      <c r="Q2190" s="7"/>
    </row>
    <row r="2191" spans="12:17" ht="15.75" customHeight="1">
      <c r="L2191" s="7"/>
      <c r="M2191" s="7"/>
      <c r="N2191" s="7"/>
      <c r="O2191" s="7"/>
      <c r="P2191" s="7"/>
      <c r="Q2191" s="7"/>
    </row>
    <row r="2192" spans="12:17" ht="15.75" customHeight="1">
      <c r="L2192" s="7"/>
      <c r="M2192" s="7"/>
      <c r="N2192" s="7"/>
      <c r="O2192" s="7"/>
      <c r="P2192" s="7"/>
      <c r="Q2192" s="7"/>
    </row>
    <row r="2193" spans="12:17" ht="15.75" customHeight="1">
      <c r="L2193" s="7"/>
      <c r="M2193" s="7"/>
      <c r="N2193" s="7"/>
      <c r="O2193" s="7"/>
      <c r="P2193" s="7"/>
      <c r="Q2193" s="7"/>
    </row>
    <row r="2194" spans="12:17" ht="15.75" customHeight="1">
      <c r="L2194" s="7"/>
      <c r="M2194" s="7"/>
      <c r="N2194" s="7"/>
      <c r="O2194" s="7"/>
      <c r="P2194" s="7"/>
      <c r="Q2194" s="7"/>
    </row>
    <row r="2195" spans="12:17" ht="15.75" customHeight="1">
      <c r="L2195" s="7"/>
      <c r="M2195" s="7"/>
      <c r="N2195" s="7"/>
      <c r="O2195" s="7"/>
      <c r="P2195" s="7"/>
      <c r="Q2195" s="7"/>
    </row>
    <row r="2196" spans="12:17" ht="15.75" customHeight="1">
      <c r="L2196" s="7"/>
      <c r="M2196" s="7"/>
      <c r="N2196" s="7"/>
      <c r="O2196" s="7"/>
      <c r="P2196" s="7"/>
      <c r="Q2196" s="7"/>
    </row>
    <row r="2197" spans="12:17" ht="15.75" customHeight="1">
      <c r="L2197" s="7"/>
      <c r="M2197" s="7"/>
      <c r="N2197" s="7"/>
      <c r="O2197" s="7"/>
      <c r="P2197" s="7"/>
      <c r="Q2197" s="7"/>
    </row>
    <row r="2198" spans="12:17" ht="15.75" customHeight="1">
      <c r="L2198" s="7"/>
      <c r="M2198" s="7"/>
      <c r="N2198" s="7"/>
      <c r="O2198" s="7"/>
      <c r="P2198" s="7"/>
      <c r="Q2198" s="7"/>
    </row>
    <row r="2199" spans="12:17" ht="15.75" customHeight="1">
      <c r="L2199" s="7"/>
      <c r="M2199" s="7"/>
      <c r="N2199" s="7"/>
      <c r="O2199" s="7"/>
      <c r="P2199" s="7"/>
      <c r="Q2199" s="7"/>
    </row>
    <row r="2200" spans="12:17" ht="15.75" customHeight="1">
      <c r="L2200" s="7"/>
      <c r="M2200" s="7"/>
      <c r="N2200" s="7"/>
      <c r="O2200" s="7"/>
      <c r="P2200" s="7"/>
      <c r="Q2200" s="7"/>
    </row>
    <row r="2201" spans="12:17" ht="15.75" customHeight="1">
      <c r="L2201" s="7"/>
      <c r="M2201" s="7"/>
      <c r="N2201" s="7"/>
      <c r="O2201" s="7"/>
      <c r="P2201" s="7"/>
      <c r="Q2201" s="7"/>
    </row>
    <row r="2202" spans="12:17" ht="15.75" customHeight="1">
      <c r="L2202" s="7"/>
      <c r="M2202" s="7"/>
      <c r="N2202" s="7"/>
      <c r="O2202" s="7"/>
      <c r="P2202" s="7"/>
      <c r="Q2202" s="7"/>
    </row>
    <row r="2203" spans="12:17" ht="15.75" customHeight="1">
      <c r="L2203" s="7"/>
      <c r="M2203" s="7"/>
      <c r="N2203" s="7"/>
      <c r="O2203" s="7"/>
      <c r="P2203" s="7"/>
      <c r="Q2203" s="7"/>
    </row>
    <row r="2204" spans="12:17" ht="15.75" customHeight="1">
      <c r="L2204" s="7"/>
      <c r="M2204" s="7"/>
      <c r="N2204" s="7"/>
      <c r="O2204" s="7"/>
      <c r="P2204" s="7"/>
      <c r="Q2204" s="7"/>
    </row>
    <row r="2205" spans="12:17" ht="15.75" customHeight="1">
      <c r="L2205" s="7"/>
      <c r="M2205" s="7"/>
      <c r="N2205" s="7"/>
      <c r="O2205" s="7"/>
      <c r="P2205" s="7"/>
      <c r="Q2205" s="7"/>
    </row>
    <row r="2206" spans="12:17" ht="15.75" customHeight="1">
      <c r="L2206" s="7"/>
      <c r="M2206" s="7"/>
      <c r="N2206" s="7"/>
      <c r="O2206" s="7"/>
      <c r="P2206" s="7"/>
      <c r="Q2206" s="7"/>
    </row>
    <row r="2207" spans="12:17" ht="15.75" customHeight="1">
      <c r="L2207" s="7"/>
      <c r="M2207" s="7"/>
      <c r="N2207" s="7"/>
      <c r="O2207" s="7"/>
      <c r="P2207" s="7"/>
      <c r="Q2207" s="7"/>
    </row>
    <row r="2208" spans="12:17" ht="15.75" customHeight="1">
      <c r="L2208" s="7"/>
      <c r="M2208" s="7"/>
      <c r="N2208" s="7"/>
      <c r="O2208" s="7"/>
      <c r="P2208" s="7"/>
      <c r="Q2208" s="7"/>
    </row>
    <row r="2209" spans="12:17" ht="15.75" customHeight="1">
      <c r="L2209" s="7"/>
      <c r="M2209" s="7"/>
      <c r="N2209" s="7"/>
      <c r="O2209" s="7"/>
      <c r="P2209" s="7"/>
      <c r="Q2209" s="7"/>
    </row>
    <row r="2210" spans="12:17" ht="15.75" customHeight="1">
      <c r="L2210" s="7"/>
      <c r="M2210" s="7"/>
      <c r="N2210" s="7"/>
      <c r="O2210" s="7"/>
      <c r="P2210" s="7"/>
      <c r="Q2210" s="7"/>
    </row>
    <row r="2211" spans="12:17" ht="15.75" customHeight="1">
      <c r="L2211" s="7"/>
      <c r="M2211" s="7"/>
      <c r="N2211" s="7"/>
      <c r="O2211" s="7"/>
      <c r="P2211" s="7"/>
      <c r="Q2211" s="7"/>
    </row>
    <row r="2212" spans="12:17" ht="15.75" customHeight="1">
      <c r="L2212" s="7"/>
      <c r="M2212" s="7"/>
      <c r="N2212" s="7"/>
      <c r="O2212" s="7"/>
      <c r="P2212" s="7"/>
      <c r="Q2212" s="7"/>
    </row>
    <row r="2213" spans="12:17" ht="15.75" customHeight="1">
      <c r="L2213" s="7"/>
      <c r="M2213" s="7"/>
      <c r="N2213" s="7"/>
      <c r="O2213" s="7"/>
      <c r="P2213" s="7"/>
      <c r="Q2213" s="7"/>
    </row>
    <row r="2214" spans="12:17" ht="15.75" customHeight="1">
      <c r="L2214" s="7"/>
      <c r="M2214" s="7"/>
      <c r="N2214" s="7"/>
      <c r="O2214" s="7"/>
      <c r="P2214" s="7"/>
      <c r="Q2214" s="7"/>
    </row>
    <row r="2215" spans="12:17" ht="15.75" customHeight="1">
      <c r="L2215" s="7"/>
      <c r="M2215" s="7"/>
      <c r="N2215" s="7"/>
      <c r="O2215" s="7"/>
      <c r="P2215" s="7"/>
      <c r="Q2215" s="7"/>
    </row>
    <row r="2216" spans="12:17" ht="15.75" customHeight="1">
      <c r="L2216" s="7"/>
      <c r="M2216" s="7"/>
      <c r="N2216" s="7"/>
      <c r="O2216" s="7"/>
      <c r="P2216" s="7"/>
      <c r="Q2216" s="7"/>
    </row>
    <row r="2217" spans="12:17" ht="15.75" customHeight="1">
      <c r="L2217" s="7"/>
      <c r="M2217" s="7"/>
      <c r="N2217" s="7"/>
      <c r="O2217" s="7"/>
      <c r="P2217" s="7"/>
      <c r="Q2217" s="7"/>
    </row>
    <row r="2218" spans="12:17" ht="15.75" customHeight="1">
      <c r="L2218" s="7"/>
      <c r="M2218" s="7"/>
      <c r="N2218" s="7"/>
      <c r="O2218" s="7"/>
      <c r="P2218" s="7"/>
      <c r="Q2218" s="7"/>
    </row>
    <row r="2219" spans="12:17" ht="15.75" customHeight="1">
      <c r="L2219" s="7"/>
      <c r="M2219" s="7"/>
      <c r="N2219" s="7"/>
      <c r="O2219" s="7"/>
      <c r="P2219" s="7"/>
      <c r="Q2219" s="7"/>
    </row>
    <row r="2220" spans="12:17" ht="15.75" customHeight="1">
      <c r="L2220" s="7"/>
      <c r="M2220" s="7"/>
      <c r="N2220" s="7"/>
      <c r="O2220" s="7"/>
      <c r="P2220" s="7"/>
      <c r="Q2220" s="7"/>
    </row>
    <row r="2221" spans="12:17" ht="15.75" customHeight="1">
      <c r="L2221" s="7"/>
      <c r="M2221" s="7"/>
      <c r="N2221" s="7"/>
      <c r="O2221" s="7"/>
      <c r="P2221" s="7"/>
      <c r="Q2221" s="7"/>
    </row>
    <row r="2222" spans="12:17" ht="15.75" customHeight="1">
      <c r="L2222" s="7"/>
      <c r="M2222" s="7"/>
      <c r="N2222" s="7"/>
      <c r="O2222" s="7"/>
      <c r="P2222" s="7"/>
      <c r="Q2222" s="7"/>
    </row>
    <row r="2223" spans="12:17" ht="15.75" customHeight="1">
      <c r="L2223" s="7"/>
      <c r="M2223" s="7"/>
      <c r="N2223" s="7"/>
      <c r="O2223" s="7"/>
      <c r="P2223" s="7"/>
      <c r="Q2223" s="7"/>
    </row>
    <row r="2224" spans="12:17" ht="15.75" customHeight="1">
      <c r="L2224" s="7"/>
      <c r="M2224" s="7"/>
      <c r="N2224" s="7"/>
      <c r="O2224" s="7"/>
      <c r="P2224" s="7"/>
      <c r="Q2224" s="7"/>
    </row>
    <row r="2225" spans="12:17" ht="15.75" customHeight="1">
      <c r="L2225" s="7"/>
      <c r="M2225" s="7"/>
      <c r="N2225" s="7"/>
      <c r="O2225" s="7"/>
      <c r="P2225" s="7"/>
      <c r="Q2225" s="7"/>
    </row>
    <row r="2226" spans="12:17" ht="15.75" customHeight="1">
      <c r="L2226" s="7"/>
      <c r="M2226" s="7"/>
      <c r="N2226" s="7"/>
      <c r="O2226" s="7"/>
      <c r="P2226" s="7"/>
      <c r="Q2226" s="7"/>
    </row>
    <row r="2227" spans="12:17" ht="15.75" customHeight="1">
      <c r="L2227" s="7"/>
      <c r="M2227" s="7"/>
      <c r="N2227" s="7"/>
      <c r="O2227" s="7"/>
      <c r="P2227" s="7"/>
      <c r="Q2227" s="7"/>
    </row>
    <row r="2228" spans="12:17" ht="15.75" customHeight="1">
      <c r="L2228" s="7"/>
      <c r="M2228" s="7"/>
      <c r="N2228" s="7"/>
      <c r="O2228" s="7"/>
      <c r="P2228" s="7"/>
      <c r="Q2228" s="7"/>
    </row>
    <row r="2229" spans="12:17" ht="15.75" customHeight="1">
      <c r="L2229" s="7"/>
      <c r="M2229" s="7"/>
      <c r="N2229" s="7"/>
      <c r="O2229" s="7"/>
      <c r="P2229" s="7"/>
      <c r="Q2229" s="7"/>
    </row>
    <row r="2230" spans="12:17" ht="15.75" customHeight="1">
      <c r="L2230" s="7"/>
      <c r="M2230" s="7"/>
      <c r="N2230" s="7"/>
      <c r="O2230" s="7"/>
      <c r="P2230" s="7"/>
      <c r="Q2230" s="7"/>
    </row>
    <row r="2231" spans="12:17" ht="15.75" customHeight="1">
      <c r="L2231" s="7"/>
      <c r="M2231" s="7"/>
      <c r="N2231" s="7"/>
      <c r="O2231" s="7"/>
      <c r="P2231" s="7"/>
      <c r="Q2231" s="7"/>
    </row>
    <row r="2232" spans="12:17" ht="15.75" customHeight="1">
      <c r="L2232" s="7"/>
      <c r="M2232" s="7"/>
      <c r="N2232" s="7"/>
      <c r="O2232" s="7"/>
      <c r="P2232" s="7"/>
      <c r="Q2232" s="7"/>
    </row>
    <row r="2233" spans="12:17" ht="15.75" customHeight="1">
      <c r="L2233" s="7"/>
      <c r="M2233" s="7"/>
      <c r="N2233" s="7"/>
      <c r="O2233" s="7"/>
      <c r="P2233" s="7"/>
      <c r="Q2233" s="7"/>
    </row>
    <row r="2234" spans="12:17" ht="15.75" customHeight="1">
      <c r="L2234" s="7"/>
      <c r="M2234" s="7"/>
      <c r="N2234" s="7"/>
      <c r="O2234" s="7"/>
      <c r="P2234" s="7"/>
      <c r="Q2234" s="7"/>
    </row>
    <row r="2235" spans="12:17" ht="15.75" customHeight="1">
      <c r="L2235" s="7"/>
      <c r="M2235" s="7"/>
      <c r="N2235" s="7"/>
      <c r="O2235" s="7"/>
      <c r="P2235" s="7"/>
      <c r="Q2235" s="7"/>
    </row>
    <row r="2236" spans="12:17" ht="15.75" customHeight="1">
      <c r="L2236" s="7"/>
      <c r="M2236" s="7"/>
      <c r="N2236" s="7"/>
      <c r="O2236" s="7"/>
      <c r="P2236" s="7"/>
      <c r="Q2236" s="7"/>
    </row>
    <row r="2237" spans="12:17" ht="15.75" customHeight="1">
      <c r="L2237" s="7"/>
      <c r="M2237" s="7"/>
      <c r="N2237" s="7"/>
      <c r="O2237" s="7"/>
      <c r="P2237" s="7"/>
      <c r="Q2237" s="7"/>
    </row>
    <row r="2238" spans="12:17" ht="15.75" customHeight="1">
      <c r="L2238" s="7"/>
      <c r="M2238" s="7"/>
      <c r="N2238" s="7"/>
      <c r="O2238" s="7"/>
      <c r="P2238" s="7"/>
      <c r="Q2238" s="7"/>
    </row>
    <row r="2239" spans="12:17" ht="15.75" customHeight="1">
      <c r="L2239" s="7"/>
      <c r="M2239" s="7"/>
      <c r="N2239" s="7"/>
      <c r="O2239" s="7"/>
      <c r="P2239" s="7"/>
      <c r="Q2239" s="7"/>
    </row>
    <row r="2240" spans="12:17" ht="15.75" customHeight="1">
      <c r="L2240" s="7"/>
      <c r="M2240" s="7"/>
      <c r="N2240" s="7"/>
      <c r="O2240" s="7"/>
      <c r="P2240" s="7"/>
      <c r="Q2240" s="7"/>
    </row>
    <row r="2241" spans="12:17" ht="15.75" customHeight="1">
      <c r="L2241" s="7"/>
      <c r="M2241" s="7"/>
      <c r="N2241" s="7"/>
      <c r="O2241" s="7"/>
      <c r="P2241" s="7"/>
      <c r="Q2241" s="7"/>
    </row>
    <row r="2242" spans="12:17" ht="15.75" customHeight="1">
      <c r="L2242" s="7"/>
      <c r="M2242" s="7"/>
      <c r="N2242" s="7"/>
      <c r="O2242" s="7"/>
      <c r="P2242" s="7"/>
      <c r="Q2242" s="7"/>
    </row>
    <row r="2243" spans="12:17" ht="15.75" customHeight="1">
      <c r="L2243" s="7"/>
      <c r="M2243" s="7"/>
      <c r="N2243" s="7"/>
      <c r="O2243" s="7"/>
      <c r="P2243" s="7"/>
      <c r="Q2243" s="7"/>
    </row>
    <row r="2244" spans="12:17" ht="15.75" customHeight="1">
      <c r="L2244" s="7"/>
      <c r="M2244" s="7"/>
      <c r="N2244" s="7"/>
      <c r="O2244" s="7"/>
      <c r="P2244" s="7"/>
      <c r="Q2244" s="7"/>
    </row>
    <row r="2245" spans="12:17" ht="15.75" customHeight="1">
      <c r="L2245" s="7"/>
      <c r="M2245" s="7"/>
      <c r="N2245" s="7"/>
      <c r="O2245" s="7"/>
      <c r="P2245" s="7"/>
      <c r="Q2245" s="7"/>
    </row>
    <row r="2246" spans="12:17" ht="15.75" customHeight="1">
      <c r="L2246" s="7"/>
      <c r="M2246" s="7"/>
      <c r="N2246" s="7"/>
      <c r="O2246" s="7"/>
      <c r="P2246" s="7"/>
      <c r="Q2246" s="7"/>
    </row>
    <row r="2247" spans="12:17" ht="15.75" customHeight="1">
      <c r="L2247" s="7"/>
      <c r="M2247" s="7"/>
      <c r="N2247" s="7"/>
      <c r="O2247" s="7"/>
      <c r="P2247" s="7"/>
      <c r="Q2247" s="7"/>
    </row>
    <row r="2248" spans="12:17" ht="15.75" customHeight="1">
      <c r="L2248" s="7"/>
      <c r="M2248" s="7"/>
      <c r="N2248" s="7"/>
      <c r="O2248" s="7"/>
      <c r="P2248" s="7"/>
      <c r="Q2248" s="7"/>
    </row>
    <row r="2249" spans="12:17" ht="15.75" customHeight="1">
      <c r="L2249" s="7"/>
      <c r="M2249" s="7"/>
      <c r="N2249" s="7"/>
      <c r="O2249" s="7"/>
      <c r="P2249" s="7"/>
      <c r="Q2249" s="7"/>
    </row>
    <row r="2250" spans="12:17" ht="15.75" customHeight="1">
      <c r="L2250" s="7"/>
      <c r="M2250" s="7"/>
      <c r="N2250" s="7"/>
      <c r="O2250" s="7"/>
      <c r="P2250" s="7"/>
      <c r="Q2250" s="7"/>
    </row>
    <row r="2251" spans="12:17" ht="15.75" customHeight="1">
      <c r="L2251" s="7"/>
      <c r="M2251" s="7"/>
      <c r="N2251" s="7"/>
      <c r="O2251" s="7"/>
      <c r="P2251" s="7"/>
      <c r="Q2251" s="7"/>
    </row>
    <row r="2252" spans="12:17" ht="15.75" customHeight="1">
      <c r="L2252" s="7"/>
      <c r="M2252" s="7"/>
      <c r="N2252" s="7"/>
      <c r="O2252" s="7"/>
      <c r="P2252" s="7"/>
      <c r="Q2252" s="7"/>
    </row>
    <row r="2253" spans="12:17" ht="15.75" customHeight="1">
      <c r="L2253" s="7"/>
      <c r="M2253" s="7"/>
      <c r="N2253" s="7"/>
      <c r="O2253" s="7"/>
      <c r="P2253" s="7"/>
      <c r="Q2253" s="7"/>
    </row>
    <row r="2254" spans="12:17" ht="15.75" customHeight="1">
      <c r="L2254" s="7"/>
      <c r="M2254" s="7"/>
      <c r="N2254" s="7"/>
      <c r="O2254" s="7"/>
      <c r="P2254" s="7"/>
      <c r="Q2254" s="7"/>
    </row>
    <row r="2255" spans="12:17" ht="15.75" customHeight="1">
      <c r="L2255" s="7"/>
      <c r="M2255" s="7"/>
      <c r="N2255" s="7"/>
      <c r="O2255" s="7"/>
      <c r="P2255" s="7"/>
      <c r="Q2255" s="7"/>
    </row>
    <row r="2256" spans="12:17" ht="15.75" customHeight="1">
      <c r="L2256" s="7"/>
      <c r="M2256" s="7"/>
      <c r="N2256" s="7"/>
      <c r="O2256" s="7"/>
      <c r="P2256" s="7"/>
      <c r="Q2256" s="7"/>
    </row>
    <row r="2257" spans="12:17" ht="15.75" customHeight="1">
      <c r="L2257" s="7"/>
      <c r="M2257" s="7"/>
      <c r="N2257" s="7"/>
      <c r="O2257" s="7"/>
      <c r="P2257" s="7"/>
      <c r="Q2257" s="7"/>
    </row>
    <row r="2258" spans="12:17" ht="15.75" customHeight="1">
      <c r="L2258" s="7"/>
      <c r="M2258" s="7"/>
      <c r="N2258" s="7"/>
      <c r="O2258" s="7"/>
      <c r="P2258" s="7"/>
      <c r="Q2258" s="7"/>
    </row>
    <row r="2259" spans="12:17" ht="15.75" customHeight="1">
      <c r="L2259" s="7"/>
      <c r="M2259" s="7"/>
      <c r="N2259" s="7"/>
      <c r="O2259" s="7"/>
      <c r="P2259" s="7"/>
      <c r="Q2259" s="7"/>
    </row>
    <row r="2260" spans="12:17" ht="15.75" customHeight="1">
      <c r="L2260" s="7"/>
      <c r="M2260" s="7"/>
      <c r="N2260" s="7"/>
      <c r="O2260" s="7"/>
      <c r="P2260" s="7"/>
      <c r="Q2260" s="7"/>
    </row>
    <row r="2261" spans="12:17" ht="15.75" customHeight="1">
      <c r="L2261" s="7"/>
      <c r="M2261" s="7"/>
      <c r="N2261" s="7"/>
      <c r="O2261" s="7"/>
      <c r="P2261" s="7"/>
      <c r="Q2261" s="7"/>
    </row>
    <row r="2262" spans="12:17" ht="15.75" customHeight="1">
      <c r="L2262" s="7"/>
      <c r="M2262" s="7"/>
      <c r="N2262" s="7"/>
      <c r="O2262" s="7"/>
      <c r="P2262" s="7"/>
      <c r="Q2262" s="7"/>
    </row>
    <row r="2263" spans="12:17" ht="15.75" customHeight="1">
      <c r="L2263" s="7"/>
      <c r="M2263" s="7"/>
      <c r="N2263" s="7"/>
      <c r="O2263" s="7"/>
      <c r="P2263" s="7"/>
      <c r="Q2263" s="7"/>
    </row>
    <row r="2264" spans="12:17" ht="15.75" customHeight="1">
      <c r="L2264" s="7"/>
      <c r="M2264" s="7"/>
      <c r="N2264" s="7"/>
      <c r="O2264" s="7"/>
      <c r="P2264" s="7"/>
      <c r="Q2264" s="7"/>
    </row>
    <row r="2265" spans="12:17" ht="15.75" customHeight="1">
      <c r="L2265" s="7"/>
      <c r="M2265" s="7"/>
      <c r="N2265" s="7"/>
      <c r="O2265" s="7"/>
      <c r="P2265" s="7"/>
      <c r="Q2265" s="7"/>
    </row>
    <row r="2266" spans="12:17" ht="15.75" customHeight="1">
      <c r="L2266" s="7"/>
      <c r="M2266" s="7"/>
      <c r="N2266" s="7"/>
      <c r="O2266" s="7"/>
      <c r="P2266" s="7"/>
      <c r="Q2266" s="7"/>
    </row>
    <row r="2267" spans="12:17" ht="15.75" customHeight="1">
      <c r="L2267" s="7"/>
      <c r="M2267" s="7"/>
      <c r="N2267" s="7"/>
      <c r="O2267" s="7"/>
      <c r="P2267" s="7"/>
      <c r="Q2267" s="7"/>
    </row>
    <row r="2268" spans="12:17" ht="15.75" customHeight="1">
      <c r="L2268" s="7"/>
      <c r="M2268" s="7"/>
      <c r="N2268" s="7"/>
      <c r="O2268" s="7"/>
      <c r="P2268" s="7"/>
      <c r="Q2268" s="7"/>
    </row>
    <row r="2269" spans="12:17" ht="15.75" customHeight="1">
      <c r="L2269" s="7"/>
      <c r="M2269" s="7"/>
      <c r="N2269" s="7"/>
      <c r="O2269" s="7"/>
      <c r="P2269" s="7"/>
      <c r="Q2269" s="7"/>
    </row>
    <row r="2270" spans="12:17" ht="15.75" customHeight="1">
      <c r="L2270" s="7"/>
      <c r="M2270" s="7"/>
      <c r="N2270" s="7"/>
      <c r="O2270" s="7"/>
      <c r="P2270" s="7"/>
      <c r="Q2270" s="7"/>
    </row>
    <row r="2271" spans="12:17" ht="15.75" customHeight="1">
      <c r="L2271" s="7"/>
      <c r="M2271" s="7"/>
      <c r="N2271" s="7"/>
      <c r="O2271" s="7"/>
      <c r="P2271" s="7"/>
      <c r="Q2271" s="7"/>
    </row>
    <row r="2272" spans="12:17" ht="15.75" customHeight="1">
      <c r="L2272" s="7"/>
      <c r="M2272" s="7"/>
      <c r="N2272" s="7"/>
      <c r="O2272" s="7"/>
      <c r="P2272" s="7"/>
      <c r="Q2272" s="7"/>
    </row>
    <row r="2273" spans="12:17" ht="15.75" customHeight="1">
      <c r="L2273" s="7"/>
      <c r="M2273" s="7"/>
      <c r="N2273" s="7"/>
      <c r="O2273" s="7"/>
      <c r="P2273" s="7"/>
      <c r="Q2273" s="7"/>
    </row>
    <row r="2274" spans="12:17" ht="15.75" customHeight="1">
      <c r="L2274" s="7"/>
      <c r="M2274" s="7"/>
      <c r="N2274" s="7"/>
      <c r="O2274" s="7"/>
      <c r="P2274" s="7"/>
      <c r="Q2274" s="7"/>
    </row>
    <row r="2275" spans="12:17" ht="15.75" customHeight="1">
      <c r="L2275" s="7"/>
      <c r="M2275" s="7"/>
      <c r="N2275" s="7"/>
      <c r="O2275" s="7"/>
      <c r="P2275" s="7"/>
      <c r="Q2275" s="7"/>
    </row>
    <row r="2276" spans="12:17" ht="15.75" customHeight="1">
      <c r="L2276" s="7"/>
      <c r="M2276" s="7"/>
      <c r="N2276" s="7"/>
      <c r="O2276" s="7"/>
      <c r="P2276" s="7"/>
      <c r="Q2276" s="7"/>
    </row>
    <row r="2277" spans="12:17" ht="15.75" customHeight="1">
      <c r="L2277" s="7"/>
      <c r="M2277" s="7"/>
      <c r="N2277" s="7"/>
      <c r="O2277" s="7"/>
      <c r="P2277" s="7"/>
      <c r="Q2277" s="7"/>
    </row>
    <row r="2278" spans="12:17" ht="15.75" customHeight="1">
      <c r="L2278" s="7"/>
      <c r="M2278" s="7"/>
      <c r="N2278" s="7"/>
      <c r="O2278" s="7"/>
      <c r="P2278" s="7"/>
      <c r="Q2278" s="7"/>
    </row>
    <row r="2279" spans="12:17" ht="15.75" customHeight="1">
      <c r="L2279" s="7"/>
      <c r="M2279" s="7"/>
      <c r="N2279" s="7"/>
      <c r="O2279" s="7"/>
      <c r="P2279" s="7"/>
      <c r="Q2279" s="7"/>
    </row>
    <row r="2280" spans="12:17" ht="15.75" customHeight="1">
      <c r="L2280" s="7"/>
      <c r="M2280" s="7"/>
      <c r="N2280" s="7"/>
      <c r="O2280" s="7"/>
      <c r="P2280" s="7"/>
      <c r="Q2280" s="7"/>
    </row>
    <row r="2281" spans="12:17" ht="15.75" customHeight="1">
      <c r="L2281" s="7"/>
      <c r="M2281" s="7"/>
      <c r="N2281" s="7"/>
      <c r="O2281" s="7"/>
      <c r="P2281" s="7"/>
      <c r="Q2281" s="7"/>
    </row>
    <row r="2282" spans="12:17" ht="15.75" customHeight="1">
      <c r="L2282" s="7"/>
      <c r="M2282" s="7"/>
      <c r="N2282" s="7"/>
      <c r="O2282" s="7"/>
      <c r="P2282" s="7"/>
      <c r="Q2282" s="7"/>
    </row>
    <row r="2283" spans="12:17" ht="15.75" customHeight="1">
      <c r="L2283" s="7"/>
      <c r="M2283" s="7"/>
      <c r="N2283" s="7"/>
      <c r="O2283" s="7"/>
      <c r="P2283" s="7"/>
      <c r="Q2283" s="7"/>
    </row>
    <row r="2284" spans="12:17" ht="15.75" customHeight="1">
      <c r="L2284" s="7"/>
      <c r="M2284" s="7"/>
      <c r="N2284" s="7"/>
      <c r="O2284" s="7"/>
      <c r="P2284" s="7"/>
      <c r="Q2284" s="7"/>
    </row>
    <row r="2285" spans="12:17" ht="15.75" customHeight="1">
      <c r="L2285" s="7"/>
      <c r="M2285" s="7"/>
      <c r="N2285" s="7"/>
      <c r="O2285" s="7"/>
      <c r="P2285" s="7"/>
      <c r="Q2285" s="7"/>
    </row>
    <row r="2286" spans="12:17" ht="15.75" customHeight="1">
      <c r="L2286" s="7"/>
      <c r="M2286" s="7"/>
      <c r="N2286" s="7"/>
      <c r="O2286" s="7"/>
      <c r="P2286" s="7"/>
      <c r="Q2286" s="7"/>
    </row>
    <row r="2287" spans="12:17" ht="15.75" customHeight="1">
      <c r="L2287" s="7"/>
      <c r="M2287" s="7"/>
      <c r="N2287" s="7"/>
      <c r="O2287" s="7"/>
      <c r="P2287" s="7"/>
      <c r="Q2287" s="7"/>
    </row>
    <row r="2288" spans="12:17" ht="15.75" customHeight="1">
      <c r="L2288" s="7"/>
      <c r="M2288" s="7"/>
      <c r="N2288" s="7"/>
      <c r="O2288" s="7"/>
      <c r="P2288" s="7"/>
      <c r="Q2288" s="7"/>
    </row>
    <row r="2289" spans="12:17" ht="15.75" customHeight="1">
      <c r="L2289" s="7"/>
      <c r="M2289" s="7"/>
      <c r="N2289" s="7"/>
      <c r="O2289" s="7"/>
      <c r="P2289" s="7"/>
      <c r="Q2289" s="7"/>
    </row>
    <row r="2290" spans="12:17" ht="15.75" customHeight="1">
      <c r="L2290" s="7"/>
      <c r="M2290" s="7"/>
      <c r="N2290" s="7"/>
      <c r="O2290" s="7"/>
      <c r="P2290" s="7"/>
      <c r="Q2290" s="7"/>
    </row>
    <row r="2291" spans="12:17" ht="15.75" customHeight="1">
      <c r="L2291" s="7"/>
      <c r="M2291" s="7"/>
      <c r="N2291" s="7"/>
      <c r="O2291" s="7"/>
      <c r="P2291" s="7"/>
      <c r="Q2291" s="7"/>
    </row>
    <row r="2292" spans="12:17" ht="15.75" customHeight="1">
      <c r="L2292" s="7"/>
      <c r="M2292" s="7"/>
      <c r="N2292" s="7"/>
      <c r="O2292" s="7"/>
      <c r="P2292" s="7"/>
      <c r="Q2292" s="7"/>
    </row>
    <row r="2293" spans="12:17" ht="15.75" customHeight="1">
      <c r="L2293" s="7"/>
      <c r="M2293" s="7"/>
      <c r="N2293" s="7"/>
      <c r="O2293" s="7"/>
      <c r="P2293" s="7"/>
      <c r="Q2293" s="7"/>
    </row>
    <row r="2294" spans="12:17" ht="15.75" customHeight="1">
      <c r="L2294" s="7"/>
      <c r="M2294" s="7"/>
      <c r="N2294" s="7"/>
      <c r="O2294" s="7"/>
      <c r="P2294" s="7"/>
      <c r="Q2294" s="7"/>
    </row>
    <row r="2295" spans="12:17" ht="15.75" customHeight="1">
      <c r="L2295" s="7"/>
      <c r="M2295" s="7"/>
      <c r="N2295" s="7"/>
      <c r="O2295" s="7"/>
      <c r="P2295" s="7"/>
      <c r="Q2295" s="7"/>
    </row>
    <row r="2296" spans="12:17" ht="15.75" customHeight="1">
      <c r="L2296" s="7"/>
      <c r="M2296" s="7"/>
      <c r="N2296" s="7"/>
      <c r="O2296" s="7"/>
      <c r="P2296" s="7"/>
      <c r="Q2296" s="7"/>
    </row>
    <row r="2297" spans="12:17" ht="15.75" customHeight="1">
      <c r="L2297" s="7"/>
      <c r="M2297" s="7"/>
      <c r="N2297" s="7"/>
      <c r="O2297" s="7"/>
      <c r="P2297" s="7"/>
      <c r="Q2297" s="7"/>
    </row>
    <row r="2298" spans="12:17" ht="15.75" customHeight="1">
      <c r="L2298" s="7"/>
      <c r="M2298" s="7"/>
      <c r="N2298" s="7"/>
      <c r="O2298" s="7"/>
      <c r="P2298" s="7"/>
      <c r="Q2298" s="7"/>
    </row>
    <row r="2299" spans="12:17" ht="15.75" customHeight="1">
      <c r="L2299" s="7"/>
      <c r="M2299" s="7"/>
      <c r="N2299" s="7"/>
      <c r="O2299" s="7"/>
      <c r="P2299" s="7"/>
      <c r="Q2299" s="7"/>
    </row>
    <row r="2300" spans="12:17" ht="15.75" customHeight="1">
      <c r="L2300" s="7"/>
      <c r="M2300" s="7"/>
      <c r="N2300" s="7"/>
      <c r="O2300" s="7"/>
      <c r="P2300" s="7"/>
      <c r="Q2300" s="7"/>
    </row>
    <row r="2301" spans="12:17" ht="15.75" customHeight="1">
      <c r="L2301" s="7"/>
      <c r="M2301" s="7"/>
      <c r="N2301" s="7"/>
      <c r="O2301" s="7"/>
      <c r="P2301" s="7"/>
      <c r="Q2301" s="7"/>
    </row>
    <row r="2302" spans="12:17" ht="15.75" customHeight="1">
      <c r="L2302" s="7"/>
      <c r="M2302" s="7"/>
      <c r="N2302" s="7"/>
      <c r="O2302" s="7"/>
      <c r="P2302" s="7"/>
      <c r="Q2302" s="7"/>
    </row>
    <row r="2303" spans="12:17" ht="15.75" customHeight="1">
      <c r="L2303" s="7"/>
      <c r="M2303" s="7"/>
      <c r="N2303" s="7"/>
      <c r="O2303" s="7"/>
      <c r="P2303" s="7"/>
      <c r="Q2303" s="7"/>
    </row>
    <row r="2304" spans="12:17" ht="15.75" customHeight="1">
      <c r="L2304" s="7"/>
      <c r="M2304" s="7"/>
      <c r="N2304" s="7"/>
      <c r="O2304" s="7"/>
      <c r="P2304" s="7"/>
      <c r="Q2304" s="7"/>
    </row>
    <row r="2305" spans="12:17" ht="15.75" customHeight="1">
      <c r="L2305" s="7"/>
      <c r="M2305" s="7"/>
      <c r="N2305" s="7"/>
      <c r="O2305" s="7"/>
      <c r="P2305" s="7"/>
      <c r="Q2305" s="7"/>
    </row>
    <row r="2306" spans="12:17" ht="15.75" customHeight="1">
      <c r="L2306" s="7"/>
      <c r="M2306" s="7"/>
      <c r="N2306" s="7"/>
      <c r="O2306" s="7"/>
      <c r="P2306" s="7"/>
      <c r="Q2306" s="7"/>
    </row>
    <row r="2307" spans="12:17" ht="15.75" customHeight="1">
      <c r="L2307" s="7"/>
      <c r="M2307" s="7"/>
      <c r="N2307" s="7"/>
      <c r="O2307" s="7"/>
      <c r="P2307" s="7"/>
      <c r="Q2307" s="7"/>
    </row>
    <row r="2308" spans="12:17" ht="15.75" customHeight="1">
      <c r="L2308" s="7"/>
      <c r="M2308" s="7"/>
      <c r="N2308" s="7"/>
      <c r="O2308" s="7"/>
      <c r="P2308" s="7"/>
      <c r="Q2308" s="7"/>
    </row>
    <row r="2309" spans="12:17" ht="15.75" customHeight="1">
      <c r="L2309" s="7"/>
      <c r="M2309" s="7"/>
      <c r="N2309" s="7"/>
      <c r="O2309" s="7"/>
      <c r="P2309" s="7"/>
      <c r="Q2309" s="7"/>
    </row>
    <row r="2310" spans="12:17" ht="15.75" customHeight="1">
      <c r="L2310" s="7"/>
      <c r="M2310" s="7"/>
      <c r="N2310" s="7"/>
      <c r="O2310" s="7"/>
      <c r="P2310" s="7"/>
      <c r="Q2310" s="7"/>
    </row>
    <row r="2311" spans="12:17" ht="15.75" customHeight="1">
      <c r="L2311" s="7"/>
      <c r="M2311" s="7"/>
      <c r="N2311" s="7"/>
      <c r="O2311" s="7"/>
      <c r="P2311" s="7"/>
      <c r="Q2311" s="7"/>
    </row>
    <row r="2312" spans="12:17" ht="15.75" customHeight="1">
      <c r="L2312" s="7"/>
      <c r="M2312" s="7"/>
      <c r="N2312" s="7"/>
      <c r="O2312" s="7"/>
      <c r="P2312" s="7"/>
      <c r="Q2312" s="7"/>
    </row>
    <row r="2313" spans="12:17" ht="15.75" customHeight="1">
      <c r="L2313" s="7"/>
      <c r="M2313" s="7"/>
      <c r="N2313" s="7"/>
      <c r="O2313" s="7"/>
      <c r="P2313" s="7"/>
      <c r="Q2313" s="7"/>
    </row>
    <row r="2314" spans="12:17" ht="15.75" customHeight="1">
      <c r="L2314" s="7"/>
      <c r="M2314" s="7"/>
      <c r="N2314" s="7"/>
      <c r="O2314" s="7"/>
      <c r="P2314" s="7"/>
      <c r="Q2314" s="7"/>
    </row>
    <row r="2315" spans="12:17" ht="15.75" customHeight="1">
      <c r="L2315" s="7"/>
      <c r="M2315" s="7"/>
      <c r="N2315" s="7"/>
      <c r="O2315" s="7"/>
      <c r="P2315" s="7"/>
      <c r="Q2315" s="7"/>
    </row>
    <row r="2316" spans="12:17" ht="15.75" customHeight="1">
      <c r="L2316" s="7"/>
      <c r="M2316" s="7"/>
      <c r="N2316" s="7"/>
      <c r="O2316" s="7"/>
      <c r="P2316" s="7"/>
      <c r="Q2316" s="7"/>
    </row>
    <row r="2317" spans="12:17" ht="15.75" customHeight="1">
      <c r="L2317" s="7"/>
      <c r="M2317" s="7"/>
      <c r="N2317" s="7"/>
      <c r="O2317" s="7"/>
      <c r="P2317" s="7"/>
      <c r="Q2317" s="7"/>
    </row>
    <row r="2318" spans="12:17" ht="15.75" customHeight="1">
      <c r="L2318" s="7"/>
      <c r="M2318" s="7"/>
      <c r="N2318" s="7"/>
      <c r="O2318" s="7"/>
      <c r="P2318" s="7"/>
      <c r="Q2318" s="7"/>
    </row>
    <row r="2319" spans="12:17" ht="15.75" customHeight="1">
      <c r="L2319" s="7"/>
      <c r="M2319" s="7"/>
      <c r="N2319" s="7"/>
      <c r="O2319" s="7"/>
      <c r="P2319" s="7"/>
      <c r="Q2319" s="7"/>
    </row>
    <row r="2320" spans="12:17" ht="15.75" customHeight="1">
      <c r="L2320" s="7"/>
      <c r="M2320" s="7"/>
      <c r="N2320" s="7"/>
      <c r="O2320" s="7"/>
      <c r="P2320" s="7"/>
      <c r="Q2320" s="7"/>
    </row>
    <row r="2321" spans="12:17" ht="15.75" customHeight="1">
      <c r="L2321" s="7"/>
      <c r="M2321" s="7"/>
      <c r="N2321" s="7"/>
      <c r="O2321" s="7"/>
      <c r="P2321" s="7"/>
      <c r="Q2321" s="7"/>
    </row>
    <row r="2322" spans="12:17" ht="15.75" customHeight="1">
      <c r="L2322" s="7"/>
      <c r="M2322" s="7"/>
      <c r="N2322" s="7"/>
      <c r="O2322" s="7"/>
      <c r="P2322" s="7"/>
      <c r="Q2322" s="7"/>
    </row>
    <row r="2323" spans="12:17" ht="15.75" customHeight="1">
      <c r="L2323" s="7"/>
      <c r="M2323" s="7"/>
      <c r="N2323" s="7"/>
      <c r="O2323" s="7"/>
      <c r="P2323" s="7"/>
      <c r="Q2323" s="7"/>
    </row>
    <row r="2324" spans="12:17" ht="15.75" customHeight="1">
      <c r="L2324" s="7"/>
      <c r="M2324" s="7"/>
      <c r="N2324" s="7"/>
      <c r="O2324" s="7"/>
      <c r="P2324" s="7"/>
      <c r="Q2324" s="7"/>
    </row>
    <row r="2325" spans="12:17" ht="15.75" customHeight="1">
      <c r="L2325" s="7"/>
      <c r="M2325" s="7"/>
      <c r="N2325" s="7"/>
      <c r="O2325" s="7"/>
      <c r="P2325" s="7"/>
      <c r="Q2325" s="7"/>
    </row>
    <row r="2326" spans="12:17" ht="15.75" customHeight="1">
      <c r="L2326" s="7"/>
      <c r="M2326" s="7"/>
      <c r="N2326" s="7"/>
      <c r="O2326" s="7"/>
      <c r="P2326" s="7"/>
      <c r="Q2326" s="7"/>
    </row>
    <row r="2327" spans="12:17" ht="15.75" customHeight="1">
      <c r="L2327" s="7"/>
      <c r="M2327" s="7"/>
      <c r="N2327" s="7"/>
      <c r="O2327" s="7"/>
      <c r="P2327" s="7"/>
      <c r="Q2327" s="7"/>
    </row>
    <row r="2328" spans="12:17" ht="15.75" customHeight="1">
      <c r="L2328" s="7"/>
      <c r="M2328" s="7"/>
      <c r="N2328" s="7"/>
      <c r="O2328" s="7"/>
      <c r="P2328" s="7"/>
      <c r="Q2328" s="7"/>
    </row>
    <row r="2329" spans="12:17" ht="15.75" customHeight="1">
      <c r="L2329" s="7"/>
      <c r="M2329" s="7"/>
      <c r="N2329" s="7"/>
      <c r="O2329" s="7"/>
      <c r="P2329" s="7"/>
      <c r="Q2329" s="7"/>
    </row>
    <row r="2330" spans="12:17" ht="15.75" customHeight="1">
      <c r="L2330" s="7"/>
      <c r="M2330" s="7"/>
      <c r="N2330" s="7"/>
      <c r="O2330" s="7"/>
      <c r="P2330" s="7"/>
      <c r="Q2330" s="7"/>
    </row>
    <row r="2331" spans="12:17" ht="15.75" customHeight="1">
      <c r="L2331" s="7"/>
      <c r="M2331" s="7"/>
      <c r="N2331" s="7"/>
      <c r="O2331" s="7"/>
      <c r="P2331" s="7"/>
      <c r="Q2331" s="7"/>
    </row>
    <row r="2332" spans="12:17" ht="15.75" customHeight="1">
      <c r="L2332" s="7"/>
      <c r="M2332" s="7"/>
      <c r="N2332" s="7"/>
      <c r="O2332" s="7"/>
      <c r="P2332" s="7"/>
      <c r="Q2332" s="7"/>
    </row>
    <row r="2333" spans="12:17" ht="15.75" customHeight="1">
      <c r="L2333" s="7"/>
      <c r="M2333" s="7"/>
      <c r="N2333" s="7"/>
      <c r="O2333" s="7"/>
      <c r="P2333" s="7"/>
      <c r="Q2333" s="7"/>
    </row>
    <row r="2334" spans="12:17" ht="15.75" customHeight="1">
      <c r="L2334" s="7"/>
      <c r="M2334" s="7"/>
      <c r="N2334" s="7"/>
      <c r="O2334" s="7"/>
      <c r="P2334" s="7"/>
      <c r="Q2334" s="7"/>
    </row>
    <row r="2335" spans="12:17" ht="15.75" customHeight="1">
      <c r="L2335" s="7"/>
      <c r="M2335" s="7"/>
      <c r="N2335" s="7"/>
      <c r="O2335" s="7"/>
      <c r="P2335" s="7"/>
      <c r="Q2335" s="7"/>
    </row>
    <row r="2336" spans="12:17" ht="15.75" customHeight="1">
      <c r="L2336" s="7"/>
      <c r="M2336" s="7"/>
      <c r="N2336" s="7"/>
      <c r="O2336" s="7"/>
      <c r="P2336" s="7"/>
      <c r="Q2336" s="7"/>
    </row>
    <row r="2337" spans="12:17" ht="15.75" customHeight="1">
      <c r="L2337" s="7"/>
      <c r="M2337" s="7"/>
      <c r="N2337" s="7"/>
      <c r="O2337" s="7"/>
      <c r="P2337" s="7"/>
      <c r="Q2337" s="7"/>
    </row>
    <row r="2338" spans="12:17" ht="15.75" customHeight="1">
      <c r="L2338" s="7"/>
      <c r="M2338" s="7"/>
      <c r="N2338" s="7"/>
      <c r="O2338" s="7"/>
      <c r="P2338" s="7"/>
      <c r="Q2338" s="7"/>
    </row>
    <row r="2339" spans="12:17" ht="15.75" customHeight="1">
      <c r="L2339" s="7"/>
      <c r="M2339" s="7"/>
      <c r="N2339" s="7"/>
      <c r="O2339" s="7"/>
      <c r="P2339" s="7"/>
      <c r="Q2339" s="7"/>
    </row>
    <row r="2340" spans="12:17" ht="15.75" customHeight="1">
      <c r="L2340" s="7"/>
      <c r="M2340" s="7"/>
      <c r="N2340" s="7"/>
      <c r="O2340" s="7"/>
      <c r="P2340" s="7"/>
      <c r="Q2340" s="7"/>
    </row>
    <row r="2341" spans="12:17" ht="15.75" customHeight="1">
      <c r="L2341" s="7"/>
      <c r="M2341" s="7"/>
      <c r="N2341" s="7"/>
      <c r="O2341" s="7"/>
      <c r="P2341" s="7"/>
      <c r="Q2341" s="7"/>
    </row>
    <row r="2342" spans="12:17" ht="15.75" customHeight="1">
      <c r="L2342" s="7"/>
      <c r="M2342" s="7"/>
      <c r="N2342" s="7"/>
      <c r="O2342" s="7"/>
      <c r="P2342" s="7"/>
      <c r="Q2342" s="7"/>
    </row>
    <row r="2343" spans="12:17" ht="15.75" customHeight="1">
      <c r="L2343" s="7"/>
      <c r="M2343" s="7"/>
      <c r="N2343" s="7"/>
      <c r="O2343" s="7"/>
      <c r="P2343" s="7"/>
      <c r="Q2343" s="7"/>
    </row>
    <row r="2344" spans="12:17" ht="15.75" customHeight="1">
      <c r="L2344" s="7"/>
      <c r="M2344" s="7"/>
      <c r="N2344" s="7"/>
      <c r="O2344" s="7"/>
      <c r="P2344" s="7"/>
      <c r="Q2344" s="7"/>
    </row>
    <row r="2345" spans="12:17" ht="15.75" customHeight="1">
      <c r="L2345" s="7"/>
      <c r="M2345" s="7"/>
      <c r="N2345" s="7"/>
      <c r="O2345" s="7"/>
      <c r="P2345" s="7"/>
      <c r="Q2345" s="7"/>
    </row>
    <row r="2346" spans="12:17" ht="15.75" customHeight="1">
      <c r="L2346" s="7"/>
      <c r="M2346" s="7"/>
      <c r="N2346" s="7"/>
      <c r="O2346" s="7"/>
      <c r="P2346" s="7"/>
      <c r="Q2346" s="7"/>
    </row>
    <row r="2347" spans="12:17" ht="15.75" customHeight="1">
      <c r="L2347" s="7"/>
      <c r="M2347" s="7"/>
      <c r="N2347" s="7"/>
      <c r="O2347" s="7"/>
      <c r="P2347" s="7"/>
      <c r="Q2347" s="7"/>
    </row>
    <row r="2348" spans="12:17" ht="15.75" customHeight="1">
      <c r="L2348" s="7"/>
      <c r="M2348" s="7"/>
      <c r="N2348" s="7"/>
      <c r="O2348" s="7"/>
      <c r="P2348" s="7"/>
      <c r="Q2348" s="7"/>
    </row>
    <row r="2349" spans="12:17" ht="15.75" customHeight="1">
      <c r="L2349" s="7"/>
      <c r="M2349" s="7"/>
      <c r="N2349" s="7"/>
      <c r="O2349" s="7"/>
      <c r="P2349" s="7"/>
      <c r="Q2349" s="7"/>
    </row>
    <row r="2350" spans="12:17" ht="15.75" customHeight="1">
      <c r="L2350" s="7"/>
      <c r="M2350" s="7"/>
      <c r="N2350" s="7"/>
      <c r="O2350" s="7"/>
      <c r="P2350" s="7"/>
      <c r="Q2350" s="7"/>
    </row>
    <row r="2351" spans="12:17" ht="15.75" customHeight="1">
      <c r="L2351" s="7"/>
      <c r="M2351" s="7"/>
      <c r="N2351" s="7"/>
      <c r="O2351" s="7"/>
      <c r="P2351" s="7"/>
      <c r="Q2351" s="7"/>
    </row>
    <row r="2352" spans="12:17" ht="15.75" customHeight="1">
      <c r="L2352" s="7"/>
      <c r="M2352" s="7"/>
      <c r="N2352" s="7"/>
      <c r="O2352" s="7"/>
      <c r="P2352" s="7"/>
      <c r="Q2352" s="7"/>
    </row>
    <row r="2353" spans="12:17" ht="15.75" customHeight="1">
      <c r="L2353" s="7"/>
      <c r="M2353" s="7"/>
      <c r="N2353" s="7"/>
      <c r="O2353" s="7"/>
      <c r="P2353" s="7"/>
      <c r="Q2353" s="7"/>
    </row>
    <row r="2354" spans="12:17" ht="15.75" customHeight="1">
      <c r="L2354" s="7"/>
      <c r="M2354" s="7"/>
      <c r="N2354" s="7"/>
      <c r="O2354" s="7"/>
      <c r="P2354" s="7"/>
      <c r="Q2354" s="7"/>
    </row>
    <row r="2355" spans="12:17" ht="15.75" customHeight="1">
      <c r="L2355" s="7"/>
      <c r="M2355" s="7"/>
      <c r="N2355" s="7"/>
      <c r="O2355" s="7"/>
      <c r="P2355" s="7"/>
      <c r="Q2355" s="7"/>
    </row>
    <row r="2356" spans="12:17" ht="15.75" customHeight="1">
      <c r="L2356" s="7"/>
      <c r="M2356" s="7"/>
      <c r="N2356" s="7"/>
      <c r="O2356" s="7"/>
      <c r="P2356" s="7"/>
      <c r="Q2356" s="7"/>
    </row>
    <row r="2357" spans="12:17" ht="15.75" customHeight="1">
      <c r="L2357" s="7"/>
      <c r="M2357" s="7"/>
      <c r="N2357" s="7"/>
      <c r="O2357" s="7"/>
      <c r="P2357" s="7"/>
      <c r="Q2357" s="7"/>
    </row>
    <row r="2358" spans="12:17" ht="15.75" customHeight="1">
      <c r="L2358" s="7"/>
      <c r="M2358" s="7"/>
      <c r="N2358" s="7"/>
      <c r="O2358" s="7"/>
      <c r="P2358" s="7"/>
      <c r="Q2358" s="7"/>
    </row>
    <row r="2359" spans="12:17" ht="15.75" customHeight="1">
      <c r="L2359" s="7"/>
      <c r="M2359" s="7"/>
      <c r="N2359" s="7"/>
      <c r="O2359" s="7"/>
      <c r="P2359" s="7"/>
      <c r="Q2359" s="7"/>
    </row>
    <row r="2360" spans="12:17" ht="15.75" customHeight="1">
      <c r="L2360" s="7"/>
      <c r="M2360" s="7"/>
      <c r="N2360" s="7"/>
      <c r="O2360" s="7"/>
      <c r="P2360" s="7"/>
      <c r="Q2360" s="7"/>
    </row>
    <row r="2361" spans="12:17" ht="15.75" customHeight="1">
      <c r="L2361" s="7"/>
      <c r="M2361" s="7"/>
      <c r="N2361" s="7"/>
      <c r="O2361" s="7"/>
      <c r="P2361" s="7"/>
      <c r="Q2361" s="7"/>
    </row>
    <row r="2362" spans="12:17" ht="15.75" customHeight="1">
      <c r="L2362" s="7"/>
      <c r="M2362" s="7"/>
      <c r="N2362" s="7"/>
      <c r="O2362" s="7"/>
      <c r="P2362" s="7"/>
      <c r="Q2362" s="7"/>
    </row>
    <row r="2363" spans="12:17" ht="15.75" customHeight="1">
      <c r="L2363" s="7"/>
      <c r="M2363" s="7"/>
      <c r="N2363" s="7"/>
      <c r="O2363" s="7"/>
      <c r="P2363" s="7"/>
      <c r="Q2363" s="7"/>
    </row>
    <row r="2364" spans="12:17" ht="15.75" customHeight="1">
      <c r="L2364" s="7"/>
      <c r="M2364" s="7"/>
      <c r="N2364" s="7"/>
      <c r="O2364" s="7"/>
      <c r="P2364" s="7"/>
      <c r="Q2364" s="7"/>
    </row>
    <row r="2365" spans="12:17" ht="15.75" customHeight="1">
      <c r="L2365" s="7"/>
      <c r="M2365" s="7"/>
      <c r="N2365" s="7"/>
      <c r="O2365" s="7"/>
      <c r="P2365" s="7"/>
      <c r="Q2365" s="7"/>
    </row>
    <row r="2366" spans="12:17" ht="15.75" customHeight="1">
      <c r="L2366" s="7"/>
      <c r="M2366" s="7"/>
      <c r="N2366" s="7"/>
      <c r="O2366" s="7"/>
      <c r="P2366" s="7"/>
      <c r="Q2366" s="7"/>
    </row>
    <row r="2367" spans="12:17" ht="15.75" customHeight="1">
      <c r="L2367" s="7"/>
      <c r="M2367" s="7"/>
      <c r="N2367" s="7"/>
      <c r="O2367" s="7"/>
      <c r="P2367" s="7"/>
      <c r="Q2367" s="7"/>
    </row>
    <row r="2368" spans="12:17" ht="15.75" customHeight="1">
      <c r="L2368" s="7"/>
      <c r="M2368" s="7"/>
      <c r="N2368" s="7"/>
      <c r="O2368" s="7"/>
      <c r="P2368" s="7"/>
      <c r="Q2368" s="7"/>
    </row>
    <row r="2369" spans="12:17" ht="15.75" customHeight="1">
      <c r="L2369" s="7"/>
      <c r="M2369" s="7"/>
      <c r="N2369" s="7"/>
      <c r="O2369" s="7"/>
      <c r="P2369" s="7"/>
      <c r="Q2369" s="7"/>
    </row>
    <row r="2370" spans="12:17" ht="15.75" customHeight="1">
      <c r="L2370" s="7"/>
      <c r="M2370" s="7"/>
      <c r="N2370" s="7"/>
      <c r="O2370" s="7"/>
      <c r="P2370" s="7"/>
      <c r="Q2370" s="7"/>
    </row>
    <row r="2371" spans="12:17" ht="15.75" customHeight="1">
      <c r="L2371" s="7"/>
      <c r="M2371" s="7"/>
      <c r="N2371" s="7"/>
      <c r="O2371" s="7"/>
      <c r="P2371" s="7"/>
      <c r="Q2371" s="7"/>
    </row>
    <row r="2372" spans="12:17" ht="15.75" customHeight="1">
      <c r="L2372" s="7"/>
      <c r="M2372" s="7"/>
      <c r="N2372" s="7"/>
      <c r="O2372" s="7"/>
      <c r="P2372" s="7"/>
      <c r="Q2372" s="7"/>
    </row>
    <row r="2373" spans="12:17" ht="15.75" customHeight="1">
      <c r="L2373" s="7"/>
      <c r="M2373" s="7"/>
      <c r="N2373" s="7"/>
      <c r="O2373" s="7"/>
      <c r="P2373" s="7"/>
      <c r="Q2373" s="7"/>
    </row>
    <row r="2374" spans="12:17" ht="15.75" customHeight="1">
      <c r="L2374" s="7"/>
      <c r="M2374" s="7"/>
      <c r="N2374" s="7"/>
      <c r="O2374" s="7"/>
      <c r="P2374" s="7"/>
      <c r="Q2374" s="7"/>
    </row>
    <row r="2375" spans="12:17" ht="15.75" customHeight="1">
      <c r="L2375" s="7"/>
      <c r="M2375" s="7"/>
      <c r="N2375" s="7"/>
      <c r="O2375" s="7"/>
      <c r="P2375" s="7"/>
      <c r="Q2375" s="7"/>
    </row>
    <row r="2376" spans="12:17" ht="15.75" customHeight="1">
      <c r="L2376" s="7"/>
      <c r="M2376" s="7"/>
      <c r="N2376" s="7"/>
      <c r="O2376" s="7"/>
      <c r="P2376" s="7"/>
      <c r="Q2376" s="7"/>
    </row>
    <row r="2377" spans="12:17" ht="15.75" customHeight="1">
      <c r="L2377" s="7"/>
      <c r="M2377" s="7"/>
      <c r="N2377" s="7"/>
      <c r="O2377" s="7"/>
      <c r="P2377" s="7"/>
      <c r="Q2377" s="7"/>
    </row>
    <row r="2378" spans="12:17" ht="15.75" customHeight="1">
      <c r="L2378" s="7"/>
      <c r="M2378" s="7"/>
      <c r="N2378" s="7"/>
      <c r="O2378" s="7"/>
      <c r="P2378" s="7"/>
      <c r="Q2378" s="7"/>
    </row>
    <row r="2379" spans="12:17" ht="15.75" customHeight="1">
      <c r="L2379" s="7"/>
      <c r="M2379" s="7"/>
      <c r="N2379" s="7"/>
      <c r="O2379" s="7"/>
      <c r="P2379" s="7"/>
      <c r="Q2379" s="7"/>
    </row>
    <row r="2380" spans="12:17" ht="15.75" customHeight="1">
      <c r="L2380" s="7"/>
      <c r="M2380" s="7"/>
      <c r="N2380" s="7"/>
      <c r="O2380" s="7"/>
      <c r="P2380" s="7"/>
      <c r="Q2380" s="7"/>
    </row>
    <row r="2381" spans="12:17" ht="15.75" customHeight="1">
      <c r="L2381" s="7"/>
      <c r="M2381" s="7"/>
      <c r="N2381" s="7"/>
      <c r="O2381" s="7"/>
      <c r="P2381" s="7"/>
      <c r="Q2381" s="7"/>
    </row>
    <row r="2382" spans="12:17" ht="15.75" customHeight="1">
      <c r="L2382" s="7"/>
      <c r="M2382" s="7"/>
      <c r="N2382" s="7"/>
      <c r="O2382" s="7"/>
      <c r="P2382" s="7"/>
      <c r="Q2382" s="7"/>
    </row>
    <row r="2383" spans="12:17" ht="15.75" customHeight="1">
      <c r="L2383" s="7"/>
      <c r="M2383" s="7"/>
      <c r="N2383" s="7"/>
      <c r="O2383" s="7"/>
      <c r="P2383" s="7"/>
      <c r="Q2383" s="7"/>
    </row>
    <row r="2384" spans="12:17" ht="15.75" customHeight="1">
      <c r="L2384" s="7"/>
      <c r="M2384" s="7"/>
      <c r="N2384" s="7"/>
      <c r="O2384" s="7"/>
      <c r="P2384" s="7"/>
      <c r="Q2384" s="7"/>
    </row>
    <row r="2385" spans="12:17" ht="15.75" customHeight="1">
      <c r="L2385" s="7"/>
      <c r="M2385" s="7"/>
      <c r="N2385" s="7"/>
      <c r="O2385" s="7"/>
      <c r="P2385" s="7"/>
      <c r="Q2385" s="7"/>
    </row>
    <row r="2386" spans="12:17" ht="15.75" customHeight="1">
      <c r="L2386" s="7"/>
      <c r="M2386" s="7"/>
      <c r="N2386" s="7"/>
      <c r="O2386" s="7"/>
      <c r="P2386" s="7"/>
      <c r="Q2386" s="7"/>
    </row>
    <row r="2387" spans="12:17" ht="15.75" customHeight="1">
      <c r="L2387" s="7"/>
      <c r="M2387" s="7"/>
      <c r="N2387" s="7"/>
      <c r="O2387" s="7"/>
      <c r="P2387" s="7"/>
      <c r="Q2387" s="7"/>
    </row>
    <row r="2388" spans="12:17" ht="15.75" customHeight="1">
      <c r="L2388" s="7"/>
      <c r="M2388" s="7"/>
      <c r="N2388" s="7"/>
      <c r="O2388" s="7"/>
      <c r="P2388" s="7"/>
      <c r="Q2388" s="7"/>
    </row>
    <row r="2389" spans="12:17" ht="15.75" customHeight="1">
      <c r="L2389" s="7"/>
      <c r="M2389" s="7"/>
      <c r="N2389" s="7"/>
      <c r="O2389" s="7"/>
      <c r="P2389" s="7"/>
      <c r="Q2389" s="7"/>
    </row>
    <row r="2390" spans="12:17" ht="15.75" customHeight="1">
      <c r="L2390" s="7"/>
      <c r="M2390" s="7"/>
      <c r="N2390" s="7"/>
      <c r="O2390" s="7"/>
      <c r="P2390" s="7"/>
      <c r="Q2390" s="7"/>
    </row>
    <row r="2391" spans="12:17" ht="15.75" customHeight="1">
      <c r="L2391" s="7"/>
      <c r="M2391" s="7"/>
      <c r="N2391" s="7"/>
      <c r="O2391" s="7"/>
      <c r="P2391" s="7"/>
      <c r="Q2391" s="7"/>
    </row>
    <row r="2392" spans="12:17" ht="15.75" customHeight="1">
      <c r="L2392" s="7"/>
      <c r="M2392" s="7"/>
      <c r="N2392" s="7"/>
      <c r="O2392" s="7"/>
      <c r="P2392" s="7"/>
      <c r="Q2392" s="7"/>
    </row>
    <row r="2393" spans="12:17" ht="15.75" customHeight="1">
      <c r="L2393" s="7"/>
      <c r="M2393" s="7"/>
      <c r="N2393" s="7"/>
      <c r="O2393" s="7"/>
      <c r="P2393" s="7"/>
      <c r="Q2393" s="7"/>
    </row>
    <row r="2394" spans="12:17" ht="15.75" customHeight="1">
      <c r="L2394" s="7"/>
      <c r="M2394" s="7"/>
      <c r="N2394" s="7"/>
      <c r="O2394" s="7"/>
      <c r="P2394" s="7"/>
      <c r="Q2394" s="7"/>
    </row>
    <row r="2395" spans="12:17" ht="15.75" customHeight="1">
      <c r="L2395" s="7"/>
      <c r="M2395" s="7"/>
      <c r="N2395" s="7"/>
      <c r="O2395" s="7"/>
      <c r="P2395" s="7"/>
      <c r="Q2395" s="7"/>
    </row>
    <row r="2396" spans="12:17" ht="15.75" customHeight="1">
      <c r="L2396" s="7"/>
      <c r="M2396" s="7"/>
      <c r="N2396" s="7"/>
      <c r="O2396" s="7"/>
      <c r="P2396" s="7"/>
      <c r="Q2396" s="7"/>
    </row>
    <row r="2397" spans="12:17" ht="15.75" customHeight="1">
      <c r="L2397" s="7"/>
      <c r="M2397" s="7"/>
      <c r="N2397" s="7"/>
      <c r="O2397" s="7"/>
      <c r="P2397" s="7"/>
      <c r="Q2397" s="7"/>
    </row>
    <row r="2398" spans="12:17" ht="15.75" customHeight="1">
      <c r="L2398" s="7"/>
      <c r="M2398" s="7"/>
      <c r="N2398" s="7"/>
      <c r="O2398" s="7"/>
      <c r="P2398" s="7"/>
      <c r="Q2398" s="7"/>
    </row>
    <row r="2399" spans="12:17" ht="15.75" customHeight="1">
      <c r="L2399" s="7"/>
      <c r="M2399" s="7"/>
      <c r="N2399" s="7"/>
      <c r="O2399" s="7"/>
      <c r="P2399" s="7"/>
      <c r="Q2399" s="7"/>
    </row>
    <row r="2400" spans="12:17" ht="15.75" customHeight="1">
      <c r="L2400" s="7"/>
      <c r="M2400" s="7"/>
      <c r="N2400" s="7"/>
      <c r="O2400" s="7"/>
      <c r="P2400" s="7"/>
      <c r="Q2400" s="7"/>
    </row>
    <row r="2401" spans="12:17" ht="15.75" customHeight="1">
      <c r="L2401" s="7"/>
      <c r="M2401" s="7"/>
      <c r="N2401" s="7"/>
      <c r="O2401" s="7"/>
      <c r="P2401" s="7"/>
      <c r="Q2401" s="7"/>
    </row>
    <row r="2402" spans="12:17" ht="15.75" customHeight="1">
      <c r="L2402" s="7"/>
      <c r="M2402" s="7"/>
      <c r="N2402" s="7"/>
      <c r="O2402" s="7"/>
      <c r="P2402" s="7"/>
      <c r="Q2402" s="7"/>
    </row>
    <row r="2403" spans="12:17" ht="15.75" customHeight="1">
      <c r="L2403" s="7"/>
      <c r="M2403" s="7"/>
      <c r="N2403" s="7"/>
      <c r="O2403" s="7"/>
      <c r="P2403" s="7"/>
      <c r="Q2403" s="7"/>
    </row>
    <row r="2404" spans="12:17" ht="15.75" customHeight="1">
      <c r="L2404" s="7"/>
      <c r="M2404" s="7"/>
      <c r="N2404" s="7"/>
      <c r="O2404" s="7"/>
      <c r="P2404" s="7"/>
      <c r="Q2404" s="7"/>
    </row>
    <row r="2405" spans="12:17" ht="15.75" customHeight="1">
      <c r="L2405" s="7"/>
      <c r="M2405" s="7"/>
      <c r="N2405" s="7"/>
      <c r="O2405" s="7"/>
      <c r="P2405" s="7"/>
      <c r="Q2405" s="7"/>
    </row>
    <row r="2406" spans="12:17" ht="15.75" customHeight="1">
      <c r="L2406" s="7"/>
      <c r="M2406" s="7"/>
      <c r="N2406" s="7"/>
      <c r="O2406" s="7"/>
      <c r="P2406" s="7"/>
      <c r="Q2406" s="7"/>
    </row>
    <row r="2407" spans="12:17" ht="15.75" customHeight="1">
      <c r="L2407" s="7"/>
      <c r="M2407" s="7"/>
      <c r="N2407" s="7"/>
      <c r="O2407" s="7"/>
      <c r="P2407" s="7"/>
      <c r="Q2407" s="7"/>
    </row>
    <row r="2408" spans="12:17" ht="15.75" customHeight="1">
      <c r="L2408" s="7"/>
      <c r="M2408" s="7"/>
      <c r="N2408" s="7"/>
      <c r="O2408" s="7"/>
      <c r="P2408" s="7"/>
      <c r="Q2408" s="7"/>
    </row>
    <row r="2409" spans="12:17" ht="15.75" customHeight="1">
      <c r="L2409" s="7"/>
      <c r="M2409" s="7"/>
      <c r="N2409" s="7"/>
      <c r="O2409" s="7"/>
      <c r="P2409" s="7"/>
      <c r="Q2409" s="7"/>
    </row>
    <row r="2410" spans="12:17" ht="15.75" customHeight="1">
      <c r="L2410" s="7"/>
      <c r="M2410" s="7"/>
      <c r="N2410" s="7"/>
      <c r="O2410" s="7"/>
      <c r="P2410" s="7"/>
      <c r="Q2410" s="7"/>
    </row>
    <row r="2411" spans="12:17" ht="15.75" customHeight="1">
      <c r="L2411" s="7"/>
      <c r="M2411" s="7"/>
      <c r="N2411" s="7"/>
      <c r="O2411" s="7"/>
      <c r="P2411" s="7"/>
      <c r="Q2411" s="7"/>
    </row>
    <row r="2412" spans="12:17" ht="15.75" customHeight="1">
      <c r="L2412" s="7"/>
      <c r="M2412" s="7"/>
      <c r="N2412" s="7"/>
      <c r="O2412" s="7"/>
      <c r="P2412" s="7"/>
      <c r="Q2412" s="7"/>
    </row>
    <row r="2413" spans="12:17" ht="15.75" customHeight="1">
      <c r="L2413" s="7"/>
      <c r="M2413" s="7"/>
      <c r="N2413" s="7"/>
      <c r="O2413" s="7"/>
      <c r="P2413" s="7"/>
      <c r="Q2413" s="7"/>
    </row>
    <row r="2414" spans="12:17" ht="15.75" customHeight="1">
      <c r="L2414" s="7"/>
      <c r="M2414" s="7"/>
      <c r="N2414" s="7"/>
      <c r="O2414" s="7"/>
      <c r="P2414" s="7"/>
      <c r="Q2414" s="7"/>
    </row>
    <row r="2415" spans="12:17" ht="15.75" customHeight="1">
      <c r="L2415" s="7"/>
      <c r="M2415" s="7"/>
      <c r="N2415" s="7"/>
      <c r="O2415" s="7"/>
      <c r="P2415" s="7"/>
      <c r="Q2415" s="7"/>
    </row>
    <row r="2416" spans="12:17" ht="15.75" customHeight="1">
      <c r="L2416" s="7"/>
      <c r="M2416" s="7"/>
      <c r="N2416" s="7"/>
      <c r="O2416" s="7"/>
      <c r="P2416" s="7"/>
      <c r="Q2416" s="7"/>
    </row>
    <row r="2417" spans="12:17" ht="15.75" customHeight="1">
      <c r="L2417" s="7"/>
      <c r="M2417" s="7"/>
      <c r="N2417" s="7"/>
      <c r="O2417" s="7"/>
      <c r="P2417" s="7"/>
      <c r="Q2417" s="7"/>
    </row>
    <row r="2418" spans="12:17" ht="15.75" customHeight="1">
      <c r="L2418" s="7"/>
      <c r="M2418" s="7"/>
      <c r="N2418" s="7"/>
      <c r="O2418" s="7"/>
      <c r="P2418" s="7"/>
      <c r="Q2418" s="7"/>
    </row>
    <row r="2419" spans="12:17" ht="15.75" customHeight="1">
      <c r="L2419" s="7"/>
      <c r="M2419" s="7"/>
      <c r="N2419" s="7"/>
      <c r="O2419" s="7"/>
      <c r="P2419" s="7"/>
      <c r="Q2419" s="7"/>
    </row>
    <row r="2420" spans="12:17" ht="15.75" customHeight="1">
      <c r="L2420" s="7"/>
      <c r="M2420" s="7"/>
      <c r="N2420" s="7"/>
      <c r="O2420" s="7"/>
      <c r="P2420" s="7"/>
      <c r="Q2420" s="7"/>
    </row>
    <row r="2421" spans="12:17" ht="15.75" customHeight="1">
      <c r="L2421" s="7"/>
      <c r="M2421" s="7"/>
      <c r="N2421" s="7"/>
      <c r="O2421" s="7"/>
      <c r="P2421" s="7"/>
      <c r="Q2421" s="7"/>
    </row>
    <row r="2422" spans="12:17" ht="15.75" customHeight="1">
      <c r="L2422" s="7"/>
      <c r="M2422" s="7"/>
      <c r="N2422" s="7"/>
      <c r="O2422" s="7"/>
      <c r="P2422" s="7"/>
      <c r="Q2422" s="7"/>
    </row>
    <row r="2423" spans="12:17" ht="15.75" customHeight="1">
      <c r="L2423" s="7"/>
      <c r="M2423" s="7"/>
      <c r="N2423" s="7"/>
      <c r="O2423" s="7"/>
      <c r="P2423" s="7"/>
      <c r="Q2423" s="7"/>
    </row>
    <row r="2424" spans="12:17" ht="15.75" customHeight="1">
      <c r="L2424" s="7"/>
      <c r="M2424" s="7"/>
      <c r="N2424" s="7"/>
      <c r="O2424" s="7"/>
      <c r="P2424" s="7"/>
      <c r="Q2424" s="7"/>
    </row>
    <row r="2425" spans="12:17" ht="15.75" customHeight="1">
      <c r="L2425" s="7"/>
      <c r="M2425" s="7"/>
      <c r="N2425" s="7"/>
      <c r="O2425" s="7"/>
      <c r="P2425" s="7"/>
      <c r="Q2425" s="7"/>
    </row>
    <row r="2426" spans="12:17" ht="15.75" customHeight="1">
      <c r="L2426" s="7"/>
      <c r="M2426" s="7"/>
      <c r="N2426" s="7"/>
      <c r="O2426" s="7"/>
      <c r="P2426" s="7"/>
      <c r="Q2426" s="7"/>
    </row>
    <row r="2427" spans="12:17" ht="15.75" customHeight="1">
      <c r="L2427" s="7"/>
      <c r="M2427" s="7"/>
      <c r="N2427" s="7"/>
      <c r="O2427" s="7"/>
      <c r="P2427" s="7"/>
      <c r="Q2427" s="7"/>
    </row>
    <row r="2428" spans="12:17" ht="15.75" customHeight="1">
      <c r="L2428" s="7"/>
      <c r="M2428" s="7"/>
      <c r="N2428" s="7"/>
      <c r="O2428" s="7"/>
      <c r="P2428" s="7"/>
      <c r="Q2428" s="7"/>
    </row>
    <row r="2429" spans="12:17" ht="15.75" customHeight="1">
      <c r="L2429" s="7"/>
      <c r="M2429" s="7"/>
      <c r="N2429" s="7"/>
      <c r="O2429" s="7"/>
      <c r="P2429" s="7"/>
      <c r="Q2429" s="7"/>
    </row>
    <row r="2430" spans="12:17" ht="15.75" customHeight="1">
      <c r="L2430" s="7"/>
      <c r="M2430" s="7"/>
      <c r="N2430" s="7"/>
      <c r="O2430" s="7"/>
      <c r="P2430" s="7"/>
      <c r="Q2430" s="7"/>
    </row>
    <row r="2431" spans="12:17" ht="15.75" customHeight="1">
      <c r="L2431" s="7"/>
      <c r="M2431" s="7"/>
      <c r="N2431" s="7"/>
      <c r="O2431" s="7"/>
      <c r="P2431" s="7"/>
      <c r="Q2431" s="7"/>
    </row>
    <row r="2432" spans="12:17" ht="15.75" customHeight="1">
      <c r="L2432" s="7"/>
      <c r="M2432" s="7"/>
      <c r="N2432" s="7"/>
      <c r="O2432" s="7"/>
      <c r="P2432" s="7"/>
      <c r="Q2432" s="7"/>
    </row>
    <row r="2433" spans="12:17" ht="15.75" customHeight="1">
      <c r="L2433" s="7"/>
      <c r="M2433" s="7"/>
      <c r="N2433" s="7"/>
      <c r="O2433" s="7"/>
      <c r="P2433" s="7"/>
      <c r="Q2433" s="7"/>
    </row>
    <row r="2434" spans="12:17" ht="15.75" customHeight="1">
      <c r="L2434" s="7"/>
      <c r="M2434" s="7"/>
      <c r="N2434" s="7"/>
      <c r="O2434" s="7"/>
      <c r="P2434" s="7"/>
      <c r="Q2434" s="7"/>
    </row>
    <row r="2435" spans="12:17" ht="15.75" customHeight="1">
      <c r="L2435" s="7"/>
      <c r="M2435" s="7"/>
      <c r="N2435" s="7"/>
      <c r="O2435" s="7"/>
      <c r="P2435" s="7"/>
      <c r="Q2435" s="7"/>
    </row>
    <row r="2436" spans="12:17" ht="15.75" customHeight="1">
      <c r="L2436" s="7"/>
      <c r="M2436" s="7"/>
      <c r="N2436" s="7"/>
      <c r="O2436" s="7"/>
      <c r="P2436" s="7"/>
      <c r="Q2436" s="7"/>
    </row>
    <row r="2437" spans="12:17" ht="15.75" customHeight="1">
      <c r="L2437" s="7"/>
      <c r="M2437" s="7"/>
      <c r="N2437" s="7"/>
      <c r="O2437" s="7"/>
      <c r="P2437" s="7"/>
      <c r="Q2437" s="7"/>
    </row>
    <row r="2438" spans="12:17" ht="15.75" customHeight="1">
      <c r="L2438" s="7"/>
      <c r="M2438" s="7"/>
      <c r="N2438" s="7"/>
      <c r="O2438" s="7"/>
      <c r="P2438" s="7"/>
      <c r="Q2438" s="7"/>
    </row>
    <row r="2439" spans="12:17" ht="15.75" customHeight="1">
      <c r="L2439" s="7"/>
      <c r="M2439" s="7"/>
      <c r="N2439" s="7"/>
      <c r="O2439" s="7"/>
      <c r="P2439" s="7"/>
      <c r="Q2439" s="7"/>
    </row>
    <row r="2440" spans="12:17" ht="15.75" customHeight="1">
      <c r="L2440" s="7"/>
      <c r="M2440" s="7"/>
      <c r="N2440" s="7"/>
      <c r="O2440" s="7"/>
      <c r="P2440" s="7"/>
      <c r="Q2440" s="7"/>
    </row>
    <row r="2441" spans="12:17" ht="15.75" customHeight="1">
      <c r="L2441" s="7"/>
      <c r="M2441" s="7"/>
      <c r="N2441" s="7"/>
      <c r="O2441" s="7"/>
      <c r="P2441" s="7"/>
      <c r="Q2441" s="7"/>
    </row>
    <row r="2442" spans="12:17" ht="15.75" customHeight="1">
      <c r="L2442" s="7"/>
      <c r="M2442" s="7"/>
      <c r="N2442" s="7"/>
      <c r="O2442" s="7"/>
      <c r="P2442" s="7"/>
      <c r="Q2442" s="7"/>
    </row>
    <row r="2443" spans="12:17" ht="15.75" customHeight="1">
      <c r="L2443" s="7"/>
      <c r="M2443" s="7"/>
      <c r="N2443" s="7"/>
      <c r="O2443" s="7"/>
      <c r="P2443" s="7"/>
      <c r="Q2443" s="7"/>
    </row>
    <row r="2444" spans="12:17" ht="15.75" customHeight="1">
      <c r="L2444" s="7"/>
      <c r="M2444" s="7"/>
      <c r="N2444" s="7"/>
      <c r="O2444" s="7"/>
      <c r="P2444" s="7"/>
      <c r="Q2444" s="7"/>
    </row>
    <row r="2445" spans="12:17" ht="15.75" customHeight="1">
      <c r="L2445" s="7"/>
      <c r="M2445" s="7"/>
      <c r="N2445" s="7"/>
      <c r="O2445" s="7"/>
      <c r="P2445" s="7"/>
      <c r="Q2445" s="7"/>
    </row>
    <row r="2446" spans="12:17" ht="15.75" customHeight="1">
      <c r="L2446" s="7"/>
      <c r="M2446" s="7"/>
      <c r="N2446" s="7"/>
      <c r="O2446" s="7"/>
      <c r="P2446" s="7"/>
      <c r="Q2446" s="7"/>
    </row>
    <row r="2447" spans="12:17" ht="15.75" customHeight="1">
      <c r="L2447" s="7"/>
      <c r="M2447" s="7"/>
      <c r="N2447" s="7"/>
      <c r="O2447" s="7"/>
      <c r="P2447" s="7"/>
      <c r="Q2447" s="7"/>
    </row>
    <row r="2448" spans="12:17" ht="15.75" customHeight="1">
      <c r="L2448" s="7"/>
      <c r="M2448" s="7"/>
      <c r="N2448" s="7"/>
      <c r="O2448" s="7"/>
      <c r="P2448" s="7"/>
      <c r="Q2448" s="7"/>
    </row>
    <row r="2449" spans="12:17" ht="15.75" customHeight="1">
      <c r="L2449" s="7"/>
      <c r="M2449" s="7"/>
      <c r="N2449" s="7"/>
      <c r="O2449" s="7"/>
      <c r="P2449" s="7"/>
      <c r="Q2449" s="7"/>
    </row>
    <row r="2450" spans="12:17" ht="15.75" customHeight="1">
      <c r="L2450" s="7"/>
      <c r="M2450" s="7"/>
      <c r="N2450" s="7"/>
      <c r="O2450" s="7"/>
      <c r="P2450" s="7"/>
      <c r="Q2450" s="7"/>
    </row>
    <row r="2451" spans="12:17" ht="15.75" customHeight="1">
      <c r="L2451" s="7"/>
      <c r="M2451" s="7"/>
      <c r="N2451" s="7"/>
      <c r="O2451" s="7"/>
      <c r="P2451" s="7"/>
      <c r="Q2451" s="7"/>
    </row>
    <row r="2452" spans="12:17" ht="15.75" customHeight="1">
      <c r="L2452" s="7"/>
      <c r="M2452" s="7"/>
      <c r="N2452" s="7"/>
      <c r="O2452" s="7"/>
      <c r="P2452" s="7"/>
      <c r="Q2452" s="7"/>
    </row>
    <row r="2453" spans="12:17" ht="15.75" customHeight="1">
      <c r="L2453" s="7"/>
      <c r="M2453" s="7"/>
      <c r="N2453" s="7"/>
      <c r="O2453" s="7"/>
      <c r="P2453" s="7"/>
      <c r="Q2453" s="7"/>
    </row>
    <row r="2454" spans="12:17" ht="15.75" customHeight="1">
      <c r="L2454" s="7"/>
      <c r="M2454" s="7"/>
      <c r="N2454" s="7"/>
      <c r="O2454" s="7"/>
      <c r="P2454" s="7"/>
      <c r="Q2454" s="7"/>
    </row>
    <row r="2455" spans="12:17" ht="15.75" customHeight="1">
      <c r="L2455" s="7"/>
      <c r="M2455" s="7"/>
      <c r="N2455" s="7"/>
      <c r="O2455" s="7"/>
      <c r="P2455" s="7"/>
      <c r="Q2455" s="7"/>
    </row>
    <row r="2456" spans="12:17" ht="15.75" customHeight="1">
      <c r="L2456" s="7"/>
      <c r="M2456" s="7"/>
      <c r="N2456" s="7"/>
      <c r="O2456" s="7"/>
      <c r="P2456" s="7"/>
      <c r="Q2456" s="7"/>
    </row>
    <row r="2457" spans="12:17" ht="15.75" customHeight="1">
      <c r="L2457" s="7"/>
      <c r="M2457" s="7"/>
      <c r="N2457" s="7"/>
      <c r="O2457" s="7"/>
      <c r="P2457" s="7"/>
      <c r="Q2457" s="7"/>
    </row>
    <row r="2458" spans="12:17" ht="15.75" customHeight="1">
      <c r="L2458" s="7"/>
      <c r="M2458" s="7"/>
      <c r="N2458" s="7"/>
      <c r="O2458" s="7"/>
      <c r="P2458" s="7"/>
      <c r="Q2458" s="7"/>
    </row>
    <row r="2459" spans="12:17" ht="15.75" customHeight="1">
      <c r="L2459" s="7"/>
      <c r="M2459" s="7"/>
      <c r="N2459" s="7"/>
      <c r="O2459" s="7"/>
      <c r="P2459" s="7"/>
      <c r="Q2459" s="7"/>
    </row>
    <row r="2460" spans="12:17" ht="15.75" customHeight="1">
      <c r="L2460" s="7"/>
      <c r="M2460" s="7"/>
      <c r="N2460" s="7"/>
      <c r="O2460" s="7"/>
      <c r="P2460" s="7"/>
      <c r="Q2460" s="7"/>
    </row>
    <row r="2461" spans="12:17" ht="15.75" customHeight="1">
      <c r="L2461" s="7"/>
      <c r="M2461" s="7"/>
      <c r="N2461" s="7"/>
      <c r="O2461" s="7"/>
      <c r="P2461" s="7"/>
      <c r="Q2461" s="7"/>
    </row>
    <row r="2462" spans="12:17" ht="15.75" customHeight="1">
      <c r="L2462" s="7"/>
      <c r="M2462" s="7"/>
      <c r="N2462" s="7"/>
      <c r="O2462" s="7"/>
      <c r="P2462" s="7"/>
      <c r="Q2462" s="7"/>
    </row>
    <row r="2463" spans="12:17" ht="15.75" customHeight="1">
      <c r="L2463" s="7"/>
      <c r="M2463" s="7"/>
      <c r="N2463" s="7"/>
      <c r="O2463" s="7"/>
      <c r="P2463" s="7"/>
      <c r="Q2463" s="7"/>
    </row>
    <row r="2464" spans="12:17" ht="15.75" customHeight="1">
      <c r="L2464" s="7"/>
      <c r="M2464" s="7"/>
      <c r="N2464" s="7"/>
      <c r="O2464" s="7"/>
      <c r="P2464" s="7"/>
      <c r="Q2464" s="7"/>
    </row>
    <row r="2465" spans="12:17" ht="15.75" customHeight="1">
      <c r="L2465" s="7"/>
      <c r="M2465" s="7"/>
      <c r="N2465" s="7"/>
      <c r="O2465" s="7"/>
      <c r="P2465" s="7"/>
      <c r="Q2465" s="7"/>
    </row>
    <row r="2466" spans="12:17" ht="15.75" customHeight="1">
      <c r="L2466" s="7"/>
      <c r="M2466" s="7"/>
      <c r="N2466" s="7"/>
      <c r="O2466" s="7"/>
      <c r="P2466" s="7"/>
      <c r="Q2466" s="7"/>
    </row>
    <row r="2467" spans="12:17" ht="15.75" customHeight="1">
      <c r="L2467" s="7"/>
      <c r="M2467" s="7"/>
      <c r="N2467" s="7"/>
      <c r="O2467" s="7"/>
      <c r="P2467" s="7"/>
      <c r="Q2467" s="7"/>
    </row>
    <row r="2468" spans="12:17" ht="15.75" customHeight="1">
      <c r="L2468" s="7"/>
      <c r="M2468" s="7"/>
      <c r="N2468" s="7"/>
      <c r="O2468" s="7"/>
      <c r="P2468" s="7"/>
      <c r="Q2468" s="7"/>
    </row>
    <row r="2469" spans="12:17" ht="15.75" customHeight="1">
      <c r="L2469" s="7"/>
      <c r="M2469" s="7"/>
      <c r="N2469" s="7"/>
      <c r="O2469" s="7"/>
      <c r="P2469" s="7"/>
      <c r="Q2469" s="7"/>
    </row>
    <row r="2470" spans="12:17" ht="15.75" customHeight="1">
      <c r="L2470" s="7"/>
      <c r="M2470" s="7"/>
      <c r="N2470" s="7"/>
      <c r="O2470" s="7"/>
      <c r="P2470" s="7"/>
      <c r="Q2470" s="7"/>
    </row>
    <row r="2471" spans="12:17" ht="15.75" customHeight="1">
      <c r="L2471" s="7"/>
      <c r="M2471" s="7"/>
      <c r="N2471" s="7"/>
      <c r="O2471" s="7"/>
      <c r="P2471" s="7"/>
      <c r="Q2471" s="7"/>
    </row>
    <row r="2472" spans="12:17" ht="15.75" customHeight="1">
      <c r="L2472" s="7"/>
      <c r="M2472" s="7"/>
      <c r="N2472" s="7"/>
      <c r="O2472" s="7"/>
      <c r="P2472" s="7"/>
      <c r="Q2472" s="7"/>
    </row>
    <row r="2473" spans="12:17" ht="15.75" customHeight="1">
      <c r="L2473" s="7"/>
      <c r="M2473" s="7"/>
      <c r="N2473" s="7"/>
      <c r="O2473" s="7"/>
      <c r="P2473" s="7"/>
      <c r="Q2473" s="7"/>
    </row>
    <row r="2474" spans="12:17" ht="15.75" customHeight="1">
      <c r="L2474" s="7"/>
      <c r="M2474" s="7"/>
      <c r="N2474" s="7"/>
      <c r="O2474" s="7"/>
      <c r="P2474" s="7"/>
      <c r="Q2474" s="7"/>
    </row>
    <row r="2475" spans="12:17" ht="15.75" customHeight="1">
      <c r="L2475" s="7"/>
      <c r="M2475" s="7"/>
      <c r="N2475" s="7"/>
      <c r="O2475" s="7"/>
      <c r="P2475" s="7"/>
      <c r="Q2475" s="7"/>
    </row>
    <row r="2476" spans="12:17" ht="15.75" customHeight="1">
      <c r="L2476" s="7"/>
      <c r="M2476" s="7"/>
      <c r="N2476" s="7"/>
      <c r="O2476" s="7"/>
      <c r="P2476" s="7"/>
      <c r="Q2476" s="7"/>
    </row>
    <row r="2477" spans="12:17" ht="15.75" customHeight="1">
      <c r="L2477" s="7"/>
      <c r="M2477" s="7"/>
      <c r="N2477" s="7"/>
      <c r="O2477" s="7"/>
      <c r="P2477" s="7"/>
      <c r="Q2477" s="7"/>
    </row>
    <row r="2478" spans="12:17" ht="15.75" customHeight="1">
      <c r="L2478" s="7"/>
      <c r="M2478" s="7"/>
      <c r="N2478" s="7"/>
      <c r="O2478" s="7"/>
      <c r="P2478" s="7"/>
      <c r="Q2478" s="7"/>
    </row>
    <row r="2479" spans="12:17" ht="15.75" customHeight="1">
      <c r="L2479" s="7"/>
      <c r="M2479" s="7"/>
      <c r="N2479" s="7"/>
      <c r="O2479" s="7"/>
      <c r="P2479" s="7"/>
      <c r="Q2479" s="7"/>
    </row>
    <row r="2480" spans="12:17" ht="15.75" customHeight="1">
      <c r="L2480" s="7"/>
      <c r="M2480" s="7"/>
      <c r="N2480" s="7"/>
      <c r="O2480" s="7"/>
      <c r="P2480" s="7"/>
      <c r="Q2480" s="7"/>
    </row>
    <row r="2481" spans="12:17" ht="15.75" customHeight="1">
      <c r="L2481" s="7"/>
      <c r="M2481" s="7"/>
      <c r="N2481" s="7"/>
      <c r="O2481" s="7"/>
      <c r="P2481" s="7"/>
      <c r="Q2481" s="7"/>
    </row>
    <row r="2482" spans="12:17" ht="15.75" customHeight="1">
      <c r="L2482" s="7"/>
      <c r="M2482" s="7"/>
      <c r="N2482" s="7"/>
      <c r="O2482" s="7"/>
      <c r="P2482" s="7"/>
      <c r="Q2482" s="7"/>
    </row>
    <row r="2483" spans="12:17" ht="15.75" customHeight="1">
      <c r="L2483" s="7"/>
      <c r="M2483" s="7"/>
      <c r="N2483" s="7"/>
      <c r="O2483" s="7"/>
      <c r="P2483" s="7"/>
      <c r="Q2483" s="7"/>
    </row>
    <row r="2484" spans="12:17" ht="15.75" customHeight="1">
      <c r="L2484" s="7"/>
      <c r="M2484" s="7"/>
      <c r="N2484" s="7"/>
      <c r="O2484" s="7"/>
      <c r="P2484" s="7"/>
      <c r="Q2484" s="7"/>
    </row>
    <row r="2485" spans="12:17" ht="15.75" customHeight="1">
      <c r="L2485" s="7"/>
      <c r="M2485" s="7"/>
      <c r="N2485" s="7"/>
      <c r="O2485" s="7"/>
      <c r="P2485" s="7"/>
      <c r="Q2485" s="7"/>
    </row>
    <row r="2486" spans="12:17" ht="15.75" customHeight="1">
      <c r="L2486" s="7"/>
      <c r="M2486" s="7"/>
      <c r="N2486" s="7"/>
      <c r="O2486" s="7"/>
      <c r="P2486" s="7"/>
      <c r="Q2486" s="7"/>
    </row>
    <row r="2487" spans="12:17" ht="15.75" customHeight="1">
      <c r="L2487" s="7"/>
      <c r="M2487" s="7"/>
      <c r="N2487" s="7"/>
      <c r="O2487" s="7"/>
      <c r="P2487" s="7"/>
      <c r="Q2487" s="7"/>
    </row>
    <row r="2488" spans="12:17" ht="15.75" customHeight="1">
      <c r="L2488" s="7"/>
      <c r="M2488" s="7"/>
      <c r="N2488" s="7"/>
      <c r="O2488" s="7"/>
      <c r="P2488" s="7"/>
      <c r="Q2488" s="7"/>
    </row>
    <row r="2489" spans="12:17" ht="15.75" customHeight="1">
      <c r="L2489" s="7"/>
      <c r="M2489" s="7"/>
      <c r="N2489" s="7"/>
      <c r="O2489" s="7"/>
      <c r="P2489" s="7"/>
      <c r="Q2489" s="7"/>
    </row>
    <row r="2490" spans="12:17" ht="15.75" customHeight="1">
      <c r="L2490" s="7"/>
      <c r="M2490" s="7"/>
      <c r="N2490" s="7"/>
      <c r="O2490" s="7"/>
      <c r="P2490" s="7"/>
      <c r="Q2490" s="7"/>
    </row>
    <row r="2491" spans="12:17" ht="15.75" customHeight="1">
      <c r="L2491" s="7"/>
      <c r="M2491" s="7"/>
      <c r="N2491" s="7"/>
      <c r="O2491" s="7"/>
      <c r="P2491" s="7"/>
      <c r="Q2491" s="7"/>
    </row>
    <row r="2492" spans="12:17" ht="15.75" customHeight="1">
      <c r="L2492" s="7"/>
      <c r="M2492" s="7"/>
      <c r="N2492" s="7"/>
      <c r="O2492" s="7"/>
      <c r="P2492" s="7"/>
      <c r="Q2492" s="7"/>
    </row>
    <row r="2493" spans="12:17" ht="15.75" customHeight="1">
      <c r="L2493" s="7"/>
      <c r="M2493" s="7"/>
      <c r="N2493" s="7"/>
      <c r="O2493" s="7"/>
      <c r="P2493" s="7"/>
      <c r="Q2493" s="7"/>
    </row>
    <row r="2494" spans="12:17" ht="15.75" customHeight="1">
      <c r="L2494" s="7"/>
      <c r="M2494" s="7"/>
      <c r="N2494" s="7"/>
      <c r="O2494" s="7"/>
      <c r="P2494" s="7"/>
      <c r="Q2494" s="7"/>
    </row>
    <row r="2495" spans="12:17" ht="15.75" customHeight="1">
      <c r="L2495" s="7"/>
      <c r="M2495" s="7"/>
      <c r="N2495" s="7"/>
      <c r="O2495" s="7"/>
      <c r="P2495" s="7"/>
      <c r="Q2495" s="7"/>
    </row>
    <row r="2496" spans="12:17" ht="15.75" customHeight="1">
      <c r="L2496" s="7"/>
      <c r="M2496" s="7"/>
      <c r="N2496" s="7"/>
      <c r="O2496" s="7"/>
      <c r="P2496" s="7"/>
      <c r="Q2496" s="7"/>
    </row>
    <row r="2497" spans="12:17" ht="15.75" customHeight="1">
      <c r="L2497" s="7"/>
      <c r="M2497" s="7"/>
      <c r="N2497" s="7"/>
      <c r="O2497" s="7"/>
      <c r="P2497" s="7"/>
      <c r="Q2497" s="7"/>
    </row>
    <row r="2498" spans="12:17" ht="15.75" customHeight="1">
      <c r="L2498" s="7"/>
      <c r="M2498" s="7"/>
      <c r="N2498" s="7"/>
      <c r="O2498" s="7"/>
      <c r="P2498" s="7"/>
      <c r="Q2498" s="7"/>
    </row>
    <row r="2499" spans="12:17" ht="15.75" customHeight="1">
      <c r="L2499" s="7"/>
      <c r="M2499" s="7"/>
      <c r="N2499" s="7"/>
      <c r="O2499" s="7"/>
      <c r="P2499" s="7"/>
      <c r="Q2499" s="7"/>
    </row>
    <row r="2500" spans="12:17" ht="15.75" customHeight="1">
      <c r="L2500" s="7"/>
      <c r="M2500" s="7"/>
      <c r="N2500" s="7"/>
      <c r="O2500" s="7"/>
      <c r="P2500" s="7"/>
      <c r="Q2500" s="7"/>
    </row>
    <row r="2501" spans="12:17" ht="15.75" customHeight="1">
      <c r="L2501" s="7"/>
      <c r="M2501" s="7"/>
      <c r="N2501" s="7"/>
      <c r="O2501" s="7"/>
      <c r="P2501" s="7"/>
      <c r="Q2501" s="7"/>
    </row>
    <row r="2502" spans="12:17" ht="15.75" customHeight="1">
      <c r="L2502" s="7"/>
      <c r="M2502" s="7"/>
      <c r="N2502" s="7"/>
      <c r="O2502" s="7"/>
      <c r="P2502" s="7"/>
      <c r="Q2502" s="7"/>
    </row>
    <row r="2503" spans="12:17" ht="15.75" customHeight="1">
      <c r="L2503" s="7"/>
      <c r="M2503" s="7"/>
      <c r="N2503" s="7"/>
      <c r="O2503" s="7"/>
      <c r="P2503" s="7"/>
      <c r="Q2503" s="7"/>
    </row>
    <row r="2504" spans="12:17" ht="15.75" customHeight="1">
      <c r="L2504" s="7"/>
      <c r="M2504" s="7"/>
      <c r="N2504" s="7"/>
      <c r="O2504" s="7"/>
      <c r="P2504" s="7"/>
      <c r="Q2504" s="7"/>
    </row>
    <row r="2505" spans="12:17" ht="15.75" customHeight="1">
      <c r="L2505" s="7"/>
      <c r="M2505" s="7"/>
      <c r="N2505" s="7"/>
      <c r="O2505" s="7"/>
      <c r="P2505" s="7"/>
      <c r="Q2505" s="7"/>
    </row>
    <row r="2506" spans="12:17" ht="15.75" customHeight="1">
      <c r="L2506" s="7"/>
      <c r="M2506" s="7"/>
      <c r="N2506" s="7"/>
      <c r="O2506" s="7"/>
      <c r="P2506" s="7"/>
      <c r="Q2506" s="7"/>
    </row>
    <row r="2507" spans="12:17" ht="15.75" customHeight="1">
      <c r="L2507" s="7"/>
      <c r="M2507" s="7"/>
      <c r="N2507" s="7"/>
      <c r="O2507" s="7"/>
      <c r="P2507" s="7"/>
      <c r="Q2507" s="7"/>
    </row>
    <row r="2508" spans="12:17" ht="15.75" customHeight="1">
      <c r="L2508" s="7"/>
      <c r="M2508" s="7"/>
      <c r="N2508" s="7"/>
      <c r="O2508" s="7"/>
      <c r="P2508" s="7"/>
      <c r="Q2508" s="7"/>
    </row>
    <row r="2509" spans="12:17" ht="15.75" customHeight="1">
      <c r="L2509" s="7"/>
      <c r="M2509" s="7"/>
      <c r="N2509" s="7"/>
      <c r="O2509" s="7"/>
      <c r="P2509" s="7"/>
      <c r="Q2509" s="7"/>
    </row>
    <row r="2510" spans="12:17" ht="15.75" customHeight="1">
      <c r="L2510" s="7"/>
      <c r="M2510" s="7"/>
      <c r="N2510" s="7"/>
      <c r="O2510" s="7"/>
      <c r="P2510" s="7"/>
      <c r="Q2510" s="7"/>
    </row>
    <row r="2511" spans="12:17" ht="15.75" customHeight="1">
      <c r="L2511" s="7"/>
      <c r="M2511" s="7"/>
      <c r="N2511" s="7"/>
      <c r="O2511" s="7"/>
      <c r="P2511" s="7"/>
      <c r="Q2511" s="7"/>
    </row>
    <row r="2512" spans="12:17" ht="15.75" customHeight="1">
      <c r="L2512" s="7"/>
      <c r="M2512" s="7"/>
      <c r="N2512" s="7"/>
      <c r="O2512" s="7"/>
      <c r="P2512" s="7"/>
      <c r="Q2512" s="7"/>
    </row>
    <row r="2513" spans="12:17" ht="15.75" customHeight="1">
      <c r="L2513" s="7"/>
      <c r="M2513" s="7"/>
      <c r="N2513" s="7"/>
      <c r="O2513" s="7"/>
      <c r="P2513" s="7"/>
      <c r="Q2513" s="7"/>
    </row>
    <row r="2514" spans="12:17" ht="15.75" customHeight="1">
      <c r="L2514" s="7"/>
      <c r="M2514" s="7"/>
      <c r="N2514" s="7"/>
      <c r="O2514" s="7"/>
      <c r="P2514" s="7"/>
      <c r="Q2514" s="7"/>
    </row>
    <row r="2515" spans="12:17" ht="15.75" customHeight="1">
      <c r="L2515" s="7"/>
      <c r="M2515" s="7"/>
      <c r="N2515" s="7"/>
      <c r="O2515" s="7"/>
      <c r="P2515" s="7"/>
      <c r="Q2515" s="7"/>
    </row>
    <row r="2516" spans="12:17" ht="15.75" customHeight="1">
      <c r="L2516" s="7"/>
      <c r="M2516" s="7"/>
      <c r="N2516" s="7"/>
      <c r="O2516" s="7"/>
      <c r="P2516" s="7"/>
      <c r="Q2516" s="7"/>
    </row>
    <row r="2517" spans="12:17" ht="15.75" customHeight="1">
      <c r="L2517" s="7"/>
      <c r="M2517" s="7"/>
      <c r="N2517" s="7"/>
      <c r="O2517" s="7"/>
      <c r="P2517" s="7"/>
      <c r="Q2517" s="7"/>
    </row>
    <row r="2518" spans="12:17" ht="15.75" customHeight="1">
      <c r="L2518" s="7"/>
      <c r="M2518" s="7"/>
      <c r="N2518" s="7"/>
      <c r="O2518" s="7"/>
      <c r="P2518" s="7"/>
      <c r="Q2518" s="7"/>
    </row>
    <row r="2519" spans="12:17" ht="15.75" customHeight="1">
      <c r="L2519" s="7"/>
      <c r="M2519" s="7"/>
      <c r="N2519" s="7"/>
      <c r="O2519" s="7"/>
      <c r="P2519" s="7"/>
      <c r="Q2519" s="7"/>
    </row>
    <row r="2520" spans="12:17" ht="15.75" customHeight="1">
      <c r="L2520" s="7"/>
      <c r="M2520" s="7"/>
      <c r="N2520" s="7"/>
      <c r="O2520" s="7"/>
      <c r="P2520" s="7"/>
      <c r="Q2520" s="7"/>
    </row>
    <row r="2521" spans="12:17" ht="15.75" customHeight="1">
      <c r="L2521" s="7"/>
      <c r="M2521" s="7"/>
      <c r="N2521" s="7"/>
      <c r="O2521" s="7"/>
      <c r="P2521" s="7"/>
      <c r="Q2521" s="7"/>
    </row>
    <row r="2522" spans="12:17" ht="15.75" customHeight="1">
      <c r="L2522" s="7"/>
      <c r="M2522" s="7"/>
      <c r="N2522" s="7"/>
      <c r="O2522" s="7"/>
      <c r="P2522" s="7"/>
      <c r="Q2522" s="7"/>
    </row>
    <row r="2523" spans="12:17" ht="15.75" customHeight="1">
      <c r="L2523" s="7"/>
      <c r="M2523" s="7"/>
      <c r="N2523" s="7"/>
      <c r="O2523" s="7"/>
      <c r="P2523" s="7"/>
      <c r="Q2523" s="7"/>
    </row>
    <row r="2524" spans="12:17" ht="15.75" customHeight="1">
      <c r="L2524" s="7"/>
      <c r="M2524" s="7"/>
      <c r="N2524" s="7"/>
      <c r="O2524" s="7"/>
      <c r="P2524" s="7"/>
      <c r="Q2524" s="7"/>
    </row>
    <row r="2525" spans="12:17" ht="15.75" customHeight="1">
      <c r="L2525" s="7"/>
      <c r="M2525" s="7"/>
      <c r="N2525" s="7"/>
      <c r="O2525" s="7"/>
      <c r="P2525" s="7"/>
      <c r="Q2525" s="7"/>
    </row>
    <row r="2526" spans="12:17" ht="15.75" customHeight="1">
      <c r="L2526" s="7"/>
      <c r="M2526" s="7"/>
      <c r="N2526" s="7"/>
      <c r="O2526" s="7"/>
      <c r="P2526" s="7"/>
      <c r="Q2526" s="7"/>
    </row>
    <row r="2527" spans="12:17" ht="15.75" customHeight="1">
      <c r="L2527" s="7"/>
      <c r="M2527" s="7"/>
      <c r="N2527" s="7"/>
      <c r="O2527" s="7"/>
      <c r="P2527" s="7"/>
      <c r="Q2527" s="7"/>
    </row>
    <row r="2528" spans="12:17" ht="15.75" customHeight="1">
      <c r="L2528" s="7"/>
      <c r="M2528" s="7"/>
      <c r="N2528" s="7"/>
      <c r="O2528" s="7"/>
      <c r="P2528" s="7"/>
      <c r="Q2528" s="7"/>
    </row>
    <row r="2529" spans="12:17" ht="15.75" customHeight="1">
      <c r="L2529" s="7"/>
      <c r="M2529" s="7"/>
      <c r="N2529" s="7"/>
      <c r="O2529" s="7"/>
      <c r="P2529" s="7"/>
      <c r="Q2529" s="7"/>
    </row>
    <row r="2530" spans="12:17" ht="15.75" customHeight="1">
      <c r="L2530" s="7"/>
      <c r="M2530" s="7"/>
      <c r="N2530" s="7"/>
      <c r="O2530" s="7"/>
      <c r="P2530" s="7"/>
      <c r="Q2530" s="7"/>
    </row>
    <row r="2531" spans="12:17" ht="15.75" customHeight="1">
      <c r="L2531" s="7"/>
      <c r="M2531" s="7"/>
      <c r="N2531" s="7"/>
      <c r="O2531" s="7"/>
      <c r="P2531" s="7"/>
      <c r="Q2531" s="7"/>
    </row>
    <row r="2532" spans="12:17" ht="15.75" customHeight="1">
      <c r="L2532" s="7"/>
      <c r="M2532" s="7"/>
      <c r="N2532" s="7"/>
      <c r="O2532" s="7"/>
      <c r="P2532" s="7"/>
      <c r="Q2532" s="7"/>
    </row>
    <row r="2533" spans="12:17" ht="15.75" customHeight="1">
      <c r="L2533" s="7"/>
      <c r="M2533" s="7"/>
      <c r="N2533" s="7"/>
      <c r="O2533" s="7"/>
      <c r="P2533" s="7"/>
      <c r="Q2533" s="7"/>
    </row>
    <row r="2534" spans="12:17" ht="15.75" customHeight="1">
      <c r="L2534" s="7"/>
      <c r="M2534" s="7"/>
      <c r="N2534" s="7"/>
      <c r="O2534" s="7"/>
      <c r="P2534" s="7"/>
      <c r="Q2534" s="7"/>
    </row>
    <row r="2535" spans="12:17" ht="15.75" customHeight="1">
      <c r="L2535" s="7"/>
      <c r="M2535" s="7"/>
      <c r="N2535" s="7"/>
      <c r="O2535" s="7"/>
      <c r="P2535" s="7"/>
      <c r="Q2535" s="7"/>
    </row>
    <row r="2536" spans="12:17" ht="15.75" customHeight="1">
      <c r="L2536" s="7"/>
      <c r="M2536" s="7"/>
      <c r="N2536" s="7"/>
      <c r="O2536" s="7"/>
      <c r="P2536" s="7"/>
      <c r="Q2536" s="7"/>
    </row>
    <row r="2537" spans="12:17" ht="15.75" customHeight="1">
      <c r="L2537" s="7"/>
      <c r="M2537" s="7"/>
      <c r="N2537" s="7"/>
      <c r="O2537" s="7"/>
      <c r="P2537" s="7"/>
      <c r="Q2537" s="7"/>
    </row>
    <row r="2538" spans="12:17" ht="15.75" customHeight="1">
      <c r="L2538" s="7"/>
      <c r="M2538" s="7"/>
      <c r="N2538" s="7"/>
      <c r="O2538" s="7"/>
      <c r="P2538" s="7"/>
      <c r="Q2538" s="7"/>
    </row>
    <row r="2539" spans="12:17" ht="15.75" customHeight="1">
      <c r="L2539" s="7"/>
      <c r="M2539" s="7"/>
      <c r="N2539" s="7"/>
      <c r="O2539" s="7"/>
      <c r="P2539" s="7"/>
      <c r="Q2539" s="7"/>
    </row>
    <row r="2540" spans="12:17" ht="15.75" customHeight="1">
      <c r="L2540" s="7"/>
      <c r="M2540" s="7"/>
      <c r="N2540" s="7"/>
      <c r="O2540" s="7"/>
      <c r="P2540" s="7"/>
      <c r="Q2540" s="7"/>
    </row>
    <row r="2541" spans="12:17" ht="15.75" customHeight="1">
      <c r="L2541" s="7"/>
      <c r="M2541" s="7"/>
      <c r="N2541" s="7"/>
      <c r="O2541" s="7"/>
      <c r="P2541" s="7"/>
      <c r="Q2541" s="7"/>
    </row>
    <row r="2542" spans="12:17" ht="15.75" customHeight="1">
      <c r="L2542" s="7"/>
      <c r="M2542" s="7"/>
      <c r="N2542" s="7"/>
      <c r="O2542" s="7"/>
      <c r="P2542" s="7"/>
      <c r="Q2542" s="7"/>
    </row>
    <row r="2543" spans="12:17" ht="15.75" customHeight="1">
      <c r="L2543" s="7"/>
      <c r="M2543" s="7"/>
      <c r="N2543" s="7"/>
      <c r="O2543" s="7"/>
      <c r="P2543" s="7"/>
      <c r="Q2543" s="7"/>
    </row>
    <row r="2544" spans="12:17" ht="15.75" customHeight="1">
      <c r="L2544" s="7"/>
      <c r="M2544" s="7"/>
      <c r="N2544" s="7"/>
      <c r="O2544" s="7"/>
      <c r="P2544" s="7"/>
      <c r="Q2544" s="7"/>
    </row>
    <row r="2545" spans="12:17" ht="15.75" customHeight="1">
      <c r="L2545" s="7"/>
      <c r="M2545" s="7"/>
      <c r="N2545" s="7"/>
      <c r="O2545" s="7"/>
      <c r="P2545" s="7"/>
      <c r="Q2545" s="7"/>
    </row>
    <row r="2546" spans="12:17" ht="15.75" customHeight="1">
      <c r="L2546" s="7"/>
      <c r="M2546" s="7"/>
      <c r="N2546" s="7"/>
      <c r="O2546" s="7"/>
      <c r="P2546" s="7"/>
      <c r="Q2546" s="7"/>
    </row>
    <row r="2547" spans="12:17" ht="15.75" customHeight="1">
      <c r="L2547" s="7"/>
      <c r="M2547" s="7"/>
      <c r="N2547" s="7"/>
      <c r="O2547" s="7"/>
      <c r="P2547" s="7"/>
      <c r="Q2547" s="7"/>
    </row>
    <row r="2548" spans="12:17" ht="15.75" customHeight="1">
      <c r="L2548" s="7"/>
      <c r="M2548" s="7"/>
      <c r="N2548" s="7"/>
      <c r="O2548" s="7"/>
      <c r="P2548" s="7"/>
      <c r="Q2548" s="7"/>
    </row>
    <row r="2549" spans="12:17" ht="15.75" customHeight="1">
      <c r="L2549" s="7"/>
      <c r="M2549" s="7"/>
      <c r="N2549" s="7"/>
      <c r="O2549" s="7"/>
      <c r="P2549" s="7"/>
      <c r="Q2549" s="7"/>
    </row>
    <row r="2550" spans="12:17" ht="15.75" customHeight="1">
      <c r="L2550" s="7"/>
      <c r="M2550" s="7"/>
      <c r="N2550" s="7"/>
      <c r="O2550" s="7"/>
      <c r="P2550" s="7"/>
      <c r="Q2550" s="7"/>
    </row>
    <row r="2551" spans="12:17" ht="15.75" customHeight="1">
      <c r="L2551" s="7"/>
      <c r="M2551" s="7"/>
      <c r="N2551" s="7"/>
      <c r="O2551" s="7"/>
      <c r="P2551" s="7"/>
      <c r="Q2551" s="7"/>
    </row>
    <row r="2552" spans="12:17" ht="15.75" customHeight="1">
      <c r="L2552" s="7"/>
      <c r="M2552" s="7"/>
      <c r="N2552" s="7"/>
      <c r="O2552" s="7"/>
      <c r="P2552" s="7"/>
      <c r="Q2552" s="7"/>
    </row>
    <row r="2553" spans="12:17" ht="15.75" customHeight="1">
      <c r="L2553" s="7"/>
      <c r="M2553" s="7"/>
      <c r="N2553" s="7"/>
      <c r="O2553" s="7"/>
      <c r="P2553" s="7"/>
      <c r="Q2553" s="7"/>
    </row>
    <row r="2554" spans="12:17" ht="15.75" customHeight="1">
      <c r="L2554" s="7"/>
      <c r="M2554" s="7"/>
      <c r="N2554" s="7"/>
      <c r="O2554" s="7"/>
      <c r="P2554" s="7"/>
      <c r="Q2554" s="7"/>
    </row>
    <row r="2555" spans="12:17" ht="15.75" customHeight="1">
      <c r="L2555" s="7"/>
      <c r="M2555" s="7"/>
      <c r="N2555" s="7"/>
      <c r="O2555" s="7"/>
      <c r="P2555" s="7"/>
      <c r="Q2555" s="7"/>
    </row>
    <row r="2556" spans="12:17" ht="15.75" customHeight="1">
      <c r="L2556" s="7"/>
      <c r="M2556" s="7"/>
      <c r="N2556" s="7"/>
      <c r="O2556" s="7"/>
      <c r="P2556" s="7"/>
      <c r="Q2556" s="7"/>
    </row>
    <row r="2557" spans="12:17" ht="15.75" customHeight="1">
      <c r="L2557" s="7"/>
      <c r="M2557" s="7"/>
      <c r="N2557" s="7"/>
      <c r="O2557" s="7"/>
      <c r="P2557" s="7"/>
      <c r="Q2557" s="7"/>
    </row>
    <row r="2558" spans="12:17" ht="15.75" customHeight="1">
      <c r="L2558" s="7"/>
      <c r="M2558" s="7"/>
      <c r="N2558" s="7"/>
      <c r="O2558" s="7"/>
      <c r="P2558" s="7"/>
      <c r="Q2558" s="7"/>
    </row>
    <row r="2559" spans="12:17" ht="15.75" customHeight="1">
      <c r="L2559" s="7"/>
      <c r="M2559" s="7"/>
      <c r="N2559" s="7"/>
      <c r="O2559" s="7"/>
      <c r="P2559" s="7"/>
      <c r="Q2559" s="7"/>
    </row>
    <row r="2560" spans="12:17" ht="15.75" customHeight="1">
      <c r="L2560" s="7"/>
      <c r="M2560" s="7"/>
      <c r="N2560" s="7"/>
      <c r="O2560" s="7"/>
      <c r="P2560" s="7"/>
      <c r="Q2560" s="7"/>
    </row>
    <row r="2561" spans="12:17" ht="15.75" customHeight="1">
      <c r="L2561" s="7"/>
      <c r="M2561" s="7"/>
      <c r="N2561" s="7"/>
      <c r="O2561" s="7"/>
      <c r="P2561" s="7"/>
      <c r="Q2561" s="7"/>
    </row>
    <row r="2562" spans="12:17" ht="15.75" customHeight="1">
      <c r="L2562" s="7"/>
      <c r="M2562" s="7"/>
      <c r="N2562" s="7"/>
      <c r="O2562" s="7"/>
      <c r="P2562" s="7"/>
      <c r="Q2562" s="7"/>
    </row>
    <row r="2563" spans="12:17" ht="15.75" customHeight="1">
      <c r="L2563" s="7"/>
      <c r="M2563" s="7"/>
      <c r="N2563" s="7"/>
      <c r="O2563" s="7"/>
      <c r="P2563" s="7"/>
      <c r="Q2563" s="7"/>
    </row>
    <row r="2564" spans="12:17" ht="15.75" customHeight="1">
      <c r="L2564" s="7"/>
      <c r="M2564" s="7"/>
      <c r="N2564" s="7"/>
      <c r="O2564" s="7"/>
      <c r="P2564" s="7"/>
      <c r="Q2564" s="7"/>
    </row>
    <row r="2565" spans="12:17" ht="15.75" customHeight="1">
      <c r="L2565" s="7"/>
      <c r="M2565" s="7"/>
      <c r="N2565" s="7"/>
      <c r="O2565" s="7"/>
      <c r="P2565" s="7"/>
      <c r="Q2565" s="7"/>
    </row>
    <row r="2566" spans="12:17" ht="15.75" customHeight="1">
      <c r="L2566" s="7"/>
      <c r="M2566" s="7"/>
      <c r="N2566" s="7"/>
      <c r="O2566" s="7"/>
      <c r="P2566" s="7"/>
      <c r="Q2566" s="7"/>
    </row>
    <row r="2567" spans="12:17" ht="15.75" customHeight="1">
      <c r="L2567" s="7"/>
      <c r="M2567" s="7"/>
      <c r="N2567" s="7"/>
      <c r="O2567" s="7"/>
      <c r="P2567" s="7"/>
      <c r="Q2567" s="7"/>
    </row>
    <row r="2568" spans="12:17" ht="15.75" customHeight="1">
      <c r="L2568" s="7"/>
      <c r="M2568" s="7"/>
      <c r="N2568" s="7"/>
      <c r="O2568" s="7"/>
      <c r="P2568" s="7"/>
      <c r="Q2568" s="7"/>
    </row>
    <row r="2569" spans="12:17" ht="15.75" customHeight="1">
      <c r="L2569" s="7"/>
      <c r="M2569" s="7"/>
      <c r="N2569" s="7"/>
      <c r="O2569" s="7"/>
      <c r="P2569" s="7"/>
      <c r="Q2569" s="7"/>
    </row>
    <row r="2570" spans="12:17" ht="15.75" customHeight="1">
      <c r="L2570" s="7"/>
      <c r="M2570" s="7"/>
      <c r="N2570" s="7"/>
      <c r="O2570" s="7"/>
      <c r="P2570" s="7"/>
      <c r="Q2570" s="7"/>
    </row>
    <row r="2571" spans="12:17" ht="15.75" customHeight="1">
      <c r="L2571" s="7"/>
      <c r="M2571" s="7"/>
      <c r="N2571" s="7"/>
      <c r="O2571" s="7"/>
      <c r="P2571" s="7"/>
      <c r="Q2571" s="7"/>
    </row>
    <row r="2572" spans="12:17" ht="15.75" customHeight="1">
      <c r="L2572" s="7"/>
      <c r="M2572" s="7"/>
      <c r="N2572" s="7"/>
      <c r="O2572" s="7"/>
      <c r="P2572" s="7"/>
      <c r="Q2572" s="7"/>
    </row>
    <row r="2573" spans="12:17" ht="15.75" customHeight="1">
      <c r="L2573" s="7"/>
      <c r="M2573" s="7"/>
      <c r="N2573" s="7"/>
      <c r="O2573" s="7"/>
      <c r="P2573" s="7"/>
      <c r="Q2573" s="7"/>
    </row>
    <row r="2574" spans="12:17" ht="15.75" customHeight="1">
      <c r="L2574" s="7"/>
      <c r="M2574" s="7"/>
      <c r="N2574" s="7"/>
      <c r="O2574" s="7"/>
      <c r="P2574" s="7"/>
      <c r="Q2574" s="7"/>
    </row>
    <row r="2575" spans="12:17" ht="15.75" customHeight="1">
      <c r="L2575" s="7"/>
      <c r="M2575" s="7"/>
      <c r="N2575" s="7"/>
      <c r="O2575" s="7"/>
      <c r="P2575" s="7"/>
      <c r="Q2575" s="7"/>
    </row>
    <row r="2576" spans="12:17" ht="15.75" customHeight="1">
      <c r="L2576" s="7"/>
      <c r="M2576" s="7"/>
      <c r="N2576" s="7"/>
      <c r="O2576" s="7"/>
      <c r="P2576" s="7"/>
      <c r="Q2576" s="7"/>
    </row>
    <row r="2577" spans="12:17" ht="15.75" customHeight="1">
      <c r="L2577" s="7"/>
      <c r="M2577" s="7"/>
      <c r="N2577" s="7"/>
      <c r="O2577" s="7"/>
      <c r="P2577" s="7"/>
      <c r="Q2577" s="7"/>
    </row>
    <row r="2578" spans="12:17" ht="15.75" customHeight="1">
      <c r="L2578" s="7"/>
      <c r="M2578" s="7"/>
      <c r="N2578" s="7"/>
      <c r="O2578" s="7"/>
      <c r="P2578" s="7"/>
      <c r="Q2578" s="7"/>
    </row>
    <row r="2579" spans="12:17" ht="15.75" customHeight="1">
      <c r="L2579" s="7"/>
      <c r="M2579" s="7"/>
      <c r="N2579" s="7"/>
      <c r="O2579" s="7"/>
      <c r="P2579" s="7"/>
      <c r="Q2579" s="7"/>
    </row>
    <row r="2580" spans="12:17" ht="15.75" customHeight="1">
      <c r="L2580" s="7"/>
      <c r="M2580" s="7"/>
      <c r="N2580" s="7"/>
      <c r="O2580" s="7"/>
      <c r="P2580" s="7"/>
      <c r="Q2580" s="7"/>
    </row>
    <row r="2581" spans="12:17" ht="15.75" customHeight="1">
      <c r="L2581" s="7"/>
      <c r="M2581" s="7"/>
      <c r="N2581" s="7"/>
      <c r="O2581" s="7"/>
      <c r="P2581" s="7"/>
      <c r="Q2581" s="7"/>
    </row>
    <row r="2582" spans="12:17" ht="15.75" customHeight="1">
      <c r="L2582" s="7"/>
      <c r="M2582" s="7"/>
      <c r="N2582" s="7"/>
      <c r="O2582" s="7"/>
      <c r="P2582" s="7"/>
      <c r="Q2582" s="7"/>
    </row>
    <row r="2583" spans="12:17" ht="15.75" customHeight="1">
      <c r="L2583" s="7"/>
      <c r="M2583" s="7"/>
      <c r="N2583" s="7"/>
      <c r="O2583" s="7"/>
      <c r="P2583" s="7"/>
      <c r="Q2583" s="7"/>
    </row>
    <row r="2584" spans="12:17" ht="15.75" customHeight="1">
      <c r="L2584" s="7"/>
      <c r="M2584" s="7"/>
      <c r="N2584" s="7"/>
      <c r="O2584" s="7"/>
      <c r="P2584" s="7"/>
      <c r="Q2584" s="7"/>
    </row>
    <row r="2585" spans="12:17" ht="15.75" customHeight="1">
      <c r="L2585" s="7"/>
      <c r="M2585" s="7"/>
      <c r="N2585" s="7"/>
      <c r="O2585" s="7"/>
      <c r="P2585" s="7"/>
      <c r="Q2585" s="7"/>
    </row>
    <row r="2586" spans="12:17" ht="15.75" customHeight="1">
      <c r="L2586" s="7"/>
      <c r="M2586" s="7"/>
      <c r="N2586" s="7"/>
      <c r="O2586" s="7"/>
      <c r="P2586" s="7"/>
      <c r="Q2586" s="7"/>
    </row>
    <row r="2587" spans="12:17" ht="15.75" customHeight="1">
      <c r="L2587" s="7"/>
      <c r="M2587" s="7"/>
      <c r="N2587" s="7"/>
      <c r="O2587" s="7"/>
      <c r="P2587" s="7"/>
      <c r="Q2587" s="7"/>
    </row>
    <row r="2588" spans="12:17" ht="15.75" customHeight="1">
      <c r="L2588" s="7"/>
      <c r="M2588" s="7"/>
      <c r="N2588" s="7"/>
      <c r="O2588" s="7"/>
      <c r="P2588" s="7"/>
      <c r="Q2588" s="7"/>
    </row>
    <row r="2589" spans="12:17" ht="15.75" customHeight="1">
      <c r="L2589" s="7"/>
      <c r="M2589" s="7"/>
      <c r="N2589" s="7"/>
      <c r="O2589" s="7"/>
      <c r="P2589" s="7"/>
      <c r="Q2589" s="7"/>
    </row>
    <row r="2590" spans="12:17" ht="15.75" customHeight="1">
      <c r="L2590" s="7"/>
      <c r="M2590" s="7"/>
      <c r="N2590" s="7"/>
      <c r="O2590" s="7"/>
      <c r="P2590" s="7"/>
      <c r="Q2590" s="7"/>
    </row>
    <row r="2591" spans="12:17" ht="15.75" customHeight="1">
      <c r="L2591" s="7"/>
      <c r="M2591" s="7"/>
      <c r="N2591" s="7"/>
      <c r="O2591" s="7"/>
      <c r="P2591" s="7"/>
      <c r="Q2591" s="7"/>
    </row>
    <row r="2592" spans="12:17" ht="15.75" customHeight="1">
      <c r="L2592" s="7"/>
      <c r="M2592" s="7"/>
      <c r="N2592" s="7"/>
      <c r="O2592" s="7"/>
      <c r="P2592" s="7"/>
      <c r="Q2592" s="7"/>
    </row>
    <row r="2593" spans="12:17" ht="15.75" customHeight="1">
      <c r="L2593" s="7"/>
      <c r="M2593" s="7"/>
      <c r="N2593" s="7"/>
      <c r="O2593" s="7"/>
      <c r="P2593" s="7"/>
      <c r="Q2593" s="7"/>
    </row>
    <row r="2594" spans="12:17" ht="15.75" customHeight="1">
      <c r="L2594" s="7"/>
      <c r="M2594" s="7"/>
      <c r="N2594" s="7"/>
      <c r="O2594" s="7"/>
      <c r="P2594" s="7"/>
      <c r="Q2594" s="7"/>
    </row>
    <row r="2595" spans="12:17" ht="15.75" customHeight="1">
      <c r="L2595" s="7"/>
      <c r="M2595" s="7"/>
      <c r="N2595" s="7"/>
      <c r="O2595" s="7"/>
      <c r="P2595" s="7"/>
      <c r="Q2595" s="7"/>
    </row>
    <row r="2596" spans="12:17" ht="15.75" customHeight="1">
      <c r="L2596" s="7"/>
      <c r="M2596" s="7"/>
      <c r="N2596" s="7"/>
      <c r="O2596" s="7"/>
      <c r="P2596" s="7"/>
      <c r="Q2596" s="7"/>
    </row>
    <row r="2597" spans="12:17" ht="15.75" customHeight="1">
      <c r="L2597" s="7"/>
      <c r="M2597" s="7"/>
      <c r="N2597" s="7"/>
      <c r="O2597" s="7"/>
      <c r="P2597" s="7"/>
      <c r="Q2597" s="7"/>
    </row>
    <row r="2598" spans="12:17" ht="15.75" customHeight="1">
      <c r="L2598" s="7"/>
      <c r="M2598" s="7"/>
      <c r="N2598" s="7"/>
      <c r="O2598" s="7"/>
      <c r="P2598" s="7"/>
      <c r="Q2598" s="7"/>
    </row>
    <row r="2599" spans="12:17" ht="15.75" customHeight="1">
      <c r="L2599" s="7"/>
      <c r="M2599" s="7"/>
      <c r="N2599" s="7"/>
      <c r="O2599" s="7"/>
      <c r="P2599" s="7"/>
      <c r="Q2599" s="7"/>
    </row>
    <row r="2600" spans="12:17" ht="15.75" customHeight="1">
      <c r="L2600" s="7"/>
      <c r="M2600" s="7"/>
      <c r="N2600" s="7"/>
      <c r="O2600" s="7"/>
      <c r="P2600" s="7"/>
      <c r="Q2600" s="7"/>
    </row>
    <row r="2601" spans="12:17" ht="15.75" customHeight="1">
      <c r="L2601" s="7"/>
      <c r="M2601" s="7"/>
      <c r="N2601" s="7"/>
      <c r="O2601" s="7"/>
      <c r="P2601" s="7"/>
      <c r="Q2601" s="7"/>
    </row>
    <row r="2602" spans="12:17" ht="15.75" customHeight="1">
      <c r="L2602" s="7"/>
      <c r="M2602" s="7"/>
      <c r="N2602" s="7"/>
      <c r="O2602" s="7"/>
      <c r="P2602" s="7"/>
      <c r="Q2602" s="7"/>
    </row>
    <row r="2603" spans="12:17" ht="15.75" customHeight="1">
      <c r="L2603" s="7"/>
      <c r="M2603" s="7"/>
      <c r="N2603" s="7"/>
      <c r="O2603" s="7"/>
      <c r="P2603" s="7"/>
      <c r="Q2603" s="7"/>
    </row>
    <row r="2604" spans="12:17" ht="15.75" customHeight="1">
      <c r="L2604" s="7"/>
      <c r="M2604" s="7"/>
      <c r="N2604" s="7"/>
      <c r="O2604" s="7"/>
      <c r="P2604" s="7"/>
      <c r="Q2604" s="7"/>
    </row>
    <row r="2605" spans="12:17" ht="15.75" customHeight="1">
      <c r="L2605" s="7"/>
      <c r="M2605" s="7"/>
      <c r="N2605" s="7"/>
      <c r="O2605" s="7"/>
      <c r="P2605" s="7"/>
      <c r="Q2605" s="7"/>
    </row>
    <row r="2606" spans="12:17" ht="15.75" customHeight="1">
      <c r="L2606" s="7"/>
      <c r="M2606" s="7"/>
      <c r="N2606" s="7"/>
      <c r="O2606" s="7"/>
      <c r="P2606" s="7"/>
      <c r="Q2606" s="7"/>
    </row>
    <row r="2607" spans="12:17" ht="15.75" customHeight="1">
      <c r="L2607" s="7"/>
      <c r="M2607" s="7"/>
      <c r="N2607" s="7"/>
      <c r="O2607" s="7"/>
      <c r="P2607" s="7"/>
      <c r="Q2607" s="7"/>
    </row>
    <row r="2608" spans="12:17" ht="15.75" customHeight="1">
      <c r="L2608" s="7"/>
      <c r="M2608" s="7"/>
      <c r="N2608" s="7"/>
      <c r="O2608" s="7"/>
      <c r="P2608" s="7"/>
      <c r="Q2608" s="7"/>
    </row>
    <row r="2609" spans="12:17" ht="15.75" customHeight="1">
      <c r="L2609" s="7"/>
      <c r="M2609" s="7"/>
      <c r="N2609" s="7"/>
      <c r="O2609" s="7"/>
      <c r="P2609" s="7"/>
      <c r="Q2609" s="7"/>
    </row>
    <row r="2610" spans="12:17" ht="15.75" customHeight="1">
      <c r="L2610" s="7"/>
      <c r="M2610" s="7"/>
      <c r="N2610" s="7"/>
      <c r="O2610" s="7"/>
      <c r="P2610" s="7"/>
      <c r="Q2610" s="7"/>
    </row>
    <row r="2611" spans="12:17" ht="15.75" customHeight="1">
      <c r="L2611" s="7"/>
      <c r="M2611" s="7"/>
      <c r="N2611" s="7"/>
      <c r="O2611" s="7"/>
      <c r="P2611" s="7"/>
      <c r="Q2611" s="7"/>
    </row>
    <row r="2612" spans="12:17" ht="15.75" customHeight="1">
      <c r="L2612" s="7"/>
      <c r="M2612" s="7"/>
      <c r="N2612" s="7"/>
      <c r="O2612" s="7"/>
      <c r="P2612" s="7"/>
      <c r="Q2612" s="7"/>
    </row>
    <row r="2613" spans="12:17" ht="15.75" customHeight="1">
      <c r="L2613" s="7"/>
      <c r="M2613" s="7"/>
      <c r="N2613" s="7"/>
      <c r="O2613" s="7"/>
      <c r="P2613" s="7"/>
      <c r="Q2613" s="7"/>
    </row>
    <row r="2614" spans="12:17" ht="15.75" customHeight="1">
      <c r="L2614" s="7"/>
      <c r="M2614" s="7"/>
      <c r="N2614" s="7"/>
      <c r="O2614" s="7"/>
      <c r="P2614" s="7"/>
      <c r="Q2614" s="7"/>
    </row>
    <row r="2615" spans="12:17" ht="15.75" customHeight="1">
      <c r="L2615" s="7"/>
      <c r="M2615" s="7"/>
      <c r="N2615" s="7"/>
      <c r="O2615" s="7"/>
      <c r="P2615" s="7"/>
      <c r="Q2615" s="7"/>
    </row>
    <row r="2616" spans="12:17" ht="15.75" customHeight="1">
      <c r="L2616" s="7"/>
      <c r="M2616" s="7"/>
      <c r="N2616" s="7"/>
      <c r="O2616" s="7"/>
      <c r="P2616" s="7"/>
      <c r="Q2616" s="7"/>
    </row>
    <row r="2617" spans="12:17" ht="15.75" customHeight="1">
      <c r="L2617" s="7"/>
      <c r="M2617" s="7"/>
      <c r="N2617" s="7"/>
      <c r="O2617" s="7"/>
      <c r="P2617" s="7"/>
      <c r="Q2617" s="7"/>
    </row>
    <row r="2618" spans="12:17" ht="15.75" customHeight="1">
      <c r="L2618" s="7"/>
      <c r="M2618" s="7"/>
      <c r="N2618" s="7"/>
      <c r="O2618" s="7"/>
      <c r="P2618" s="7"/>
      <c r="Q2618" s="7"/>
    </row>
    <row r="2619" spans="12:17" ht="15.75" customHeight="1">
      <c r="L2619" s="7"/>
      <c r="M2619" s="7"/>
      <c r="N2619" s="7"/>
      <c r="O2619" s="7"/>
      <c r="P2619" s="7"/>
      <c r="Q2619" s="7"/>
    </row>
    <row r="2620" spans="12:17" ht="15.75" customHeight="1">
      <c r="L2620" s="7"/>
      <c r="M2620" s="7"/>
      <c r="N2620" s="7"/>
      <c r="O2620" s="7"/>
      <c r="P2620" s="7"/>
      <c r="Q2620" s="7"/>
    </row>
    <row r="2621" spans="12:17" ht="15.75" customHeight="1">
      <c r="L2621" s="7"/>
      <c r="M2621" s="7"/>
      <c r="N2621" s="7"/>
      <c r="O2621" s="7"/>
      <c r="P2621" s="7"/>
      <c r="Q2621" s="7"/>
    </row>
    <row r="2622" spans="12:17" ht="15.75" customHeight="1">
      <c r="L2622" s="7"/>
      <c r="M2622" s="7"/>
      <c r="N2622" s="7"/>
      <c r="O2622" s="7"/>
      <c r="P2622" s="7"/>
      <c r="Q2622" s="7"/>
    </row>
    <row r="2623" spans="12:17" ht="15.75" customHeight="1">
      <c r="L2623" s="7"/>
      <c r="M2623" s="7"/>
      <c r="N2623" s="7"/>
      <c r="O2623" s="7"/>
      <c r="P2623" s="7"/>
      <c r="Q2623" s="7"/>
    </row>
    <row r="2624" spans="12:17" ht="15.75" customHeight="1">
      <c r="L2624" s="7"/>
      <c r="M2624" s="7"/>
      <c r="N2624" s="7"/>
      <c r="O2624" s="7"/>
      <c r="P2624" s="7"/>
      <c r="Q2624" s="7"/>
    </row>
    <row r="2625" spans="12:17" ht="15.75" customHeight="1">
      <c r="L2625" s="7"/>
      <c r="M2625" s="7"/>
      <c r="N2625" s="7"/>
      <c r="O2625" s="7"/>
      <c r="P2625" s="7"/>
      <c r="Q2625" s="7"/>
    </row>
    <row r="2626" spans="12:17" ht="15.75" customHeight="1">
      <c r="L2626" s="7"/>
      <c r="M2626" s="7"/>
      <c r="N2626" s="7"/>
      <c r="O2626" s="7"/>
      <c r="P2626" s="7"/>
      <c r="Q2626" s="7"/>
    </row>
    <row r="2627" spans="12:17" ht="15.75" customHeight="1">
      <c r="L2627" s="7"/>
      <c r="M2627" s="7"/>
      <c r="N2627" s="7"/>
      <c r="O2627" s="7"/>
      <c r="P2627" s="7"/>
      <c r="Q2627" s="7"/>
    </row>
    <row r="2628" spans="12:17" ht="15.75" customHeight="1">
      <c r="L2628" s="7"/>
      <c r="M2628" s="7"/>
      <c r="N2628" s="7"/>
      <c r="O2628" s="7"/>
      <c r="P2628" s="7"/>
      <c r="Q2628" s="7"/>
    </row>
    <row r="2629" spans="12:17" ht="15.75" customHeight="1">
      <c r="L2629" s="7"/>
      <c r="M2629" s="7"/>
      <c r="N2629" s="7"/>
      <c r="O2629" s="7"/>
      <c r="P2629" s="7"/>
      <c r="Q2629" s="7"/>
    </row>
    <row r="2630" spans="12:17" ht="15.75" customHeight="1">
      <c r="L2630" s="7"/>
      <c r="M2630" s="7"/>
      <c r="N2630" s="7"/>
      <c r="O2630" s="7"/>
      <c r="P2630" s="7"/>
      <c r="Q2630" s="7"/>
    </row>
    <row r="2631" spans="12:17" ht="15.75" customHeight="1">
      <c r="L2631" s="7"/>
      <c r="M2631" s="7"/>
      <c r="N2631" s="7"/>
      <c r="O2631" s="7"/>
      <c r="P2631" s="7"/>
      <c r="Q2631" s="7"/>
    </row>
    <row r="2632" spans="12:17" ht="15.75" customHeight="1">
      <c r="L2632" s="7"/>
      <c r="M2632" s="7"/>
      <c r="N2632" s="7"/>
      <c r="O2632" s="7"/>
      <c r="P2632" s="7"/>
      <c r="Q2632" s="7"/>
    </row>
    <row r="2633" spans="12:17" ht="15.75" customHeight="1">
      <c r="L2633" s="7"/>
      <c r="M2633" s="7"/>
      <c r="N2633" s="7"/>
      <c r="O2633" s="7"/>
      <c r="P2633" s="7"/>
      <c r="Q2633" s="7"/>
    </row>
    <row r="2634" spans="12:17" ht="15.75" customHeight="1">
      <c r="L2634" s="7"/>
      <c r="M2634" s="7"/>
      <c r="N2634" s="7"/>
      <c r="O2634" s="7"/>
      <c r="P2634" s="7"/>
      <c r="Q2634" s="7"/>
    </row>
    <row r="2635" spans="12:17" ht="15.75" customHeight="1">
      <c r="L2635" s="7"/>
      <c r="M2635" s="7"/>
      <c r="N2635" s="7"/>
      <c r="O2635" s="7"/>
      <c r="P2635" s="7"/>
      <c r="Q2635" s="7"/>
    </row>
    <row r="2636" spans="12:17" ht="15.75" customHeight="1">
      <c r="L2636" s="7"/>
      <c r="M2636" s="7"/>
      <c r="N2636" s="7"/>
      <c r="O2636" s="7"/>
      <c r="P2636" s="7"/>
      <c r="Q2636" s="7"/>
    </row>
    <row r="2637" spans="12:17" ht="15.75" customHeight="1">
      <c r="L2637" s="7"/>
      <c r="M2637" s="7"/>
      <c r="N2637" s="7"/>
      <c r="O2637" s="7"/>
      <c r="P2637" s="7"/>
      <c r="Q2637" s="7"/>
    </row>
    <row r="2638" spans="12:17" ht="15.75" customHeight="1">
      <c r="L2638" s="7"/>
      <c r="M2638" s="7"/>
      <c r="N2638" s="7"/>
      <c r="O2638" s="7"/>
      <c r="P2638" s="7"/>
      <c r="Q2638" s="7"/>
    </row>
    <row r="2639" spans="12:17" ht="15.75" customHeight="1">
      <c r="L2639" s="7"/>
      <c r="M2639" s="7"/>
      <c r="N2639" s="7"/>
      <c r="O2639" s="7"/>
      <c r="P2639" s="7"/>
      <c r="Q2639" s="7"/>
    </row>
    <row r="2640" spans="12:17" ht="15.75" customHeight="1">
      <c r="L2640" s="7"/>
      <c r="M2640" s="7"/>
      <c r="N2640" s="7"/>
      <c r="O2640" s="7"/>
      <c r="P2640" s="7"/>
      <c r="Q2640" s="7"/>
    </row>
    <row r="2641" spans="12:17" ht="15.75" customHeight="1">
      <c r="L2641" s="7"/>
      <c r="M2641" s="7"/>
      <c r="N2641" s="7"/>
      <c r="O2641" s="7"/>
      <c r="P2641" s="7"/>
      <c r="Q2641" s="7"/>
    </row>
    <row r="2642" spans="12:17" ht="15.75" customHeight="1">
      <c r="L2642" s="7"/>
      <c r="M2642" s="7"/>
      <c r="N2642" s="7"/>
      <c r="O2642" s="7"/>
      <c r="P2642" s="7"/>
      <c r="Q2642" s="7"/>
    </row>
    <row r="2643" spans="12:17" ht="15.75" customHeight="1">
      <c r="L2643" s="7"/>
      <c r="M2643" s="7"/>
      <c r="N2643" s="7"/>
      <c r="O2643" s="7"/>
      <c r="P2643" s="7"/>
      <c r="Q2643" s="7"/>
    </row>
    <row r="2644" spans="12:17" ht="15.75" customHeight="1">
      <c r="L2644" s="7"/>
      <c r="M2644" s="7"/>
      <c r="N2644" s="7"/>
      <c r="O2644" s="7"/>
      <c r="P2644" s="7"/>
      <c r="Q2644" s="7"/>
    </row>
    <row r="2645" spans="12:17" ht="15.75" customHeight="1">
      <c r="L2645" s="7"/>
      <c r="M2645" s="7"/>
      <c r="N2645" s="7"/>
      <c r="O2645" s="7"/>
      <c r="P2645" s="7"/>
      <c r="Q2645" s="7"/>
    </row>
    <row r="2646" spans="12:17" ht="15.75" customHeight="1">
      <c r="L2646" s="7"/>
      <c r="M2646" s="7"/>
      <c r="N2646" s="7"/>
      <c r="O2646" s="7"/>
      <c r="P2646" s="7"/>
      <c r="Q2646" s="7"/>
    </row>
    <row r="2647" spans="12:17" ht="15.75" customHeight="1">
      <c r="L2647" s="7"/>
      <c r="M2647" s="7"/>
      <c r="N2647" s="7"/>
      <c r="O2647" s="7"/>
      <c r="P2647" s="7"/>
      <c r="Q2647" s="7"/>
    </row>
    <row r="2648" spans="12:17" ht="15.75" customHeight="1">
      <c r="L2648" s="7"/>
      <c r="M2648" s="7"/>
      <c r="N2648" s="7"/>
      <c r="O2648" s="7"/>
      <c r="P2648" s="7"/>
      <c r="Q2648" s="7"/>
    </row>
    <row r="2649" spans="12:17" ht="15.75" customHeight="1">
      <c r="L2649" s="7"/>
      <c r="M2649" s="7"/>
      <c r="N2649" s="7"/>
      <c r="O2649" s="7"/>
      <c r="P2649" s="7"/>
      <c r="Q2649" s="7"/>
    </row>
    <row r="2650" spans="12:17" ht="15.75" customHeight="1">
      <c r="L2650" s="7"/>
      <c r="M2650" s="7"/>
      <c r="N2650" s="7"/>
      <c r="O2650" s="7"/>
      <c r="P2650" s="7"/>
      <c r="Q2650" s="7"/>
    </row>
    <row r="2651" spans="12:17" ht="15.75" customHeight="1">
      <c r="L2651" s="7"/>
      <c r="M2651" s="7"/>
      <c r="N2651" s="7"/>
      <c r="O2651" s="7"/>
      <c r="P2651" s="7"/>
      <c r="Q2651" s="7"/>
    </row>
    <row r="2652" spans="12:17" ht="15.75" customHeight="1">
      <c r="L2652" s="7"/>
      <c r="M2652" s="7"/>
      <c r="N2652" s="7"/>
      <c r="O2652" s="7"/>
      <c r="P2652" s="7"/>
      <c r="Q2652" s="7"/>
    </row>
    <row r="2653" spans="12:17" ht="15.75" customHeight="1">
      <c r="L2653" s="7"/>
      <c r="M2653" s="7"/>
      <c r="N2653" s="7"/>
      <c r="O2653" s="7"/>
      <c r="P2653" s="7"/>
      <c r="Q2653" s="7"/>
    </row>
    <row r="2654" spans="12:17" ht="15.75" customHeight="1">
      <c r="L2654" s="7"/>
      <c r="M2654" s="7"/>
      <c r="N2654" s="7"/>
      <c r="O2654" s="7"/>
      <c r="P2654" s="7"/>
      <c r="Q2654" s="7"/>
    </row>
    <row r="2655" spans="12:17" ht="15.75" customHeight="1">
      <c r="L2655" s="7"/>
      <c r="M2655" s="7"/>
      <c r="N2655" s="7"/>
      <c r="O2655" s="7"/>
      <c r="P2655" s="7"/>
      <c r="Q2655" s="7"/>
    </row>
    <row r="2656" spans="12:17" ht="15.75" customHeight="1">
      <c r="L2656" s="7"/>
      <c r="M2656" s="7"/>
      <c r="N2656" s="7"/>
      <c r="O2656" s="7"/>
      <c r="P2656" s="7"/>
      <c r="Q2656" s="7"/>
    </row>
    <row r="2657" spans="12:17" ht="15.75" customHeight="1">
      <c r="L2657" s="7"/>
      <c r="M2657" s="7"/>
      <c r="N2657" s="7"/>
      <c r="O2657" s="7"/>
      <c r="P2657" s="7"/>
      <c r="Q2657" s="7"/>
    </row>
    <row r="2658" spans="12:17" ht="15.75" customHeight="1">
      <c r="L2658" s="7"/>
      <c r="M2658" s="7"/>
      <c r="N2658" s="7"/>
      <c r="O2658" s="7"/>
      <c r="P2658" s="7"/>
      <c r="Q2658" s="7"/>
    </row>
    <row r="2659" spans="12:17" ht="15.75" customHeight="1">
      <c r="L2659" s="7"/>
      <c r="M2659" s="7"/>
      <c r="N2659" s="7"/>
      <c r="O2659" s="7"/>
      <c r="P2659" s="7"/>
      <c r="Q2659" s="7"/>
    </row>
    <row r="2660" spans="12:17" ht="15.75" customHeight="1">
      <c r="L2660" s="7"/>
      <c r="M2660" s="7"/>
      <c r="N2660" s="7"/>
      <c r="O2660" s="7"/>
      <c r="P2660" s="7"/>
      <c r="Q2660" s="7"/>
    </row>
    <row r="2661" spans="12:17" ht="15.75" customHeight="1">
      <c r="L2661" s="7"/>
      <c r="M2661" s="7"/>
      <c r="N2661" s="7"/>
      <c r="O2661" s="7"/>
      <c r="P2661" s="7"/>
      <c r="Q2661" s="7"/>
    </row>
    <row r="2662" spans="12:17" ht="15.75" customHeight="1">
      <c r="L2662" s="7"/>
      <c r="M2662" s="7"/>
      <c r="N2662" s="7"/>
      <c r="O2662" s="7"/>
      <c r="P2662" s="7"/>
      <c r="Q2662" s="7"/>
    </row>
    <row r="2663" spans="12:17" ht="15.75" customHeight="1">
      <c r="L2663" s="7"/>
      <c r="M2663" s="7"/>
      <c r="N2663" s="7"/>
      <c r="O2663" s="7"/>
      <c r="P2663" s="7"/>
      <c r="Q2663" s="7"/>
    </row>
    <row r="2664" spans="12:17" ht="15.75" customHeight="1">
      <c r="L2664" s="7"/>
      <c r="M2664" s="7"/>
      <c r="N2664" s="7"/>
      <c r="O2664" s="7"/>
      <c r="P2664" s="7"/>
      <c r="Q2664" s="7"/>
    </row>
    <row r="2665" spans="12:17" ht="15.75" customHeight="1">
      <c r="L2665" s="7"/>
      <c r="M2665" s="7"/>
      <c r="N2665" s="7"/>
      <c r="O2665" s="7"/>
      <c r="P2665" s="7"/>
      <c r="Q2665" s="7"/>
    </row>
    <row r="2666" spans="12:17" ht="15.75" customHeight="1">
      <c r="L2666" s="7"/>
      <c r="M2666" s="7"/>
      <c r="N2666" s="7"/>
      <c r="O2666" s="7"/>
      <c r="P2666" s="7"/>
      <c r="Q2666" s="7"/>
    </row>
    <row r="2667" spans="12:17" ht="15.75" customHeight="1">
      <c r="L2667" s="7"/>
      <c r="M2667" s="7"/>
      <c r="N2667" s="7"/>
      <c r="O2667" s="7"/>
      <c r="P2667" s="7"/>
      <c r="Q2667" s="7"/>
    </row>
    <row r="2668" spans="12:17" ht="15.75" customHeight="1">
      <c r="L2668" s="7"/>
      <c r="M2668" s="7"/>
      <c r="N2668" s="7"/>
      <c r="O2668" s="7"/>
      <c r="P2668" s="7"/>
      <c r="Q2668" s="7"/>
    </row>
    <row r="2669" spans="12:17" ht="15.75" customHeight="1">
      <c r="L2669" s="7"/>
      <c r="M2669" s="7"/>
      <c r="N2669" s="7"/>
      <c r="O2669" s="7"/>
      <c r="P2669" s="7"/>
      <c r="Q2669" s="7"/>
    </row>
    <row r="2670" spans="12:17" ht="15.75" customHeight="1">
      <c r="L2670" s="7"/>
      <c r="M2670" s="7"/>
      <c r="N2670" s="7"/>
      <c r="O2670" s="7"/>
      <c r="P2670" s="7"/>
      <c r="Q2670" s="7"/>
    </row>
    <row r="2671" spans="12:17" ht="15.75" customHeight="1">
      <c r="L2671" s="7"/>
      <c r="M2671" s="7"/>
      <c r="N2671" s="7"/>
      <c r="O2671" s="7"/>
      <c r="P2671" s="7"/>
      <c r="Q2671" s="7"/>
    </row>
    <row r="2672" spans="12:17" ht="15.75" customHeight="1">
      <c r="L2672" s="7"/>
      <c r="M2672" s="7"/>
      <c r="N2672" s="7"/>
      <c r="O2672" s="7"/>
      <c r="P2672" s="7"/>
      <c r="Q2672" s="7"/>
    </row>
    <row r="2673" spans="12:17" ht="15.75" customHeight="1">
      <c r="L2673" s="7"/>
      <c r="M2673" s="7"/>
      <c r="N2673" s="7"/>
      <c r="O2673" s="7"/>
      <c r="P2673" s="7"/>
      <c r="Q2673" s="7"/>
    </row>
    <row r="2674" spans="12:17" ht="15.75" customHeight="1">
      <c r="L2674" s="7"/>
      <c r="M2674" s="7"/>
      <c r="N2674" s="7"/>
      <c r="O2674" s="7"/>
      <c r="P2674" s="7"/>
      <c r="Q2674" s="7"/>
    </row>
    <row r="2675" spans="12:17" ht="15.75" customHeight="1">
      <c r="L2675" s="7"/>
      <c r="M2675" s="7"/>
      <c r="N2675" s="7"/>
      <c r="O2675" s="7"/>
      <c r="P2675" s="7"/>
      <c r="Q2675" s="7"/>
    </row>
    <row r="2676" spans="12:17" ht="15.75" customHeight="1">
      <c r="L2676" s="7"/>
      <c r="M2676" s="7"/>
      <c r="N2676" s="7"/>
      <c r="O2676" s="7"/>
      <c r="P2676" s="7"/>
      <c r="Q2676" s="7"/>
    </row>
    <row r="2677" spans="12:17" ht="15.75" customHeight="1">
      <c r="L2677" s="7"/>
      <c r="M2677" s="7"/>
      <c r="N2677" s="7"/>
      <c r="O2677" s="7"/>
      <c r="P2677" s="7"/>
      <c r="Q2677" s="7"/>
    </row>
    <row r="2678" spans="12:17" ht="15.75" customHeight="1">
      <c r="L2678" s="7"/>
      <c r="M2678" s="7"/>
      <c r="N2678" s="7"/>
      <c r="O2678" s="7"/>
      <c r="P2678" s="7"/>
      <c r="Q2678" s="7"/>
    </row>
    <row r="2679" spans="12:17" ht="15.75" customHeight="1">
      <c r="L2679" s="7"/>
      <c r="M2679" s="7"/>
      <c r="N2679" s="7"/>
      <c r="O2679" s="7"/>
      <c r="P2679" s="7"/>
      <c r="Q2679" s="7"/>
    </row>
    <row r="2680" spans="12:17" ht="15.75" customHeight="1">
      <c r="L2680" s="7"/>
      <c r="M2680" s="7"/>
      <c r="N2680" s="7"/>
      <c r="O2680" s="7"/>
      <c r="P2680" s="7"/>
      <c r="Q2680" s="7"/>
    </row>
    <row r="2681" spans="12:17" ht="15.75" customHeight="1">
      <c r="L2681" s="7"/>
      <c r="M2681" s="7"/>
      <c r="N2681" s="7"/>
      <c r="O2681" s="7"/>
      <c r="P2681" s="7"/>
      <c r="Q2681" s="7"/>
    </row>
    <row r="2682" spans="12:17" ht="15.75" customHeight="1">
      <c r="L2682" s="7"/>
      <c r="M2682" s="7"/>
      <c r="N2682" s="7"/>
      <c r="O2682" s="7"/>
      <c r="P2682" s="7"/>
      <c r="Q2682" s="7"/>
    </row>
    <row r="2683" spans="12:17" ht="15.75" customHeight="1">
      <c r="L2683" s="7"/>
      <c r="M2683" s="7"/>
      <c r="N2683" s="7"/>
      <c r="O2683" s="7"/>
      <c r="P2683" s="7"/>
      <c r="Q2683" s="7"/>
    </row>
    <row r="2684" spans="12:17" ht="15.75" customHeight="1">
      <c r="L2684" s="7"/>
      <c r="M2684" s="7"/>
      <c r="N2684" s="7"/>
      <c r="O2684" s="7"/>
      <c r="P2684" s="7"/>
      <c r="Q2684" s="7"/>
    </row>
    <row r="2685" spans="12:17" ht="15.75" customHeight="1">
      <c r="L2685" s="7"/>
      <c r="M2685" s="7"/>
      <c r="N2685" s="7"/>
      <c r="O2685" s="7"/>
      <c r="P2685" s="7"/>
      <c r="Q2685" s="7"/>
    </row>
    <row r="2686" spans="12:17" ht="15.75" customHeight="1">
      <c r="L2686" s="7"/>
      <c r="M2686" s="7"/>
      <c r="N2686" s="7"/>
      <c r="O2686" s="7"/>
      <c r="P2686" s="7"/>
      <c r="Q2686" s="7"/>
    </row>
    <row r="2687" spans="12:17" ht="15.75" customHeight="1">
      <c r="L2687" s="7"/>
      <c r="M2687" s="7"/>
      <c r="N2687" s="7"/>
      <c r="O2687" s="7"/>
      <c r="P2687" s="7"/>
      <c r="Q2687" s="7"/>
    </row>
    <row r="2688" spans="12:17" ht="15.75" customHeight="1">
      <c r="L2688" s="7"/>
      <c r="M2688" s="7"/>
      <c r="N2688" s="7"/>
      <c r="O2688" s="7"/>
      <c r="P2688" s="7"/>
      <c r="Q2688" s="7"/>
    </row>
    <row r="2689" spans="12:17" ht="15.75" customHeight="1">
      <c r="L2689" s="7"/>
      <c r="M2689" s="7"/>
      <c r="N2689" s="7"/>
      <c r="O2689" s="7"/>
      <c r="P2689" s="7"/>
      <c r="Q2689" s="7"/>
    </row>
    <row r="2690" spans="12:17" ht="15.75" customHeight="1">
      <c r="L2690" s="7"/>
      <c r="M2690" s="7"/>
      <c r="N2690" s="7"/>
      <c r="O2690" s="7"/>
      <c r="P2690" s="7"/>
      <c r="Q2690" s="7"/>
    </row>
    <row r="2691" spans="12:17" ht="15.75" customHeight="1">
      <c r="L2691" s="7"/>
      <c r="M2691" s="7"/>
      <c r="N2691" s="7"/>
      <c r="O2691" s="7"/>
      <c r="P2691" s="7"/>
      <c r="Q2691" s="7"/>
    </row>
    <row r="2692" spans="12:17" ht="15.75" customHeight="1">
      <c r="L2692" s="7"/>
      <c r="M2692" s="7"/>
      <c r="N2692" s="7"/>
      <c r="O2692" s="7"/>
      <c r="P2692" s="7"/>
      <c r="Q2692" s="7"/>
    </row>
    <row r="2693" spans="12:17" ht="15.75" customHeight="1">
      <c r="L2693" s="7"/>
      <c r="M2693" s="7"/>
      <c r="N2693" s="7"/>
      <c r="O2693" s="7"/>
      <c r="P2693" s="7"/>
      <c r="Q2693" s="7"/>
    </row>
    <row r="2694" spans="12:17" ht="15.75" customHeight="1">
      <c r="L2694" s="7"/>
      <c r="M2694" s="7"/>
      <c r="N2694" s="7"/>
      <c r="O2694" s="7"/>
      <c r="P2694" s="7"/>
      <c r="Q2694" s="7"/>
    </row>
    <row r="2695" spans="12:17" ht="15.75" customHeight="1">
      <c r="L2695" s="7"/>
      <c r="M2695" s="7"/>
      <c r="N2695" s="7"/>
      <c r="O2695" s="7"/>
      <c r="P2695" s="7"/>
      <c r="Q2695" s="7"/>
    </row>
    <row r="2696" spans="12:17" ht="15.75" customHeight="1">
      <c r="L2696" s="7"/>
      <c r="M2696" s="7"/>
      <c r="N2696" s="7"/>
      <c r="O2696" s="7"/>
      <c r="P2696" s="7"/>
      <c r="Q2696" s="7"/>
    </row>
    <row r="2697" spans="12:17" ht="15.75" customHeight="1">
      <c r="L2697" s="7"/>
      <c r="M2697" s="7"/>
      <c r="N2697" s="7"/>
      <c r="O2697" s="7"/>
      <c r="P2697" s="7"/>
      <c r="Q2697" s="7"/>
    </row>
    <row r="2698" spans="12:17" ht="15.75" customHeight="1">
      <c r="L2698" s="7"/>
      <c r="M2698" s="7"/>
      <c r="N2698" s="7"/>
      <c r="O2698" s="7"/>
      <c r="P2698" s="7"/>
      <c r="Q2698" s="7"/>
    </row>
    <row r="2699" spans="12:17" ht="15.75" customHeight="1">
      <c r="L2699" s="7"/>
      <c r="M2699" s="7"/>
      <c r="N2699" s="7"/>
      <c r="O2699" s="7"/>
      <c r="P2699" s="7"/>
      <c r="Q2699" s="7"/>
    </row>
    <row r="2700" spans="12:17" ht="15.75" customHeight="1">
      <c r="L2700" s="7"/>
      <c r="M2700" s="7"/>
      <c r="N2700" s="7"/>
      <c r="O2700" s="7"/>
      <c r="P2700" s="7"/>
      <c r="Q2700" s="7"/>
    </row>
    <row r="2701" spans="12:17" ht="15.75" customHeight="1">
      <c r="L2701" s="7"/>
      <c r="M2701" s="7"/>
      <c r="N2701" s="7"/>
      <c r="O2701" s="7"/>
      <c r="P2701" s="7"/>
      <c r="Q2701" s="7"/>
    </row>
    <row r="2702" spans="12:17" ht="15.75" customHeight="1">
      <c r="L2702" s="7"/>
      <c r="M2702" s="7"/>
      <c r="N2702" s="7"/>
      <c r="O2702" s="7"/>
      <c r="P2702" s="7"/>
      <c r="Q2702" s="7"/>
    </row>
    <row r="2703" spans="12:17" ht="15.75" customHeight="1">
      <c r="L2703" s="7"/>
      <c r="M2703" s="7"/>
      <c r="N2703" s="7"/>
      <c r="O2703" s="7"/>
      <c r="P2703" s="7"/>
      <c r="Q2703" s="7"/>
    </row>
    <row r="2704" spans="12:17" ht="15.75" customHeight="1">
      <c r="L2704" s="7"/>
      <c r="M2704" s="7"/>
      <c r="N2704" s="7"/>
      <c r="O2704" s="7"/>
      <c r="P2704" s="7"/>
      <c r="Q2704" s="7"/>
    </row>
    <row r="2705" spans="12:17" ht="15.75" customHeight="1">
      <c r="L2705" s="7"/>
      <c r="M2705" s="7"/>
      <c r="N2705" s="7"/>
      <c r="O2705" s="7"/>
      <c r="P2705" s="7"/>
      <c r="Q2705" s="7"/>
    </row>
    <row r="2706" spans="12:17" ht="15.75" customHeight="1">
      <c r="L2706" s="7"/>
      <c r="M2706" s="7"/>
      <c r="N2706" s="7"/>
      <c r="O2706" s="7"/>
      <c r="P2706" s="7"/>
      <c r="Q2706" s="7"/>
    </row>
    <row r="2707" spans="12:17" ht="15.75" customHeight="1">
      <c r="L2707" s="7"/>
      <c r="M2707" s="7"/>
      <c r="N2707" s="7"/>
      <c r="O2707" s="7"/>
      <c r="P2707" s="7"/>
      <c r="Q2707" s="7"/>
    </row>
    <row r="2708" spans="12:17" ht="15.75" customHeight="1">
      <c r="L2708" s="7"/>
      <c r="M2708" s="7"/>
      <c r="N2708" s="7"/>
      <c r="O2708" s="7"/>
      <c r="P2708" s="7"/>
      <c r="Q2708" s="7"/>
    </row>
    <row r="2709" spans="12:17" ht="15.75" customHeight="1">
      <c r="L2709" s="7"/>
      <c r="M2709" s="7"/>
      <c r="N2709" s="7"/>
      <c r="O2709" s="7"/>
      <c r="P2709" s="7"/>
      <c r="Q2709" s="7"/>
    </row>
    <row r="2710" spans="12:17" ht="15.75" customHeight="1">
      <c r="L2710" s="7"/>
      <c r="M2710" s="7"/>
      <c r="N2710" s="7"/>
      <c r="O2710" s="7"/>
      <c r="P2710" s="7"/>
      <c r="Q2710" s="7"/>
    </row>
    <row r="2711" spans="12:17" ht="15.75" customHeight="1">
      <c r="L2711" s="7"/>
      <c r="M2711" s="7"/>
      <c r="N2711" s="7"/>
      <c r="O2711" s="7"/>
      <c r="P2711" s="7"/>
      <c r="Q2711" s="7"/>
    </row>
    <row r="2712" spans="12:17" ht="15.75" customHeight="1">
      <c r="L2712" s="7"/>
      <c r="M2712" s="7"/>
      <c r="N2712" s="7"/>
      <c r="O2712" s="7"/>
      <c r="P2712" s="7"/>
      <c r="Q2712" s="7"/>
    </row>
    <row r="2713" spans="12:17" ht="15.75" customHeight="1">
      <c r="L2713" s="7"/>
      <c r="M2713" s="7"/>
      <c r="N2713" s="7"/>
      <c r="O2713" s="7"/>
      <c r="P2713" s="7"/>
      <c r="Q2713" s="7"/>
    </row>
    <row r="2714" spans="12:17" ht="15.75" customHeight="1">
      <c r="L2714" s="7"/>
      <c r="M2714" s="7"/>
      <c r="N2714" s="7"/>
      <c r="O2714" s="7"/>
      <c r="P2714" s="7"/>
      <c r="Q2714" s="7"/>
    </row>
    <row r="2715" spans="12:17" ht="15.75" customHeight="1">
      <c r="L2715" s="7"/>
      <c r="M2715" s="7"/>
      <c r="N2715" s="7"/>
      <c r="O2715" s="7"/>
      <c r="P2715" s="7"/>
      <c r="Q2715" s="7"/>
    </row>
    <row r="2716" spans="12:17" ht="15.75" customHeight="1">
      <c r="L2716" s="7"/>
      <c r="M2716" s="7"/>
      <c r="N2716" s="7"/>
      <c r="O2716" s="7"/>
      <c r="P2716" s="7"/>
      <c r="Q2716" s="7"/>
    </row>
    <row r="2717" spans="12:17" ht="15.75" customHeight="1">
      <c r="L2717" s="7"/>
      <c r="M2717" s="7"/>
      <c r="N2717" s="7"/>
      <c r="O2717" s="7"/>
      <c r="P2717" s="7"/>
      <c r="Q2717" s="7"/>
    </row>
    <row r="2718" spans="12:17" ht="15.75" customHeight="1">
      <c r="L2718" s="7"/>
      <c r="M2718" s="7"/>
      <c r="N2718" s="7"/>
      <c r="O2718" s="7"/>
      <c r="P2718" s="7"/>
      <c r="Q2718" s="7"/>
    </row>
    <row r="2719" spans="12:17" ht="15.75" customHeight="1">
      <c r="L2719" s="7"/>
      <c r="M2719" s="7"/>
      <c r="N2719" s="7"/>
      <c r="O2719" s="7"/>
      <c r="P2719" s="7"/>
      <c r="Q2719" s="7"/>
    </row>
    <row r="2720" spans="12:17" ht="15.75" customHeight="1">
      <c r="L2720" s="7"/>
      <c r="M2720" s="7"/>
      <c r="N2720" s="7"/>
      <c r="O2720" s="7"/>
      <c r="P2720" s="7"/>
      <c r="Q2720" s="7"/>
    </row>
    <row r="2721" spans="12:17" ht="15.75" customHeight="1">
      <c r="L2721" s="7"/>
      <c r="M2721" s="7"/>
      <c r="N2721" s="7"/>
      <c r="O2721" s="7"/>
      <c r="P2721" s="7"/>
      <c r="Q2721" s="7"/>
    </row>
    <row r="2722" spans="12:17" ht="15.75" customHeight="1">
      <c r="L2722" s="7"/>
      <c r="M2722" s="7"/>
      <c r="N2722" s="7"/>
      <c r="O2722" s="7"/>
      <c r="P2722" s="7"/>
      <c r="Q2722" s="7"/>
    </row>
    <row r="2723" spans="12:17" ht="15.75" customHeight="1">
      <c r="L2723" s="7"/>
      <c r="M2723" s="7"/>
      <c r="N2723" s="7"/>
      <c r="O2723" s="7"/>
      <c r="P2723" s="7"/>
      <c r="Q2723" s="7"/>
    </row>
    <row r="2724" spans="12:17" ht="15.75" customHeight="1">
      <c r="L2724" s="7"/>
      <c r="M2724" s="7"/>
      <c r="N2724" s="7"/>
      <c r="O2724" s="7"/>
      <c r="P2724" s="7"/>
      <c r="Q2724" s="7"/>
    </row>
    <row r="2725" spans="12:17" ht="15.75" customHeight="1">
      <c r="L2725" s="7"/>
      <c r="M2725" s="7"/>
      <c r="N2725" s="7"/>
      <c r="O2725" s="7"/>
      <c r="P2725" s="7"/>
      <c r="Q2725" s="7"/>
    </row>
    <row r="2726" spans="12:17" ht="15.75" customHeight="1">
      <c r="L2726" s="7"/>
      <c r="M2726" s="7"/>
      <c r="N2726" s="7"/>
      <c r="O2726" s="7"/>
      <c r="P2726" s="7"/>
      <c r="Q2726" s="7"/>
    </row>
    <row r="2727" spans="12:17" ht="15.75" customHeight="1">
      <c r="L2727" s="7"/>
      <c r="M2727" s="7"/>
      <c r="N2727" s="7"/>
      <c r="O2727" s="7"/>
      <c r="P2727" s="7"/>
      <c r="Q2727" s="7"/>
    </row>
    <row r="2728" spans="12:17" ht="15.75" customHeight="1">
      <c r="L2728" s="7"/>
      <c r="M2728" s="7"/>
      <c r="N2728" s="7"/>
      <c r="O2728" s="7"/>
      <c r="P2728" s="7"/>
      <c r="Q2728" s="7"/>
    </row>
    <row r="2729" spans="12:17" ht="15.75" customHeight="1">
      <c r="L2729" s="7"/>
      <c r="M2729" s="7"/>
      <c r="N2729" s="7"/>
      <c r="O2729" s="7"/>
      <c r="P2729" s="7"/>
      <c r="Q2729" s="7"/>
    </row>
    <row r="2730" spans="12:17" ht="15.75" customHeight="1">
      <c r="L2730" s="7"/>
      <c r="M2730" s="7"/>
      <c r="N2730" s="7"/>
      <c r="O2730" s="7"/>
      <c r="P2730" s="7"/>
      <c r="Q2730" s="7"/>
    </row>
    <row r="2731" spans="12:17" ht="15.75" customHeight="1">
      <c r="L2731" s="7"/>
      <c r="M2731" s="7"/>
      <c r="N2731" s="7"/>
      <c r="O2731" s="7"/>
      <c r="P2731" s="7"/>
      <c r="Q2731" s="7"/>
    </row>
    <row r="2732" spans="12:17" ht="15.75" customHeight="1">
      <c r="L2732" s="7"/>
      <c r="M2732" s="7"/>
      <c r="N2732" s="7"/>
      <c r="O2732" s="7"/>
      <c r="P2732" s="7"/>
      <c r="Q2732" s="7"/>
    </row>
    <row r="2733" spans="12:17" ht="15.75" customHeight="1">
      <c r="L2733" s="7"/>
      <c r="M2733" s="7"/>
      <c r="N2733" s="7"/>
      <c r="O2733" s="7"/>
      <c r="P2733" s="7"/>
      <c r="Q2733" s="7"/>
    </row>
    <row r="2734" spans="12:17" ht="15.75" customHeight="1">
      <c r="L2734" s="7"/>
      <c r="M2734" s="7"/>
      <c r="N2734" s="7"/>
      <c r="O2734" s="7"/>
      <c r="P2734" s="7"/>
      <c r="Q2734" s="7"/>
    </row>
    <row r="2735" spans="12:17" ht="15.75" customHeight="1">
      <c r="L2735" s="7"/>
      <c r="M2735" s="7"/>
      <c r="N2735" s="7"/>
      <c r="O2735" s="7"/>
      <c r="P2735" s="7"/>
      <c r="Q2735" s="7"/>
    </row>
    <row r="2736" spans="12:17" ht="15.75" customHeight="1">
      <c r="L2736" s="7"/>
      <c r="M2736" s="7"/>
      <c r="N2736" s="7"/>
      <c r="O2736" s="7"/>
      <c r="P2736" s="7"/>
      <c r="Q2736" s="7"/>
    </row>
    <row r="2737" spans="12:17" ht="15.75" customHeight="1">
      <c r="L2737" s="7"/>
      <c r="M2737" s="7"/>
      <c r="N2737" s="7"/>
      <c r="O2737" s="7"/>
      <c r="P2737" s="7"/>
      <c r="Q2737" s="7"/>
    </row>
    <row r="2738" spans="12:17" ht="15.75" customHeight="1">
      <c r="L2738" s="7"/>
      <c r="M2738" s="7"/>
      <c r="N2738" s="7"/>
      <c r="O2738" s="7"/>
      <c r="P2738" s="7"/>
      <c r="Q2738" s="7"/>
    </row>
    <row r="2739" spans="12:17" ht="15.75" customHeight="1">
      <c r="L2739" s="7"/>
      <c r="M2739" s="7"/>
      <c r="N2739" s="7"/>
      <c r="O2739" s="7"/>
      <c r="P2739" s="7"/>
      <c r="Q2739" s="7"/>
    </row>
    <row r="2740" spans="12:17" ht="15.75" customHeight="1">
      <c r="L2740" s="7"/>
      <c r="M2740" s="7"/>
      <c r="N2740" s="7"/>
      <c r="O2740" s="7"/>
      <c r="P2740" s="7"/>
      <c r="Q2740" s="7"/>
    </row>
    <row r="2741" spans="12:17" ht="15.75" customHeight="1">
      <c r="L2741" s="7"/>
      <c r="M2741" s="7"/>
      <c r="N2741" s="7"/>
      <c r="O2741" s="7"/>
      <c r="P2741" s="7"/>
      <c r="Q2741" s="7"/>
    </row>
    <row r="2742" spans="12:17" ht="15.75" customHeight="1">
      <c r="L2742" s="7"/>
      <c r="M2742" s="7"/>
      <c r="N2742" s="7"/>
      <c r="O2742" s="7"/>
      <c r="P2742" s="7"/>
      <c r="Q2742" s="7"/>
    </row>
    <row r="2743" spans="12:17" ht="15.75" customHeight="1">
      <c r="L2743" s="7"/>
      <c r="M2743" s="7"/>
      <c r="N2743" s="7"/>
      <c r="O2743" s="7"/>
      <c r="P2743" s="7"/>
      <c r="Q2743" s="7"/>
    </row>
    <row r="2744" spans="12:17" ht="15.75" customHeight="1">
      <c r="L2744" s="7"/>
      <c r="M2744" s="7"/>
      <c r="N2744" s="7"/>
      <c r="O2744" s="7"/>
      <c r="P2744" s="7"/>
      <c r="Q2744" s="7"/>
    </row>
    <row r="2745" spans="12:17" ht="15.75" customHeight="1">
      <c r="L2745" s="7"/>
      <c r="M2745" s="7"/>
      <c r="N2745" s="7"/>
      <c r="O2745" s="7"/>
      <c r="P2745" s="7"/>
      <c r="Q2745" s="7"/>
    </row>
    <row r="2746" spans="12:17" ht="15.75" customHeight="1">
      <c r="L2746" s="7"/>
      <c r="M2746" s="7"/>
      <c r="N2746" s="7"/>
      <c r="O2746" s="7"/>
      <c r="P2746" s="7"/>
      <c r="Q2746" s="7"/>
    </row>
    <row r="2747" spans="12:17" ht="15.75" customHeight="1">
      <c r="L2747" s="7"/>
      <c r="M2747" s="7"/>
      <c r="N2747" s="7"/>
      <c r="O2747" s="7"/>
      <c r="P2747" s="7"/>
      <c r="Q2747" s="7"/>
    </row>
    <row r="2748" spans="12:17" ht="15.75" customHeight="1">
      <c r="L2748" s="7"/>
      <c r="M2748" s="7"/>
      <c r="N2748" s="7"/>
      <c r="O2748" s="7"/>
      <c r="P2748" s="7"/>
      <c r="Q2748" s="7"/>
    </row>
    <row r="2749" spans="12:17" ht="15.75" customHeight="1">
      <c r="L2749" s="7"/>
      <c r="M2749" s="7"/>
      <c r="N2749" s="7"/>
      <c r="O2749" s="7"/>
      <c r="P2749" s="7"/>
      <c r="Q2749" s="7"/>
    </row>
    <row r="2750" spans="12:17" ht="15.75" customHeight="1">
      <c r="L2750" s="7"/>
      <c r="M2750" s="7"/>
      <c r="N2750" s="7"/>
      <c r="O2750" s="7"/>
      <c r="P2750" s="7"/>
      <c r="Q2750" s="7"/>
    </row>
    <row r="2751" spans="12:17" ht="15.75" customHeight="1">
      <c r="L2751" s="7"/>
      <c r="M2751" s="7"/>
      <c r="N2751" s="7"/>
      <c r="O2751" s="7"/>
      <c r="P2751" s="7"/>
      <c r="Q2751" s="7"/>
    </row>
    <row r="2752" spans="12:17" ht="15.75" customHeight="1">
      <c r="L2752" s="7"/>
      <c r="M2752" s="7"/>
      <c r="N2752" s="7"/>
      <c r="O2752" s="7"/>
      <c r="P2752" s="7"/>
      <c r="Q2752" s="7"/>
    </row>
    <row r="2753" spans="12:17" ht="15.75" customHeight="1">
      <c r="L2753" s="7"/>
      <c r="M2753" s="7"/>
      <c r="N2753" s="7"/>
      <c r="O2753" s="7"/>
      <c r="P2753" s="7"/>
      <c r="Q2753" s="7"/>
    </row>
    <row r="2754" spans="12:17" ht="15.75" customHeight="1">
      <c r="L2754" s="7"/>
      <c r="M2754" s="7"/>
      <c r="N2754" s="7"/>
      <c r="O2754" s="7"/>
      <c r="P2754" s="7"/>
      <c r="Q2754" s="7"/>
    </row>
    <row r="2755" spans="12:17" ht="15.75" customHeight="1">
      <c r="L2755" s="7"/>
      <c r="M2755" s="7"/>
      <c r="N2755" s="7"/>
      <c r="O2755" s="7"/>
      <c r="P2755" s="7"/>
      <c r="Q2755" s="7"/>
    </row>
    <row r="2756" spans="12:17" ht="15.75" customHeight="1">
      <c r="L2756" s="7"/>
      <c r="M2756" s="7"/>
      <c r="N2756" s="7"/>
      <c r="O2756" s="7"/>
      <c r="P2756" s="7"/>
      <c r="Q2756" s="7"/>
    </row>
    <row r="2757" spans="12:17" ht="15.75" customHeight="1">
      <c r="L2757" s="7"/>
      <c r="M2757" s="7"/>
      <c r="N2757" s="7"/>
      <c r="O2757" s="7"/>
      <c r="P2757" s="7"/>
      <c r="Q2757" s="7"/>
    </row>
    <row r="2758" spans="12:17" ht="15.75" customHeight="1">
      <c r="L2758" s="7"/>
      <c r="M2758" s="7"/>
      <c r="N2758" s="7"/>
      <c r="O2758" s="7"/>
      <c r="P2758" s="7"/>
      <c r="Q2758" s="7"/>
    </row>
    <row r="2759" spans="12:17" ht="15.75" customHeight="1">
      <c r="L2759" s="7"/>
      <c r="M2759" s="7"/>
      <c r="N2759" s="7"/>
      <c r="O2759" s="7"/>
      <c r="P2759" s="7"/>
      <c r="Q2759" s="7"/>
    </row>
    <row r="2760" spans="12:17" ht="15.75" customHeight="1">
      <c r="L2760" s="7"/>
      <c r="M2760" s="7"/>
      <c r="N2760" s="7"/>
      <c r="O2760" s="7"/>
      <c r="P2760" s="7"/>
      <c r="Q2760" s="7"/>
    </row>
    <row r="2761" spans="12:17" ht="15.75" customHeight="1">
      <c r="L2761" s="7"/>
      <c r="M2761" s="7"/>
      <c r="N2761" s="7"/>
      <c r="O2761" s="7"/>
      <c r="P2761" s="7"/>
      <c r="Q2761" s="7"/>
    </row>
    <row r="2762" spans="12:17" ht="15.75" customHeight="1">
      <c r="L2762" s="7"/>
      <c r="M2762" s="7"/>
      <c r="N2762" s="7"/>
      <c r="O2762" s="7"/>
      <c r="P2762" s="7"/>
      <c r="Q2762" s="7"/>
    </row>
    <row r="2763" spans="12:17" ht="15.75" customHeight="1">
      <c r="L2763" s="7"/>
      <c r="M2763" s="7"/>
      <c r="N2763" s="7"/>
      <c r="O2763" s="7"/>
      <c r="P2763" s="7"/>
      <c r="Q2763" s="7"/>
    </row>
    <row r="2764" spans="12:17" ht="15.75" customHeight="1">
      <c r="L2764" s="7"/>
      <c r="M2764" s="7"/>
      <c r="N2764" s="7"/>
      <c r="O2764" s="7"/>
      <c r="P2764" s="7"/>
      <c r="Q2764" s="7"/>
    </row>
    <row r="2765" spans="12:17" ht="15.75" customHeight="1">
      <c r="L2765" s="7"/>
      <c r="M2765" s="7"/>
      <c r="N2765" s="7"/>
      <c r="O2765" s="7"/>
      <c r="P2765" s="7"/>
      <c r="Q2765" s="7"/>
    </row>
    <row r="2766" spans="12:17" ht="15.75" customHeight="1">
      <c r="L2766" s="7"/>
      <c r="M2766" s="7"/>
      <c r="N2766" s="7"/>
      <c r="O2766" s="7"/>
      <c r="P2766" s="7"/>
      <c r="Q2766" s="7"/>
    </row>
    <row r="2767" spans="12:17" ht="15.75" customHeight="1">
      <c r="L2767" s="7"/>
      <c r="M2767" s="7"/>
      <c r="N2767" s="7"/>
      <c r="O2767" s="7"/>
      <c r="P2767" s="7"/>
      <c r="Q2767" s="7"/>
    </row>
    <row r="2768" spans="12:17" ht="15.75" customHeight="1">
      <c r="L2768" s="7"/>
      <c r="M2768" s="7"/>
      <c r="N2768" s="7"/>
      <c r="O2768" s="7"/>
      <c r="P2768" s="7"/>
      <c r="Q2768" s="7"/>
    </row>
    <row r="2769" spans="12:17" ht="15.75" customHeight="1">
      <c r="L2769" s="7"/>
      <c r="M2769" s="7"/>
      <c r="N2769" s="7"/>
      <c r="O2769" s="7"/>
      <c r="P2769" s="7"/>
      <c r="Q2769" s="7"/>
    </row>
    <row r="2770" spans="12:17" ht="15.75" customHeight="1">
      <c r="L2770" s="7"/>
      <c r="M2770" s="7"/>
      <c r="N2770" s="7"/>
      <c r="O2770" s="7"/>
      <c r="P2770" s="7"/>
      <c r="Q2770" s="7"/>
    </row>
    <row r="2771" spans="12:17" ht="15.75" customHeight="1">
      <c r="L2771" s="7"/>
      <c r="M2771" s="7"/>
      <c r="N2771" s="7"/>
      <c r="O2771" s="7"/>
      <c r="P2771" s="7"/>
      <c r="Q2771" s="7"/>
    </row>
    <row r="2772" spans="12:17" ht="15.75" customHeight="1">
      <c r="L2772" s="7"/>
      <c r="M2772" s="7"/>
      <c r="N2772" s="7"/>
      <c r="O2772" s="7"/>
      <c r="P2772" s="7"/>
      <c r="Q2772" s="7"/>
    </row>
    <row r="2773" spans="12:17" ht="15.75" customHeight="1">
      <c r="L2773" s="7"/>
      <c r="M2773" s="7"/>
      <c r="N2773" s="7"/>
      <c r="O2773" s="7"/>
      <c r="P2773" s="7"/>
      <c r="Q2773" s="7"/>
    </row>
    <row r="2774" spans="12:17" ht="15.75" customHeight="1">
      <c r="L2774" s="7"/>
      <c r="M2774" s="7"/>
      <c r="N2774" s="7"/>
      <c r="O2774" s="7"/>
      <c r="P2774" s="7"/>
      <c r="Q2774" s="7"/>
    </row>
    <row r="2775" spans="12:17" ht="15.75" customHeight="1">
      <c r="L2775" s="7"/>
      <c r="M2775" s="7"/>
      <c r="N2775" s="7"/>
      <c r="O2775" s="7"/>
      <c r="P2775" s="7"/>
      <c r="Q2775" s="7"/>
    </row>
    <row r="2776" spans="12:17" ht="15.75" customHeight="1">
      <c r="L2776" s="7"/>
      <c r="M2776" s="7"/>
      <c r="N2776" s="7"/>
      <c r="O2776" s="7"/>
      <c r="P2776" s="7"/>
      <c r="Q2776" s="7"/>
    </row>
    <row r="2777" spans="12:17" ht="15.75" customHeight="1">
      <c r="L2777" s="7"/>
      <c r="M2777" s="7"/>
      <c r="N2777" s="7"/>
      <c r="O2777" s="7"/>
      <c r="P2777" s="7"/>
      <c r="Q2777" s="7"/>
    </row>
    <row r="2778" spans="12:17" ht="15.75" customHeight="1">
      <c r="L2778" s="7"/>
      <c r="M2778" s="7"/>
      <c r="N2778" s="7"/>
      <c r="O2778" s="7"/>
      <c r="P2778" s="7"/>
      <c r="Q2778" s="7"/>
    </row>
    <row r="2779" spans="12:17" ht="15.75" customHeight="1">
      <c r="L2779" s="7"/>
      <c r="M2779" s="7"/>
      <c r="N2779" s="7"/>
      <c r="O2779" s="7"/>
      <c r="P2779" s="7"/>
      <c r="Q2779" s="7"/>
    </row>
    <row r="2780" spans="12:17" ht="15.75" customHeight="1">
      <c r="L2780" s="7"/>
      <c r="M2780" s="7"/>
      <c r="N2780" s="7"/>
      <c r="O2780" s="7"/>
      <c r="P2780" s="7"/>
      <c r="Q2780" s="7"/>
    </row>
    <row r="2781" spans="12:17" ht="15.75" customHeight="1">
      <c r="L2781" s="7"/>
      <c r="M2781" s="7"/>
      <c r="N2781" s="7"/>
      <c r="O2781" s="7"/>
      <c r="P2781" s="7"/>
      <c r="Q2781" s="7"/>
    </row>
    <row r="2782" spans="12:17" ht="15.75" customHeight="1">
      <c r="L2782" s="7"/>
      <c r="M2782" s="7"/>
      <c r="N2782" s="7"/>
      <c r="O2782" s="7"/>
      <c r="P2782" s="7"/>
      <c r="Q2782" s="7"/>
    </row>
    <row r="2783" spans="12:17" ht="15.75" customHeight="1">
      <c r="L2783" s="7"/>
      <c r="M2783" s="7"/>
      <c r="N2783" s="7"/>
      <c r="O2783" s="7"/>
      <c r="P2783" s="7"/>
      <c r="Q2783" s="7"/>
    </row>
    <row r="2784" spans="12:17" ht="15.75" customHeight="1">
      <c r="L2784" s="7"/>
      <c r="M2784" s="7"/>
      <c r="N2784" s="7"/>
      <c r="O2784" s="7"/>
      <c r="P2784" s="7"/>
      <c r="Q2784" s="7"/>
    </row>
    <row r="2785" spans="12:17" ht="15.75" customHeight="1">
      <c r="L2785" s="7"/>
      <c r="M2785" s="7"/>
      <c r="N2785" s="7"/>
      <c r="O2785" s="7"/>
      <c r="P2785" s="7"/>
      <c r="Q2785" s="7"/>
    </row>
    <row r="2786" spans="12:17" ht="15.75" customHeight="1">
      <c r="L2786" s="7"/>
      <c r="M2786" s="7"/>
      <c r="N2786" s="7"/>
      <c r="O2786" s="7"/>
      <c r="P2786" s="7"/>
      <c r="Q2786" s="7"/>
    </row>
    <row r="2787" spans="12:17" ht="15.75" customHeight="1">
      <c r="L2787" s="7"/>
      <c r="M2787" s="7"/>
      <c r="N2787" s="7"/>
      <c r="O2787" s="7"/>
      <c r="P2787" s="7"/>
      <c r="Q2787" s="7"/>
    </row>
    <row r="2788" spans="12:17" ht="15.75" customHeight="1">
      <c r="L2788" s="7"/>
      <c r="M2788" s="7"/>
      <c r="N2788" s="7"/>
      <c r="O2788" s="7"/>
      <c r="P2788" s="7"/>
      <c r="Q2788" s="7"/>
    </row>
    <row r="2789" spans="12:17" ht="15.75" customHeight="1">
      <c r="L2789" s="7"/>
      <c r="M2789" s="7"/>
      <c r="N2789" s="7"/>
      <c r="O2789" s="7"/>
      <c r="P2789" s="7"/>
      <c r="Q2789" s="7"/>
    </row>
    <row r="2790" spans="12:17" ht="15.75" customHeight="1">
      <c r="L2790" s="7"/>
      <c r="M2790" s="7"/>
      <c r="N2790" s="7"/>
      <c r="O2790" s="7"/>
      <c r="P2790" s="7"/>
      <c r="Q2790" s="7"/>
    </row>
    <row r="2791" spans="12:17" ht="15.75" customHeight="1">
      <c r="L2791" s="7"/>
      <c r="M2791" s="7"/>
      <c r="N2791" s="7"/>
      <c r="O2791" s="7"/>
      <c r="P2791" s="7"/>
      <c r="Q2791" s="7"/>
    </row>
    <row r="2792" spans="12:17" ht="15.75" customHeight="1">
      <c r="L2792" s="7"/>
      <c r="M2792" s="7"/>
      <c r="N2792" s="7"/>
      <c r="O2792" s="7"/>
      <c r="P2792" s="7"/>
      <c r="Q2792" s="7"/>
    </row>
    <row r="2793" spans="12:17" ht="15.75" customHeight="1">
      <c r="L2793" s="7"/>
      <c r="M2793" s="7"/>
      <c r="N2793" s="7"/>
      <c r="O2793" s="7"/>
      <c r="P2793" s="7"/>
      <c r="Q2793" s="7"/>
    </row>
    <row r="2794" spans="12:17" ht="15.75" customHeight="1">
      <c r="L2794" s="7"/>
      <c r="M2794" s="7"/>
      <c r="N2794" s="7"/>
      <c r="O2794" s="7"/>
      <c r="P2794" s="7"/>
      <c r="Q2794" s="7"/>
    </row>
    <row r="2795" spans="12:17" ht="15.75" customHeight="1">
      <c r="L2795" s="7"/>
      <c r="M2795" s="7"/>
      <c r="N2795" s="7"/>
      <c r="O2795" s="7"/>
      <c r="P2795" s="7"/>
      <c r="Q2795" s="7"/>
    </row>
    <row r="2796" spans="12:17" ht="15.75" customHeight="1">
      <c r="L2796" s="7"/>
      <c r="M2796" s="7"/>
      <c r="N2796" s="7"/>
      <c r="O2796" s="7"/>
      <c r="P2796" s="7"/>
      <c r="Q2796" s="7"/>
    </row>
    <row r="2797" spans="12:17" ht="15.75" customHeight="1">
      <c r="L2797" s="7"/>
      <c r="M2797" s="7"/>
      <c r="N2797" s="7"/>
      <c r="O2797" s="7"/>
      <c r="P2797" s="7"/>
      <c r="Q2797" s="7"/>
    </row>
    <row r="2798" spans="12:17" ht="15.75" customHeight="1">
      <c r="L2798" s="7"/>
      <c r="M2798" s="7"/>
      <c r="N2798" s="7"/>
      <c r="O2798" s="7"/>
      <c r="P2798" s="7"/>
      <c r="Q2798" s="7"/>
    </row>
    <row r="2799" spans="12:17" ht="15.75" customHeight="1">
      <c r="L2799" s="7"/>
      <c r="M2799" s="7"/>
      <c r="N2799" s="7"/>
      <c r="O2799" s="7"/>
      <c r="P2799" s="7"/>
      <c r="Q2799" s="7"/>
    </row>
    <row r="2800" spans="12:17" ht="15.75" customHeight="1">
      <c r="L2800" s="7"/>
      <c r="M2800" s="7"/>
      <c r="N2800" s="7"/>
      <c r="O2800" s="7"/>
      <c r="P2800" s="7"/>
      <c r="Q2800" s="7"/>
    </row>
    <row r="2801" spans="12:17" ht="15.75" customHeight="1">
      <c r="L2801" s="7"/>
      <c r="M2801" s="7"/>
      <c r="N2801" s="7"/>
      <c r="O2801" s="7"/>
      <c r="P2801" s="7"/>
      <c r="Q2801" s="7"/>
    </row>
    <row r="2802" spans="12:17" ht="15.75" customHeight="1">
      <c r="L2802" s="7"/>
      <c r="M2802" s="7"/>
      <c r="N2802" s="7"/>
      <c r="O2802" s="7"/>
      <c r="P2802" s="7"/>
      <c r="Q2802" s="7"/>
    </row>
    <row r="2803" spans="12:17" ht="15.75" customHeight="1">
      <c r="L2803" s="7"/>
      <c r="M2803" s="7"/>
      <c r="N2803" s="7"/>
      <c r="O2803" s="7"/>
      <c r="P2803" s="7"/>
      <c r="Q2803" s="7"/>
    </row>
    <row r="2804" spans="12:17" ht="15.75" customHeight="1">
      <c r="L2804" s="7"/>
      <c r="M2804" s="7"/>
      <c r="N2804" s="7"/>
      <c r="O2804" s="7"/>
      <c r="P2804" s="7"/>
      <c r="Q2804" s="7"/>
    </row>
    <row r="2805" spans="12:17" ht="15.75" customHeight="1">
      <c r="L2805" s="7"/>
      <c r="M2805" s="7"/>
      <c r="N2805" s="7"/>
      <c r="O2805" s="7"/>
      <c r="P2805" s="7"/>
      <c r="Q2805" s="7"/>
    </row>
    <row r="2806" spans="12:17" ht="15.75" customHeight="1">
      <c r="L2806" s="7"/>
      <c r="M2806" s="7"/>
      <c r="N2806" s="7"/>
      <c r="O2806" s="7"/>
      <c r="P2806" s="7"/>
      <c r="Q2806" s="7"/>
    </row>
    <row r="2807" spans="12:17" ht="15.75" customHeight="1">
      <c r="L2807" s="7"/>
      <c r="M2807" s="7"/>
      <c r="N2807" s="7"/>
      <c r="O2807" s="7"/>
      <c r="P2807" s="7"/>
      <c r="Q2807" s="7"/>
    </row>
    <row r="2808" spans="12:17" ht="15.75" customHeight="1">
      <c r="L2808" s="7"/>
      <c r="M2808" s="7"/>
      <c r="N2808" s="7"/>
      <c r="O2808" s="7"/>
      <c r="P2808" s="7"/>
      <c r="Q2808" s="7"/>
    </row>
    <row r="2809" spans="12:17" ht="15.75" customHeight="1">
      <c r="L2809" s="7"/>
      <c r="M2809" s="7"/>
      <c r="N2809" s="7"/>
      <c r="O2809" s="7"/>
      <c r="P2809" s="7"/>
      <c r="Q2809" s="7"/>
    </row>
    <row r="2810" spans="12:17" ht="15.75" customHeight="1">
      <c r="L2810" s="7"/>
      <c r="M2810" s="7"/>
      <c r="N2810" s="7"/>
      <c r="O2810" s="7"/>
      <c r="P2810" s="7"/>
      <c r="Q2810" s="7"/>
    </row>
    <row r="2811" spans="12:17" ht="15.75" customHeight="1">
      <c r="L2811" s="7"/>
      <c r="M2811" s="7"/>
      <c r="N2811" s="7"/>
      <c r="O2811" s="7"/>
      <c r="P2811" s="7"/>
      <c r="Q2811" s="7"/>
    </row>
    <row r="2812" spans="12:17" ht="15.75" customHeight="1">
      <c r="L2812" s="7"/>
      <c r="M2812" s="7"/>
      <c r="N2812" s="7"/>
      <c r="O2812" s="7"/>
      <c r="P2812" s="7"/>
      <c r="Q2812" s="7"/>
    </row>
    <row r="2813" spans="12:17" ht="15.75" customHeight="1">
      <c r="L2813" s="7"/>
      <c r="M2813" s="7"/>
      <c r="N2813" s="7"/>
      <c r="O2813" s="7"/>
      <c r="P2813" s="7"/>
      <c r="Q2813" s="7"/>
    </row>
    <row r="2814" spans="12:17" ht="15.75" customHeight="1">
      <c r="L2814" s="7"/>
      <c r="M2814" s="7"/>
      <c r="N2814" s="7"/>
      <c r="O2814" s="7"/>
      <c r="P2814" s="7"/>
      <c r="Q2814" s="7"/>
    </row>
    <row r="2815" spans="12:17" ht="15.75" customHeight="1">
      <c r="L2815" s="7"/>
      <c r="M2815" s="7"/>
      <c r="N2815" s="7"/>
      <c r="O2815" s="7"/>
      <c r="P2815" s="7"/>
      <c r="Q2815" s="7"/>
    </row>
    <row r="2816" spans="12:17" ht="15.75" customHeight="1">
      <c r="L2816" s="7"/>
      <c r="M2816" s="7"/>
      <c r="N2816" s="7"/>
      <c r="O2816" s="7"/>
      <c r="P2816" s="7"/>
      <c r="Q2816" s="7"/>
    </row>
    <row r="2817" spans="12:17" ht="15.75" customHeight="1">
      <c r="L2817" s="7"/>
      <c r="M2817" s="7"/>
      <c r="N2817" s="7"/>
      <c r="O2817" s="7"/>
      <c r="P2817" s="7"/>
      <c r="Q2817" s="7"/>
    </row>
    <row r="2818" spans="12:17" ht="15.75" customHeight="1">
      <c r="L2818" s="7"/>
      <c r="M2818" s="7"/>
      <c r="N2818" s="7"/>
      <c r="O2818" s="7"/>
      <c r="P2818" s="7"/>
      <c r="Q2818" s="7"/>
    </row>
    <row r="2819" spans="12:17" ht="15.75" customHeight="1">
      <c r="L2819" s="7"/>
      <c r="M2819" s="7"/>
      <c r="N2819" s="7"/>
      <c r="O2819" s="7"/>
      <c r="P2819" s="7"/>
      <c r="Q2819" s="7"/>
    </row>
    <row r="2820" spans="12:17" ht="15.75" customHeight="1">
      <c r="L2820" s="7"/>
      <c r="M2820" s="7"/>
      <c r="N2820" s="7"/>
      <c r="O2820" s="7"/>
      <c r="P2820" s="7"/>
      <c r="Q2820" s="7"/>
    </row>
    <row r="2821" spans="12:17" ht="15.75" customHeight="1">
      <c r="L2821" s="7"/>
      <c r="M2821" s="7"/>
      <c r="N2821" s="7"/>
      <c r="O2821" s="7"/>
      <c r="P2821" s="7"/>
      <c r="Q2821" s="7"/>
    </row>
    <row r="2822" spans="12:17" ht="15.75" customHeight="1">
      <c r="L2822" s="7"/>
      <c r="M2822" s="7"/>
      <c r="N2822" s="7"/>
      <c r="O2822" s="7"/>
      <c r="P2822" s="7"/>
      <c r="Q2822" s="7"/>
    </row>
    <row r="2823" spans="12:17" ht="15.75" customHeight="1">
      <c r="L2823" s="7"/>
      <c r="M2823" s="7"/>
      <c r="N2823" s="7"/>
      <c r="O2823" s="7"/>
      <c r="P2823" s="7"/>
      <c r="Q2823" s="7"/>
    </row>
    <row r="2824" spans="12:17" ht="15.75" customHeight="1">
      <c r="L2824" s="7"/>
      <c r="M2824" s="7"/>
      <c r="N2824" s="7"/>
      <c r="O2824" s="7"/>
      <c r="P2824" s="7"/>
      <c r="Q2824" s="7"/>
    </row>
    <row r="2825" spans="12:17" ht="15.75" customHeight="1">
      <c r="L2825" s="7"/>
      <c r="M2825" s="7"/>
      <c r="N2825" s="7"/>
      <c r="O2825" s="7"/>
      <c r="P2825" s="7"/>
      <c r="Q2825" s="7"/>
    </row>
    <row r="2826" spans="12:17" ht="15.75" customHeight="1">
      <c r="L2826" s="7"/>
      <c r="M2826" s="7"/>
      <c r="N2826" s="7"/>
      <c r="O2826" s="7"/>
      <c r="P2826" s="7"/>
      <c r="Q2826" s="7"/>
    </row>
    <row r="2827" spans="12:17" ht="15.75" customHeight="1">
      <c r="L2827" s="7"/>
      <c r="M2827" s="7"/>
      <c r="N2827" s="7"/>
      <c r="O2827" s="7"/>
      <c r="P2827" s="7"/>
      <c r="Q2827" s="7"/>
    </row>
    <row r="2828" spans="12:17" ht="15.75" customHeight="1">
      <c r="L2828" s="7"/>
      <c r="M2828" s="7"/>
      <c r="N2828" s="7"/>
      <c r="O2828" s="7"/>
      <c r="P2828" s="7"/>
      <c r="Q2828" s="7"/>
    </row>
    <row r="2829" spans="12:17" ht="15.75" customHeight="1">
      <c r="L2829" s="7"/>
      <c r="M2829" s="7"/>
      <c r="N2829" s="7"/>
      <c r="O2829" s="7"/>
      <c r="P2829" s="7"/>
      <c r="Q2829" s="7"/>
    </row>
    <row r="2830" spans="12:17" ht="15.75" customHeight="1">
      <c r="L2830" s="7"/>
      <c r="M2830" s="7"/>
      <c r="N2830" s="7"/>
      <c r="O2830" s="7"/>
      <c r="P2830" s="7"/>
      <c r="Q2830" s="7"/>
    </row>
    <row r="2831" spans="12:17" ht="15.75" customHeight="1">
      <c r="L2831" s="7"/>
      <c r="M2831" s="7"/>
      <c r="N2831" s="7"/>
      <c r="O2831" s="7"/>
      <c r="P2831" s="7"/>
      <c r="Q2831" s="7"/>
    </row>
    <row r="2832" spans="12:17" ht="15.75" customHeight="1">
      <c r="L2832" s="7"/>
      <c r="M2832" s="7"/>
      <c r="N2832" s="7"/>
      <c r="O2832" s="7"/>
      <c r="P2832" s="7"/>
      <c r="Q2832" s="7"/>
    </row>
    <row r="2833" spans="12:17" ht="15.75" customHeight="1">
      <c r="L2833" s="7"/>
      <c r="M2833" s="7"/>
      <c r="N2833" s="7"/>
      <c r="O2833" s="7"/>
      <c r="P2833" s="7"/>
      <c r="Q2833" s="7"/>
    </row>
    <row r="2834" spans="12:17" ht="15.75" customHeight="1">
      <c r="L2834" s="7"/>
      <c r="M2834" s="7"/>
      <c r="N2834" s="7"/>
      <c r="O2834" s="7"/>
      <c r="P2834" s="7"/>
      <c r="Q2834" s="7"/>
    </row>
    <row r="2835" spans="12:17" ht="15.75" customHeight="1">
      <c r="L2835" s="7"/>
      <c r="M2835" s="7"/>
      <c r="N2835" s="7"/>
      <c r="O2835" s="7"/>
      <c r="P2835" s="7"/>
      <c r="Q2835" s="7"/>
    </row>
    <row r="2836" spans="12:17" ht="15.75" customHeight="1">
      <c r="L2836" s="7"/>
      <c r="M2836" s="7"/>
      <c r="N2836" s="7"/>
      <c r="O2836" s="7"/>
      <c r="P2836" s="7"/>
      <c r="Q2836" s="7"/>
    </row>
    <row r="2837" spans="12:17" ht="15.75" customHeight="1">
      <c r="L2837" s="7"/>
      <c r="M2837" s="7"/>
      <c r="N2837" s="7"/>
      <c r="O2837" s="7"/>
      <c r="P2837" s="7"/>
      <c r="Q2837" s="7"/>
    </row>
    <row r="2838" spans="12:17" ht="15.75" customHeight="1">
      <c r="L2838" s="7"/>
      <c r="M2838" s="7"/>
      <c r="N2838" s="7"/>
      <c r="O2838" s="7"/>
      <c r="P2838" s="7"/>
      <c r="Q2838" s="7"/>
    </row>
    <row r="2839" spans="12:17" ht="15.75" customHeight="1">
      <c r="L2839" s="7"/>
      <c r="M2839" s="7"/>
      <c r="N2839" s="7"/>
      <c r="O2839" s="7"/>
      <c r="P2839" s="7"/>
      <c r="Q2839" s="7"/>
    </row>
    <row r="2840" spans="12:17" ht="15.75" customHeight="1">
      <c r="L2840" s="7"/>
      <c r="M2840" s="7"/>
      <c r="N2840" s="7"/>
      <c r="O2840" s="7"/>
      <c r="P2840" s="7"/>
      <c r="Q2840" s="7"/>
    </row>
    <row r="2841" spans="12:17" ht="15.75" customHeight="1">
      <c r="L2841" s="7"/>
      <c r="M2841" s="7"/>
      <c r="N2841" s="7"/>
      <c r="O2841" s="7"/>
      <c r="P2841" s="7"/>
      <c r="Q2841" s="7"/>
    </row>
    <row r="2842" spans="12:17" ht="15.75" customHeight="1">
      <c r="L2842" s="7"/>
      <c r="M2842" s="7"/>
      <c r="N2842" s="7"/>
      <c r="O2842" s="7"/>
      <c r="P2842" s="7"/>
      <c r="Q2842" s="7"/>
    </row>
    <row r="2843" spans="12:17" ht="15.75" customHeight="1">
      <c r="L2843" s="7"/>
      <c r="M2843" s="7"/>
      <c r="N2843" s="7"/>
      <c r="O2843" s="7"/>
      <c r="P2843" s="7"/>
      <c r="Q2843" s="7"/>
    </row>
    <row r="2844" spans="12:17" ht="15.75" customHeight="1">
      <c r="L2844" s="7"/>
      <c r="M2844" s="7"/>
      <c r="N2844" s="7"/>
      <c r="O2844" s="7"/>
      <c r="P2844" s="7"/>
      <c r="Q2844" s="7"/>
    </row>
    <row r="2845" spans="12:17" ht="15.75" customHeight="1">
      <c r="L2845" s="7"/>
      <c r="M2845" s="7"/>
      <c r="N2845" s="7"/>
      <c r="O2845" s="7"/>
      <c r="P2845" s="7"/>
      <c r="Q2845" s="7"/>
    </row>
    <row r="2846" spans="12:17" ht="15.75" customHeight="1">
      <c r="L2846" s="7"/>
      <c r="M2846" s="7"/>
      <c r="N2846" s="7"/>
      <c r="O2846" s="7"/>
      <c r="P2846" s="7"/>
      <c r="Q2846" s="7"/>
    </row>
    <row r="2847" spans="12:17" ht="15.75" customHeight="1">
      <c r="L2847" s="7"/>
      <c r="M2847" s="7"/>
      <c r="N2847" s="7"/>
      <c r="O2847" s="7"/>
      <c r="P2847" s="7"/>
      <c r="Q2847" s="7"/>
    </row>
    <row r="2848" spans="12:17" ht="15.75" customHeight="1">
      <c r="L2848" s="7"/>
      <c r="M2848" s="7"/>
      <c r="N2848" s="7"/>
      <c r="O2848" s="7"/>
      <c r="P2848" s="7"/>
      <c r="Q2848" s="7"/>
    </row>
    <row r="2849" spans="12:17" ht="15.75" customHeight="1">
      <c r="L2849" s="7"/>
      <c r="M2849" s="7"/>
      <c r="N2849" s="7"/>
      <c r="O2849" s="7"/>
      <c r="P2849" s="7"/>
      <c r="Q2849" s="7"/>
    </row>
    <row r="2850" spans="12:17" ht="15.75" customHeight="1">
      <c r="L2850" s="7"/>
      <c r="M2850" s="7"/>
      <c r="N2850" s="7"/>
      <c r="O2850" s="7"/>
      <c r="P2850" s="7"/>
      <c r="Q2850" s="7"/>
    </row>
    <row r="2851" spans="12:17" ht="15.75" customHeight="1">
      <c r="L2851" s="7"/>
      <c r="M2851" s="7"/>
      <c r="N2851" s="7"/>
      <c r="O2851" s="7"/>
      <c r="P2851" s="7"/>
      <c r="Q2851" s="7"/>
    </row>
    <row r="2852" spans="12:17" ht="15.75" customHeight="1">
      <c r="L2852" s="7"/>
      <c r="M2852" s="7"/>
      <c r="N2852" s="7"/>
      <c r="O2852" s="7"/>
      <c r="P2852" s="7"/>
      <c r="Q2852" s="7"/>
    </row>
    <row r="2853" spans="12:17" ht="15.75" customHeight="1">
      <c r="L2853" s="7"/>
      <c r="M2853" s="7"/>
      <c r="N2853" s="7"/>
      <c r="O2853" s="7"/>
      <c r="P2853" s="7"/>
      <c r="Q2853" s="7"/>
    </row>
    <row r="2854" spans="12:17" ht="15.75" customHeight="1">
      <c r="L2854" s="7"/>
      <c r="M2854" s="7"/>
      <c r="N2854" s="7"/>
      <c r="O2854" s="7"/>
      <c r="P2854" s="7"/>
      <c r="Q2854" s="7"/>
    </row>
    <row r="2855" spans="12:17" ht="15.75" customHeight="1">
      <c r="L2855" s="7"/>
      <c r="M2855" s="7"/>
      <c r="N2855" s="7"/>
      <c r="O2855" s="7"/>
      <c r="P2855" s="7"/>
      <c r="Q2855" s="7"/>
    </row>
    <row r="2856" spans="12:17" ht="15.75" customHeight="1">
      <c r="L2856" s="7"/>
      <c r="M2856" s="7"/>
      <c r="N2856" s="7"/>
      <c r="O2856" s="7"/>
      <c r="P2856" s="7"/>
      <c r="Q2856" s="7"/>
    </row>
    <row r="2857" spans="12:17" ht="15.75" customHeight="1">
      <c r="L2857" s="7"/>
      <c r="M2857" s="7"/>
      <c r="N2857" s="7"/>
      <c r="O2857" s="7"/>
      <c r="P2857" s="7"/>
      <c r="Q2857" s="7"/>
    </row>
    <row r="2858" spans="12:17" ht="15.75" customHeight="1">
      <c r="L2858" s="7"/>
      <c r="M2858" s="7"/>
      <c r="N2858" s="7"/>
      <c r="O2858" s="7"/>
      <c r="P2858" s="7"/>
      <c r="Q2858" s="7"/>
    </row>
    <row r="2859" spans="12:17" ht="15.75" customHeight="1">
      <c r="L2859" s="7"/>
      <c r="M2859" s="7"/>
      <c r="N2859" s="7"/>
      <c r="O2859" s="7"/>
      <c r="P2859" s="7"/>
      <c r="Q2859" s="7"/>
    </row>
    <row r="2860" spans="12:17" ht="15.75" customHeight="1">
      <c r="L2860" s="7"/>
      <c r="M2860" s="7"/>
      <c r="N2860" s="7"/>
      <c r="O2860" s="7"/>
      <c r="P2860" s="7"/>
      <c r="Q2860" s="7"/>
    </row>
    <row r="2861" spans="12:17" ht="15.75" customHeight="1">
      <c r="L2861" s="7"/>
      <c r="M2861" s="7"/>
      <c r="N2861" s="7"/>
      <c r="O2861" s="7"/>
      <c r="P2861" s="7"/>
      <c r="Q2861" s="7"/>
    </row>
    <row r="2862" spans="12:17" ht="15.75" customHeight="1">
      <c r="L2862" s="7"/>
      <c r="M2862" s="7"/>
      <c r="N2862" s="7"/>
      <c r="O2862" s="7"/>
      <c r="P2862" s="7"/>
      <c r="Q2862" s="7"/>
    </row>
    <row r="2863" spans="12:17" ht="15.75" customHeight="1">
      <c r="L2863" s="7"/>
      <c r="M2863" s="7"/>
      <c r="N2863" s="7"/>
      <c r="O2863" s="7"/>
      <c r="P2863" s="7"/>
      <c r="Q2863" s="7"/>
    </row>
    <row r="2864" spans="12:17" ht="15.75" customHeight="1">
      <c r="L2864" s="7"/>
      <c r="M2864" s="7"/>
      <c r="N2864" s="7"/>
      <c r="O2864" s="7"/>
      <c r="P2864" s="7"/>
      <c r="Q2864" s="7"/>
    </row>
    <row r="2865" spans="12:17" ht="15.75" customHeight="1">
      <c r="L2865" s="7"/>
      <c r="M2865" s="7"/>
      <c r="N2865" s="7"/>
      <c r="O2865" s="7"/>
      <c r="P2865" s="7"/>
      <c r="Q2865" s="7"/>
    </row>
    <row r="2866" spans="12:17" ht="15.75" customHeight="1">
      <c r="L2866" s="7"/>
      <c r="M2866" s="7"/>
      <c r="N2866" s="7"/>
      <c r="O2866" s="7"/>
      <c r="P2866" s="7"/>
      <c r="Q2866" s="7"/>
    </row>
    <row r="2867" spans="12:17" ht="15.75" customHeight="1">
      <c r="L2867" s="7"/>
      <c r="M2867" s="7"/>
      <c r="N2867" s="7"/>
      <c r="O2867" s="7"/>
      <c r="P2867" s="7"/>
      <c r="Q2867" s="7"/>
    </row>
    <row r="2868" spans="12:17" ht="15.75" customHeight="1">
      <c r="L2868" s="7"/>
      <c r="M2868" s="7"/>
      <c r="N2868" s="7"/>
      <c r="O2868" s="7"/>
      <c r="P2868" s="7"/>
      <c r="Q2868" s="7"/>
    </row>
    <row r="2869" spans="12:17" ht="15.75" customHeight="1">
      <c r="L2869" s="7"/>
      <c r="M2869" s="7"/>
      <c r="N2869" s="7"/>
      <c r="O2869" s="7"/>
      <c r="P2869" s="7"/>
      <c r="Q2869" s="7"/>
    </row>
    <row r="2870" spans="12:17" ht="15.75" customHeight="1">
      <c r="L2870" s="7"/>
      <c r="M2870" s="7"/>
      <c r="N2870" s="7"/>
      <c r="O2870" s="7"/>
      <c r="P2870" s="7"/>
      <c r="Q2870" s="7"/>
    </row>
    <row r="2871" spans="12:17" ht="15.75" customHeight="1">
      <c r="L2871" s="7"/>
      <c r="M2871" s="7"/>
      <c r="N2871" s="7"/>
      <c r="O2871" s="7"/>
      <c r="P2871" s="7"/>
      <c r="Q2871" s="7"/>
    </row>
    <row r="2872" spans="12:17" ht="15.75" customHeight="1">
      <c r="L2872" s="7"/>
      <c r="M2872" s="7"/>
      <c r="N2872" s="7"/>
      <c r="O2872" s="7"/>
      <c r="P2872" s="7"/>
      <c r="Q2872" s="7"/>
    </row>
    <row r="2873" spans="12:17" ht="15.75" customHeight="1">
      <c r="L2873" s="7"/>
      <c r="M2873" s="7"/>
      <c r="N2873" s="7"/>
      <c r="O2873" s="7"/>
      <c r="P2873" s="7"/>
      <c r="Q2873" s="7"/>
    </row>
    <row r="2874" spans="12:17" ht="15.75" customHeight="1">
      <c r="L2874" s="7"/>
      <c r="M2874" s="7"/>
      <c r="N2874" s="7"/>
      <c r="O2874" s="7"/>
      <c r="P2874" s="7"/>
      <c r="Q2874" s="7"/>
    </row>
    <row r="2875" spans="12:17" ht="15.75" customHeight="1">
      <c r="L2875" s="7"/>
      <c r="M2875" s="7"/>
      <c r="N2875" s="7"/>
      <c r="O2875" s="7"/>
      <c r="P2875" s="7"/>
      <c r="Q2875" s="7"/>
    </row>
    <row r="2876" spans="12:17" ht="15.75" customHeight="1">
      <c r="L2876" s="7"/>
      <c r="M2876" s="7"/>
      <c r="N2876" s="7"/>
      <c r="O2876" s="7"/>
      <c r="P2876" s="7"/>
      <c r="Q2876" s="7"/>
    </row>
    <row r="2877" spans="12:17" ht="15.75" customHeight="1">
      <c r="L2877" s="7"/>
      <c r="M2877" s="7"/>
      <c r="N2877" s="7"/>
      <c r="O2877" s="7"/>
      <c r="P2877" s="7"/>
      <c r="Q2877" s="7"/>
    </row>
    <row r="2878" spans="12:17" ht="15.75" customHeight="1">
      <c r="L2878" s="7"/>
      <c r="M2878" s="7"/>
      <c r="N2878" s="7"/>
      <c r="O2878" s="7"/>
      <c r="P2878" s="7"/>
      <c r="Q2878" s="7"/>
    </row>
    <row r="2879" spans="12:17" ht="15.75" customHeight="1">
      <c r="L2879" s="7"/>
      <c r="M2879" s="7"/>
      <c r="N2879" s="7"/>
      <c r="O2879" s="7"/>
      <c r="P2879" s="7"/>
      <c r="Q2879" s="7"/>
    </row>
    <row r="2880" spans="12:17" ht="15.75" customHeight="1">
      <c r="L2880" s="7"/>
      <c r="M2880" s="7"/>
      <c r="N2880" s="7"/>
      <c r="O2880" s="7"/>
      <c r="P2880" s="7"/>
      <c r="Q2880" s="7"/>
    </row>
    <row r="2881" spans="12:17" ht="15.75" customHeight="1">
      <c r="L2881" s="7"/>
      <c r="M2881" s="7"/>
      <c r="N2881" s="7"/>
      <c r="O2881" s="7"/>
      <c r="P2881" s="7"/>
      <c r="Q2881" s="7"/>
    </row>
    <row r="2882" spans="12:17" ht="15.75" customHeight="1">
      <c r="L2882" s="7"/>
      <c r="M2882" s="7"/>
      <c r="N2882" s="7"/>
      <c r="O2882" s="7"/>
      <c r="P2882" s="7"/>
      <c r="Q2882" s="7"/>
    </row>
    <row r="2883" spans="12:17" ht="15.75" customHeight="1">
      <c r="L2883" s="7"/>
      <c r="M2883" s="7"/>
      <c r="N2883" s="7"/>
      <c r="O2883" s="7"/>
      <c r="P2883" s="7"/>
      <c r="Q2883" s="7"/>
    </row>
    <row r="2884" spans="12:17" ht="15.75" customHeight="1">
      <c r="L2884" s="7"/>
      <c r="M2884" s="7"/>
      <c r="N2884" s="7"/>
      <c r="O2884" s="7"/>
      <c r="P2884" s="7"/>
      <c r="Q2884" s="7"/>
    </row>
    <row r="2885" spans="12:17" ht="15.75" customHeight="1">
      <c r="L2885" s="7"/>
      <c r="M2885" s="7"/>
      <c r="N2885" s="7"/>
      <c r="O2885" s="7"/>
      <c r="P2885" s="7"/>
      <c r="Q2885" s="7"/>
    </row>
    <row r="2886" spans="12:17" ht="15.75" customHeight="1">
      <c r="L2886" s="7"/>
      <c r="M2886" s="7"/>
      <c r="N2886" s="7"/>
      <c r="O2886" s="7"/>
      <c r="P2886" s="7"/>
      <c r="Q2886" s="7"/>
    </row>
    <row r="2887" spans="12:17" ht="15.75" customHeight="1">
      <c r="L2887" s="7"/>
      <c r="M2887" s="7"/>
      <c r="N2887" s="7"/>
      <c r="O2887" s="7"/>
      <c r="P2887" s="7"/>
      <c r="Q2887" s="7"/>
    </row>
    <row r="2888" spans="12:17" ht="15.75" customHeight="1">
      <c r="L2888" s="7"/>
      <c r="M2888" s="7"/>
      <c r="N2888" s="7"/>
      <c r="O2888" s="7"/>
      <c r="P2888" s="7"/>
      <c r="Q2888" s="7"/>
    </row>
    <row r="2889" spans="12:17" ht="15.75" customHeight="1">
      <c r="L2889" s="7"/>
      <c r="M2889" s="7"/>
      <c r="N2889" s="7"/>
      <c r="O2889" s="7"/>
      <c r="P2889" s="7"/>
      <c r="Q2889" s="7"/>
    </row>
    <row r="2890" spans="12:17" ht="15.75" customHeight="1">
      <c r="L2890" s="7"/>
      <c r="M2890" s="7"/>
      <c r="N2890" s="7"/>
      <c r="O2890" s="7"/>
      <c r="P2890" s="7"/>
      <c r="Q2890" s="7"/>
    </row>
    <row r="2891" spans="12:17" ht="15.75" customHeight="1">
      <c r="L2891" s="7"/>
      <c r="M2891" s="7"/>
      <c r="N2891" s="7"/>
      <c r="O2891" s="7"/>
      <c r="P2891" s="7"/>
      <c r="Q2891" s="7"/>
    </row>
    <row r="2892" spans="12:17" ht="15.75" customHeight="1">
      <c r="L2892" s="7"/>
      <c r="M2892" s="7"/>
      <c r="N2892" s="7"/>
      <c r="O2892" s="7"/>
      <c r="P2892" s="7"/>
      <c r="Q2892" s="7"/>
    </row>
    <row r="2893" spans="12:17" ht="15.75" customHeight="1">
      <c r="L2893" s="7"/>
      <c r="M2893" s="7"/>
      <c r="N2893" s="7"/>
      <c r="O2893" s="7"/>
      <c r="P2893" s="7"/>
      <c r="Q2893" s="7"/>
    </row>
    <row r="2894" spans="12:17" ht="15.75" customHeight="1">
      <c r="L2894" s="7"/>
      <c r="M2894" s="7"/>
      <c r="N2894" s="7"/>
      <c r="O2894" s="7"/>
      <c r="P2894" s="7"/>
      <c r="Q2894" s="7"/>
    </row>
    <row r="2895" spans="12:17" ht="15.75" customHeight="1">
      <c r="L2895" s="7"/>
      <c r="M2895" s="7"/>
      <c r="N2895" s="7"/>
      <c r="O2895" s="7"/>
      <c r="P2895" s="7"/>
      <c r="Q2895" s="7"/>
    </row>
    <row r="2896" spans="12:17" ht="15.75" customHeight="1">
      <c r="L2896" s="7"/>
      <c r="M2896" s="7"/>
      <c r="N2896" s="7"/>
      <c r="O2896" s="7"/>
      <c r="P2896" s="7"/>
      <c r="Q2896" s="7"/>
    </row>
    <row r="2897" spans="12:17" ht="15.75" customHeight="1">
      <c r="L2897" s="7"/>
      <c r="M2897" s="7"/>
      <c r="N2897" s="7"/>
      <c r="O2897" s="7"/>
      <c r="P2897" s="7"/>
      <c r="Q2897" s="7"/>
    </row>
    <row r="2898" spans="12:17" ht="15.75" customHeight="1">
      <c r="L2898" s="7"/>
      <c r="M2898" s="7"/>
      <c r="N2898" s="7"/>
      <c r="O2898" s="7"/>
      <c r="P2898" s="7"/>
      <c r="Q2898" s="7"/>
    </row>
    <row r="2899" spans="12:17" ht="15.75" customHeight="1">
      <c r="L2899" s="7"/>
      <c r="M2899" s="7"/>
      <c r="N2899" s="7"/>
      <c r="O2899" s="7"/>
      <c r="P2899" s="7"/>
      <c r="Q2899" s="7"/>
    </row>
    <row r="2900" spans="12:17" ht="15.75" customHeight="1">
      <c r="L2900" s="7"/>
      <c r="M2900" s="7"/>
      <c r="N2900" s="7"/>
      <c r="O2900" s="7"/>
      <c r="P2900" s="7"/>
      <c r="Q2900" s="7"/>
    </row>
    <row r="2901" spans="12:17" ht="15.75" customHeight="1">
      <c r="L2901" s="7"/>
      <c r="M2901" s="7"/>
      <c r="N2901" s="7"/>
      <c r="O2901" s="7"/>
      <c r="P2901" s="7"/>
      <c r="Q2901" s="7"/>
    </row>
    <row r="2902" spans="12:17" ht="15.75" customHeight="1">
      <c r="L2902" s="7"/>
      <c r="M2902" s="7"/>
      <c r="N2902" s="7"/>
      <c r="O2902" s="7"/>
      <c r="P2902" s="7"/>
      <c r="Q2902" s="7"/>
    </row>
    <row r="2903" spans="12:17" ht="15.75" customHeight="1">
      <c r="L2903" s="7"/>
      <c r="M2903" s="7"/>
      <c r="N2903" s="7"/>
      <c r="O2903" s="7"/>
      <c r="P2903" s="7"/>
      <c r="Q2903" s="7"/>
    </row>
    <row r="2904" spans="12:17" ht="15.75" customHeight="1">
      <c r="L2904" s="7"/>
      <c r="M2904" s="7"/>
      <c r="N2904" s="7"/>
      <c r="O2904" s="7"/>
      <c r="P2904" s="7"/>
      <c r="Q2904" s="7"/>
    </row>
    <row r="2905" spans="12:17" ht="15.75" customHeight="1">
      <c r="L2905" s="7"/>
      <c r="M2905" s="7"/>
      <c r="N2905" s="7"/>
      <c r="O2905" s="7"/>
      <c r="P2905" s="7"/>
      <c r="Q2905" s="7"/>
    </row>
    <row r="2906" spans="12:17" ht="15.75" customHeight="1">
      <c r="L2906" s="7"/>
      <c r="M2906" s="7"/>
      <c r="N2906" s="7"/>
      <c r="O2906" s="7"/>
      <c r="P2906" s="7"/>
      <c r="Q2906" s="7"/>
    </row>
    <row r="2907" spans="12:17" ht="15.75" customHeight="1">
      <c r="L2907" s="7"/>
      <c r="M2907" s="7"/>
      <c r="N2907" s="7"/>
      <c r="O2907" s="7"/>
      <c r="P2907" s="7"/>
      <c r="Q2907" s="7"/>
    </row>
    <row r="2908" spans="12:17" ht="15.75" customHeight="1">
      <c r="L2908" s="7"/>
      <c r="M2908" s="7"/>
      <c r="N2908" s="7"/>
      <c r="O2908" s="7"/>
      <c r="P2908" s="7"/>
      <c r="Q2908" s="7"/>
    </row>
    <row r="2909" spans="12:17" ht="15.75" customHeight="1">
      <c r="L2909" s="7"/>
      <c r="M2909" s="7"/>
      <c r="N2909" s="7"/>
      <c r="O2909" s="7"/>
      <c r="P2909" s="7"/>
      <c r="Q2909" s="7"/>
    </row>
    <row r="2910" spans="12:17" ht="15.75" customHeight="1">
      <c r="L2910" s="7"/>
      <c r="M2910" s="7"/>
      <c r="N2910" s="7"/>
      <c r="O2910" s="7"/>
      <c r="P2910" s="7"/>
      <c r="Q2910" s="7"/>
    </row>
    <row r="2911" spans="12:17" ht="15.75" customHeight="1">
      <c r="L2911" s="7"/>
      <c r="M2911" s="7"/>
      <c r="N2911" s="7"/>
      <c r="O2911" s="7"/>
      <c r="P2911" s="7"/>
      <c r="Q2911" s="7"/>
    </row>
    <row r="2912" spans="12:17" ht="15.75" customHeight="1">
      <c r="L2912" s="7"/>
      <c r="M2912" s="7"/>
      <c r="N2912" s="7"/>
      <c r="O2912" s="7"/>
      <c r="P2912" s="7"/>
      <c r="Q2912" s="7"/>
    </row>
    <row r="2913" spans="12:17" ht="15.75" customHeight="1">
      <c r="L2913" s="7"/>
      <c r="M2913" s="7"/>
      <c r="N2913" s="7"/>
      <c r="O2913" s="7"/>
      <c r="P2913" s="7"/>
      <c r="Q2913" s="7"/>
    </row>
    <row r="2914" spans="12:17" ht="15.75" customHeight="1">
      <c r="L2914" s="7"/>
      <c r="M2914" s="7"/>
      <c r="N2914" s="7"/>
      <c r="O2914" s="7"/>
      <c r="P2914" s="7"/>
      <c r="Q2914" s="7"/>
    </row>
    <row r="2915" spans="12:17" ht="15.75" customHeight="1">
      <c r="L2915" s="7"/>
      <c r="M2915" s="7"/>
      <c r="N2915" s="7"/>
      <c r="O2915" s="7"/>
      <c r="P2915" s="7"/>
      <c r="Q2915" s="7"/>
    </row>
    <row r="2916" spans="12:17" ht="15.75" customHeight="1">
      <c r="L2916" s="7"/>
      <c r="M2916" s="7"/>
      <c r="N2916" s="7"/>
      <c r="O2916" s="7"/>
      <c r="P2916" s="7"/>
      <c r="Q2916" s="7"/>
    </row>
    <row r="2917" spans="12:17" ht="15.75" customHeight="1">
      <c r="L2917" s="7"/>
      <c r="M2917" s="7"/>
      <c r="N2917" s="7"/>
      <c r="O2917" s="7"/>
      <c r="P2917" s="7"/>
      <c r="Q2917" s="7"/>
    </row>
    <row r="2918" spans="12:17" ht="15.75" customHeight="1">
      <c r="L2918" s="7"/>
      <c r="M2918" s="7"/>
      <c r="N2918" s="7"/>
      <c r="O2918" s="7"/>
      <c r="P2918" s="7"/>
      <c r="Q2918" s="7"/>
    </row>
    <row r="2919" spans="12:17" ht="15.75" customHeight="1">
      <c r="L2919" s="7"/>
      <c r="M2919" s="7"/>
      <c r="N2919" s="7"/>
      <c r="O2919" s="7"/>
      <c r="P2919" s="7"/>
      <c r="Q2919" s="7"/>
    </row>
    <row r="2920" spans="12:17" ht="15.75" customHeight="1">
      <c r="L2920" s="7"/>
      <c r="M2920" s="7"/>
      <c r="N2920" s="7"/>
      <c r="O2920" s="7"/>
      <c r="P2920" s="7"/>
      <c r="Q2920" s="7"/>
    </row>
    <row r="2921" spans="12:17" ht="15.75" customHeight="1">
      <c r="L2921" s="7"/>
      <c r="M2921" s="7"/>
      <c r="N2921" s="7"/>
      <c r="O2921" s="7"/>
      <c r="P2921" s="7"/>
      <c r="Q2921" s="7"/>
    </row>
    <row r="2922" spans="12:17" ht="15.75" customHeight="1">
      <c r="L2922" s="7"/>
      <c r="M2922" s="7"/>
      <c r="N2922" s="7"/>
      <c r="O2922" s="7"/>
      <c r="P2922" s="7"/>
      <c r="Q2922" s="7"/>
    </row>
    <row r="2923" spans="12:17" ht="15.75" customHeight="1">
      <c r="L2923" s="7"/>
      <c r="M2923" s="7"/>
      <c r="N2923" s="7"/>
      <c r="O2923" s="7"/>
      <c r="P2923" s="7"/>
      <c r="Q2923" s="7"/>
    </row>
    <row r="2924" spans="12:17" ht="15.75" customHeight="1">
      <c r="L2924" s="7"/>
      <c r="M2924" s="7"/>
      <c r="N2924" s="7"/>
      <c r="O2924" s="7"/>
      <c r="P2924" s="7"/>
      <c r="Q2924" s="7"/>
    </row>
    <row r="2925" spans="12:17" ht="15.75" customHeight="1">
      <c r="L2925" s="7"/>
      <c r="M2925" s="7"/>
      <c r="N2925" s="7"/>
      <c r="O2925" s="7"/>
      <c r="P2925" s="7"/>
      <c r="Q2925" s="7"/>
    </row>
    <row r="2926" spans="12:17" ht="15.75" customHeight="1">
      <c r="L2926" s="7"/>
      <c r="M2926" s="7"/>
      <c r="N2926" s="7"/>
      <c r="O2926" s="7"/>
      <c r="P2926" s="7"/>
      <c r="Q2926" s="7"/>
    </row>
    <row r="2927" spans="12:17" ht="15.75" customHeight="1">
      <c r="L2927" s="7"/>
      <c r="M2927" s="7"/>
      <c r="N2927" s="7"/>
      <c r="O2927" s="7"/>
      <c r="P2927" s="7"/>
      <c r="Q2927" s="7"/>
    </row>
    <row r="2928" spans="12:17" ht="15.75" customHeight="1">
      <c r="L2928" s="7"/>
      <c r="M2928" s="7"/>
      <c r="N2928" s="7"/>
      <c r="O2928" s="7"/>
      <c r="P2928" s="7"/>
      <c r="Q2928" s="7"/>
    </row>
    <row r="2929" spans="12:17" ht="15.75" customHeight="1">
      <c r="L2929" s="7"/>
      <c r="M2929" s="7"/>
      <c r="N2929" s="7"/>
      <c r="O2929" s="7"/>
      <c r="P2929" s="7"/>
      <c r="Q2929" s="7"/>
    </row>
    <row r="2930" spans="12:17" ht="15.75" customHeight="1">
      <c r="L2930" s="7"/>
      <c r="M2930" s="7"/>
      <c r="N2930" s="7"/>
      <c r="O2930" s="7"/>
      <c r="P2930" s="7"/>
      <c r="Q2930" s="7"/>
    </row>
    <row r="2931" spans="12:17" ht="15.75" customHeight="1">
      <c r="L2931" s="7"/>
      <c r="M2931" s="7"/>
      <c r="N2931" s="7"/>
      <c r="O2931" s="7"/>
      <c r="P2931" s="7"/>
      <c r="Q2931" s="7"/>
    </row>
    <row r="2932" spans="12:17" ht="15.75" customHeight="1">
      <c r="L2932" s="7"/>
      <c r="M2932" s="7"/>
      <c r="N2932" s="7"/>
      <c r="O2932" s="7"/>
      <c r="P2932" s="7"/>
      <c r="Q2932" s="7"/>
    </row>
    <row r="2933" spans="12:17" ht="15.75" customHeight="1">
      <c r="L2933" s="7"/>
      <c r="M2933" s="7"/>
      <c r="N2933" s="7"/>
      <c r="O2933" s="7"/>
      <c r="P2933" s="7"/>
      <c r="Q2933" s="7"/>
    </row>
    <row r="2934" spans="12:17" ht="15.75" customHeight="1">
      <c r="L2934" s="7"/>
      <c r="M2934" s="7"/>
      <c r="N2934" s="7"/>
      <c r="O2934" s="7"/>
      <c r="P2934" s="7"/>
      <c r="Q2934" s="7"/>
    </row>
    <row r="2935" spans="12:17" ht="15.75" customHeight="1">
      <c r="L2935" s="7"/>
      <c r="M2935" s="7"/>
      <c r="N2935" s="7"/>
      <c r="O2935" s="7"/>
      <c r="P2935" s="7"/>
      <c r="Q2935" s="7"/>
    </row>
    <row r="2936" spans="12:17" ht="15.75" customHeight="1">
      <c r="L2936" s="7"/>
      <c r="M2936" s="7"/>
      <c r="N2936" s="7"/>
      <c r="O2936" s="7"/>
      <c r="P2936" s="7"/>
      <c r="Q2936" s="7"/>
    </row>
    <row r="2937" spans="12:17" ht="15.75" customHeight="1">
      <c r="L2937" s="7"/>
      <c r="M2937" s="7"/>
      <c r="N2937" s="7"/>
      <c r="O2937" s="7"/>
      <c r="P2937" s="7"/>
      <c r="Q2937" s="7"/>
    </row>
    <row r="2938" spans="12:17" ht="15.75" customHeight="1">
      <c r="L2938" s="7"/>
      <c r="M2938" s="7"/>
      <c r="N2938" s="7"/>
      <c r="O2938" s="7"/>
      <c r="P2938" s="7"/>
      <c r="Q2938" s="7"/>
    </row>
    <row r="2939" spans="12:17" ht="15.75" customHeight="1">
      <c r="L2939" s="7"/>
      <c r="M2939" s="7"/>
      <c r="N2939" s="7"/>
      <c r="O2939" s="7"/>
      <c r="P2939" s="7"/>
      <c r="Q2939" s="7"/>
    </row>
    <row r="2940" spans="12:17" ht="15.75" customHeight="1">
      <c r="L2940" s="7"/>
      <c r="M2940" s="7"/>
      <c r="N2940" s="7"/>
      <c r="O2940" s="7"/>
      <c r="P2940" s="7"/>
      <c r="Q2940" s="7"/>
    </row>
    <row r="2941" spans="12:17" ht="15.75" customHeight="1">
      <c r="L2941" s="7"/>
      <c r="M2941" s="7"/>
      <c r="N2941" s="7"/>
      <c r="O2941" s="7"/>
      <c r="P2941" s="7"/>
      <c r="Q2941" s="7"/>
    </row>
    <row r="2942" spans="12:17" ht="15.75" customHeight="1">
      <c r="L2942" s="7"/>
      <c r="M2942" s="7"/>
      <c r="N2942" s="7"/>
      <c r="O2942" s="7"/>
      <c r="P2942" s="7"/>
      <c r="Q2942" s="7"/>
    </row>
    <row r="2943" spans="12:17" ht="15.75" customHeight="1">
      <c r="L2943" s="7"/>
      <c r="M2943" s="7"/>
      <c r="N2943" s="7"/>
      <c r="O2943" s="7"/>
      <c r="P2943" s="7"/>
      <c r="Q2943" s="7"/>
    </row>
    <row r="2944" spans="12:17" ht="15.75" customHeight="1">
      <c r="L2944" s="7"/>
      <c r="M2944" s="7"/>
      <c r="N2944" s="7"/>
      <c r="O2944" s="7"/>
      <c r="P2944" s="7"/>
      <c r="Q2944" s="7"/>
    </row>
    <row r="2945" spans="12:17" ht="15.75" customHeight="1">
      <c r="L2945" s="7"/>
      <c r="M2945" s="7"/>
      <c r="N2945" s="7"/>
      <c r="O2945" s="7"/>
      <c r="P2945" s="7"/>
      <c r="Q2945" s="7"/>
    </row>
    <row r="2946" spans="12:17" ht="15.75" customHeight="1">
      <c r="L2946" s="7"/>
      <c r="M2946" s="7"/>
      <c r="N2946" s="7"/>
      <c r="O2946" s="7"/>
      <c r="P2946" s="7"/>
      <c r="Q2946" s="7"/>
    </row>
    <row r="2947" spans="12:17" ht="15.75" customHeight="1">
      <c r="L2947" s="7"/>
      <c r="M2947" s="7"/>
      <c r="N2947" s="7"/>
      <c r="O2947" s="7"/>
      <c r="P2947" s="7"/>
      <c r="Q2947" s="7"/>
    </row>
    <row r="2948" spans="12:17" ht="15.75" customHeight="1">
      <c r="L2948" s="7"/>
      <c r="M2948" s="7"/>
      <c r="N2948" s="7"/>
      <c r="O2948" s="7"/>
      <c r="P2948" s="7"/>
      <c r="Q2948" s="7"/>
    </row>
    <row r="2949" spans="12:17" ht="15.75" customHeight="1">
      <c r="L2949" s="7"/>
      <c r="M2949" s="7"/>
      <c r="N2949" s="7"/>
      <c r="O2949" s="7"/>
      <c r="P2949" s="7"/>
      <c r="Q2949" s="7"/>
    </row>
    <row r="2950" spans="12:17" ht="15.75" customHeight="1">
      <c r="L2950" s="7"/>
      <c r="M2950" s="7"/>
      <c r="N2950" s="7"/>
      <c r="O2950" s="7"/>
      <c r="P2950" s="7"/>
      <c r="Q2950" s="7"/>
    </row>
    <row r="2951" spans="12:17" ht="15.75" customHeight="1">
      <c r="L2951" s="7"/>
      <c r="M2951" s="7"/>
      <c r="N2951" s="7"/>
      <c r="O2951" s="7"/>
      <c r="P2951" s="7"/>
      <c r="Q2951" s="7"/>
    </row>
    <row r="2952" spans="12:17" ht="15.75" customHeight="1">
      <c r="L2952" s="7"/>
      <c r="M2952" s="7"/>
      <c r="N2952" s="7"/>
      <c r="O2952" s="7"/>
      <c r="P2952" s="7"/>
      <c r="Q2952" s="7"/>
    </row>
    <row r="2953" spans="12:17" ht="15.75" customHeight="1">
      <c r="L2953" s="7"/>
      <c r="M2953" s="7"/>
      <c r="N2953" s="7"/>
      <c r="O2953" s="7"/>
      <c r="P2953" s="7"/>
      <c r="Q2953" s="7"/>
    </row>
    <row r="2954" spans="12:17" ht="15.75" customHeight="1">
      <c r="L2954" s="7"/>
      <c r="M2954" s="7"/>
      <c r="N2954" s="7"/>
      <c r="O2954" s="7"/>
      <c r="P2954" s="7"/>
      <c r="Q2954" s="7"/>
    </row>
    <row r="2955" spans="12:17" ht="15.75" customHeight="1">
      <c r="L2955" s="7"/>
      <c r="M2955" s="7"/>
      <c r="N2955" s="7"/>
      <c r="O2955" s="7"/>
      <c r="P2955" s="7"/>
      <c r="Q2955" s="7"/>
    </row>
    <row r="2956" spans="12:17" ht="15.75" customHeight="1">
      <c r="L2956" s="7"/>
      <c r="M2956" s="7"/>
      <c r="N2956" s="7"/>
      <c r="O2956" s="7"/>
      <c r="P2956" s="7"/>
      <c r="Q2956" s="7"/>
    </row>
    <row r="2957" spans="12:17" ht="15.75" customHeight="1">
      <c r="L2957" s="7"/>
      <c r="M2957" s="7"/>
      <c r="N2957" s="7"/>
      <c r="O2957" s="7"/>
      <c r="P2957" s="7"/>
      <c r="Q2957" s="7"/>
    </row>
    <row r="2958" spans="12:17" ht="15.75" customHeight="1">
      <c r="L2958" s="7"/>
      <c r="M2958" s="7"/>
      <c r="N2958" s="7"/>
      <c r="O2958" s="7"/>
      <c r="P2958" s="7"/>
      <c r="Q2958" s="7"/>
    </row>
    <row r="2959" spans="12:17" ht="15.75" customHeight="1">
      <c r="L2959" s="7"/>
      <c r="M2959" s="7"/>
      <c r="N2959" s="7"/>
      <c r="O2959" s="7"/>
      <c r="P2959" s="7"/>
      <c r="Q2959" s="7"/>
    </row>
    <row r="2960" spans="12:17" ht="15.75" customHeight="1">
      <c r="L2960" s="7"/>
      <c r="M2960" s="7"/>
      <c r="N2960" s="7"/>
      <c r="O2960" s="7"/>
      <c r="P2960" s="7"/>
      <c r="Q2960" s="7"/>
    </row>
    <row r="2961" spans="12:17" ht="15.75" customHeight="1">
      <c r="L2961" s="7"/>
      <c r="M2961" s="7"/>
      <c r="N2961" s="7"/>
      <c r="O2961" s="7"/>
      <c r="P2961" s="7"/>
      <c r="Q2961" s="7"/>
    </row>
    <row r="2962" spans="12:17" ht="15.75" customHeight="1">
      <c r="L2962" s="7"/>
      <c r="M2962" s="7"/>
      <c r="N2962" s="7"/>
      <c r="O2962" s="7"/>
      <c r="P2962" s="7"/>
      <c r="Q2962" s="7"/>
    </row>
    <row r="2963" spans="12:17" ht="15.75" customHeight="1">
      <c r="L2963" s="7"/>
      <c r="M2963" s="7"/>
      <c r="N2963" s="7"/>
      <c r="O2963" s="7"/>
      <c r="P2963" s="7"/>
      <c r="Q2963" s="7"/>
    </row>
    <row r="2964" spans="12:17" ht="15.75" customHeight="1">
      <c r="L2964" s="7"/>
      <c r="M2964" s="7"/>
      <c r="N2964" s="7"/>
      <c r="O2964" s="7"/>
      <c r="P2964" s="7"/>
      <c r="Q2964" s="7"/>
    </row>
    <row r="2965" spans="12:17" ht="15.75" customHeight="1">
      <c r="L2965" s="7"/>
      <c r="M2965" s="7"/>
      <c r="N2965" s="7"/>
      <c r="O2965" s="7"/>
      <c r="P2965" s="7"/>
      <c r="Q2965" s="7"/>
    </row>
    <row r="2966" spans="12:17" ht="15.75" customHeight="1">
      <c r="L2966" s="7"/>
      <c r="M2966" s="7"/>
      <c r="N2966" s="7"/>
      <c r="O2966" s="7"/>
      <c r="P2966" s="7"/>
      <c r="Q2966" s="7"/>
    </row>
    <row r="2967" spans="12:17" ht="15.75" customHeight="1">
      <c r="L2967" s="7"/>
      <c r="M2967" s="7"/>
      <c r="N2967" s="7"/>
      <c r="O2967" s="7"/>
      <c r="P2967" s="7"/>
      <c r="Q2967" s="7"/>
    </row>
    <row r="2968" spans="12:17" ht="15.75" customHeight="1">
      <c r="L2968" s="7"/>
      <c r="M2968" s="7"/>
      <c r="N2968" s="7"/>
      <c r="O2968" s="7"/>
      <c r="P2968" s="7"/>
      <c r="Q2968" s="7"/>
    </row>
    <row r="2969" spans="12:17" ht="15.75" customHeight="1">
      <c r="L2969" s="7"/>
      <c r="M2969" s="7"/>
      <c r="N2969" s="7"/>
      <c r="O2969" s="7"/>
      <c r="P2969" s="7"/>
      <c r="Q2969" s="7"/>
    </row>
    <row r="2970" spans="12:17" ht="15.75" customHeight="1">
      <c r="L2970" s="7"/>
      <c r="M2970" s="7"/>
      <c r="N2970" s="7"/>
      <c r="O2970" s="7"/>
      <c r="P2970" s="7"/>
      <c r="Q2970" s="7"/>
    </row>
    <row r="2971" spans="12:17" ht="15.75" customHeight="1">
      <c r="L2971" s="7"/>
      <c r="M2971" s="7"/>
      <c r="N2971" s="7"/>
      <c r="O2971" s="7"/>
      <c r="P2971" s="7"/>
      <c r="Q2971" s="7"/>
    </row>
    <row r="2972" spans="12:17" ht="15.75" customHeight="1">
      <c r="L2972" s="7"/>
      <c r="M2972" s="7"/>
      <c r="N2972" s="7"/>
      <c r="O2972" s="7"/>
      <c r="P2972" s="7"/>
      <c r="Q2972" s="7"/>
    </row>
    <row r="2973" spans="12:17" ht="15.75" customHeight="1">
      <c r="L2973" s="7"/>
      <c r="M2973" s="7"/>
      <c r="N2973" s="7"/>
      <c r="O2973" s="7"/>
      <c r="P2973" s="7"/>
      <c r="Q2973" s="7"/>
    </row>
    <row r="2974" spans="12:17" ht="15.75" customHeight="1">
      <c r="L2974" s="7"/>
      <c r="M2974" s="7"/>
      <c r="N2974" s="7"/>
      <c r="O2974" s="7"/>
      <c r="P2974" s="7"/>
      <c r="Q2974" s="7"/>
    </row>
    <row r="2975" spans="12:17" ht="15.75" customHeight="1">
      <c r="L2975" s="7"/>
      <c r="M2975" s="7"/>
      <c r="N2975" s="7"/>
      <c r="O2975" s="7"/>
      <c r="P2975" s="7"/>
      <c r="Q2975" s="7"/>
    </row>
    <row r="2976" spans="12:17" ht="15.75" customHeight="1">
      <c r="L2976" s="7"/>
      <c r="M2976" s="7"/>
      <c r="N2976" s="7"/>
      <c r="O2976" s="7"/>
      <c r="P2976" s="7"/>
      <c r="Q2976" s="7"/>
    </row>
    <row r="2977" spans="12:17" ht="15.75" customHeight="1">
      <c r="L2977" s="7"/>
      <c r="M2977" s="7"/>
      <c r="N2977" s="7"/>
      <c r="O2977" s="7"/>
      <c r="P2977" s="7"/>
      <c r="Q2977" s="7"/>
    </row>
    <row r="2978" spans="12:17" ht="15.75" customHeight="1">
      <c r="L2978" s="7"/>
      <c r="M2978" s="7"/>
      <c r="N2978" s="7"/>
      <c r="O2978" s="7"/>
      <c r="P2978" s="7"/>
      <c r="Q2978" s="7"/>
    </row>
    <row r="2979" spans="12:17" ht="15.75" customHeight="1">
      <c r="L2979" s="7"/>
      <c r="M2979" s="7"/>
      <c r="N2979" s="7"/>
      <c r="O2979" s="7"/>
      <c r="P2979" s="7"/>
      <c r="Q2979" s="7"/>
    </row>
    <row r="2980" spans="12:17" ht="15.75" customHeight="1">
      <c r="L2980" s="7"/>
      <c r="M2980" s="7"/>
      <c r="N2980" s="7"/>
      <c r="O2980" s="7"/>
      <c r="P2980" s="7"/>
      <c r="Q2980" s="7"/>
    </row>
    <row r="2981" spans="12:17" ht="15.75" customHeight="1">
      <c r="L2981" s="7"/>
      <c r="M2981" s="7"/>
      <c r="N2981" s="7"/>
      <c r="O2981" s="7"/>
      <c r="P2981" s="7"/>
      <c r="Q2981" s="7"/>
    </row>
    <row r="2982" spans="12:17" ht="15.75" customHeight="1">
      <c r="L2982" s="7"/>
      <c r="M2982" s="7"/>
      <c r="N2982" s="7"/>
      <c r="O2982" s="7"/>
      <c r="P2982" s="7"/>
      <c r="Q2982" s="7"/>
    </row>
    <row r="2983" spans="12:17" ht="15.75" customHeight="1">
      <c r="L2983" s="7"/>
      <c r="M2983" s="7"/>
      <c r="N2983" s="7"/>
      <c r="O2983" s="7"/>
      <c r="P2983" s="7"/>
      <c r="Q2983" s="7"/>
    </row>
    <row r="2984" spans="12:17" ht="15.75" customHeight="1">
      <c r="L2984" s="7"/>
      <c r="M2984" s="7"/>
      <c r="N2984" s="7"/>
      <c r="O2984" s="7"/>
      <c r="P2984" s="7"/>
      <c r="Q2984" s="7"/>
    </row>
    <row r="2985" spans="12:17" ht="15.75" customHeight="1">
      <c r="L2985" s="7"/>
      <c r="M2985" s="7"/>
      <c r="N2985" s="7"/>
      <c r="O2985" s="7"/>
      <c r="P2985" s="7"/>
      <c r="Q2985" s="7"/>
    </row>
    <row r="2986" spans="12:17" ht="15.75" customHeight="1">
      <c r="L2986" s="7"/>
      <c r="M2986" s="7"/>
      <c r="N2986" s="7"/>
      <c r="O2986" s="7"/>
      <c r="P2986" s="7"/>
      <c r="Q2986" s="7"/>
    </row>
    <row r="2987" spans="12:17" ht="15.75" customHeight="1">
      <c r="L2987" s="7"/>
      <c r="M2987" s="7"/>
      <c r="N2987" s="7"/>
      <c r="O2987" s="7"/>
      <c r="P2987" s="7"/>
      <c r="Q2987" s="7"/>
    </row>
    <row r="2988" spans="12:17" ht="15.75" customHeight="1">
      <c r="L2988" s="7"/>
      <c r="M2988" s="7"/>
      <c r="N2988" s="7"/>
      <c r="O2988" s="7"/>
      <c r="P2988" s="7"/>
      <c r="Q2988" s="7"/>
    </row>
    <row r="2989" spans="12:17" ht="15.75" customHeight="1">
      <c r="L2989" s="7"/>
      <c r="M2989" s="7"/>
      <c r="N2989" s="7"/>
      <c r="O2989" s="7"/>
      <c r="P2989" s="7"/>
      <c r="Q2989" s="7"/>
    </row>
    <row r="2990" spans="12:17" ht="15.75" customHeight="1">
      <c r="L2990" s="7"/>
      <c r="M2990" s="7"/>
      <c r="N2990" s="7"/>
      <c r="O2990" s="7"/>
      <c r="P2990" s="7"/>
      <c r="Q2990" s="7"/>
    </row>
    <row r="2991" spans="12:17" ht="15.75" customHeight="1">
      <c r="L2991" s="7"/>
      <c r="M2991" s="7"/>
      <c r="N2991" s="7"/>
      <c r="O2991" s="7"/>
      <c r="P2991" s="7"/>
      <c r="Q2991" s="7"/>
    </row>
    <row r="2992" spans="12:17" ht="15.75" customHeight="1">
      <c r="L2992" s="7"/>
      <c r="M2992" s="7"/>
      <c r="N2992" s="7"/>
      <c r="O2992" s="7"/>
      <c r="P2992" s="7"/>
      <c r="Q2992" s="7"/>
    </row>
    <row r="2993" spans="12:17" ht="15.75" customHeight="1">
      <c r="L2993" s="7"/>
      <c r="M2993" s="7"/>
      <c r="N2993" s="7"/>
      <c r="O2993" s="7"/>
      <c r="P2993" s="7"/>
      <c r="Q2993" s="7"/>
    </row>
    <row r="2994" spans="12:17" ht="15.75" customHeight="1">
      <c r="L2994" s="7"/>
      <c r="M2994" s="7"/>
      <c r="N2994" s="7"/>
      <c r="O2994" s="7"/>
      <c r="P2994" s="7"/>
      <c r="Q2994" s="7"/>
    </row>
    <row r="2995" spans="12:17" ht="15.75" customHeight="1">
      <c r="L2995" s="7"/>
      <c r="M2995" s="7"/>
      <c r="N2995" s="7"/>
      <c r="O2995" s="7"/>
      <c r="P2995" s="7"/>
      <c r="Q2995" s="7"/>
    </row>
    <row r="2996" spans="12:17" ht="15.75" customHeight="1">
      <c r="L2996" s="7"/>
      <c r="M2996" s="7"/>
      <c r="N2996" s="7"/>
      <c r="O2996" s="7"/>
      <c r="P2996" s="7"/>
      <c r="Q2996" s="7"/>
    </row>
    <row r="2997" spans="12:17" ht="15.75" customHeight="1">
      <c r="L2997" s="7"/>
      <c r="M2997" s="7"/>
      <c r="N2997" s="7"/>
      <c r="O2997" s="7"/>
      <c r="P2997" s="7"/>
      <c r="Q2997" s="7"/>
    </row>
    <row r="2998" spans="12:17" ht="15.75" customHeight="1">
      <c r="L2998" s="7"/>
      <c r="M2998" s="7"/>
      <c r="N2998" s="7"/>
      <c r="O2998" s="7"/>
      <c r="P2998" s="7"/>
      <c r="Q2998" s="7"/>
    </row>
    <row r="2999" spans="12:17" ht="15.75" customHeight="1">
      <c r="L2999" s="7"/>
      <c r="M2999" s="7"/>
      <c r="N2999" s="7"/>
      <c r="O2999" s="7"/>
      <c r="P2999" s="7"/>
      <c r="Q2999" s="7"/>
    </row>
    <row r="3000" spans="12:17" ht="15.75" customHeight="1">
      <c r="L3000" s="7"/>
      <c r="M3000" s="7"/>
      <c r="N3000" s="7"/>
      <c r="O3000" s="7"/>
      <c r="P3000" s="7"/>
      <c r="Q3000" s="7"/>
    </row>
    <row r="3001" spans="12:17" ht="15.75" customHeight="1">
      <c r="L3001" s="7"/>
      <c r="M3001" s="7"/>
      <c r="N3001" s="7"/>
      <c r="O3001" s="7"/>
      <c r="P3001" s="7"/>
      <c r="Q3001" s="7"/>
    </row>
    <row r="3002" spans="12:17" ht="15.75" customHeight="1">
      <c r="L3002" s="7"/>
      <c r="M3002" s="7"/>
      <c r="N3002" s="7"/>
      <c r="O3002" s="7"/>
      <c r="P3002" s="7"/>
      <c r="Q3002" s="7"/>
    </row>
    <row r="3003" spans="12:17" ht="15.75" customHeight="1">
      <c r="L3003" s="7"/>
      <c r="M3003" s="7"/>
      <c r="N3003" s="7"/>
      <c r="O3003" s="7"/>
      <c r="P3003" s="7"/>
      <c r="Q3003" s="7"/>
    </row>
    <row r="3004" spans="12:17" ht="15.75" customHeight="1">
      <c r="L3004" s="7"/>
      <c r="M3004" s="7"/>
      <c r="N3004" s="7"/>
      <c r="O3004" s="7"/>
      <c r="P3004" s="7"/>
      <c r="Q3004" s="7"/>
    </row>
    <row r="3005" spans="12:17" ht="15.75" customHeight="1">
      <c r="L3005" s="7"/>
      <c r="M3005" s="7"/>
      <c r="N3005" s="7"/>
      <c r="O3005" s="7"/>
      <c r="P3005" s="7"/>
      <c r="Q3005" s="7"/>
    </row>
    <row r="3006" spans="12:17" ht="15.75" customHeight="1">
      <c r="L3006" s="7"/>
      <c r="M3006" s="7"/>
      <c r="N3006" s="7"/>
      <c r="O3006" s="7"/>
      <c r="P3006" s="7"/>
      <c r="Q3006" s="7"/>
    </row>
    <row r="3007" spans="12:17" ht="15.75" customHeight="1">
      <c r="L3007" s="7"/>
      <c r="M3007" s="7"/>
      <c r="N3007" s="7"/>
      <c r="O3007" s="7"/>
      <c r="P3007" s="7"/>
      <c r="Q3007" s="7"/>
    </row>
    <row r="3008" spans="12:17" ht="15.75" customHeight="1">
      <c r="L3008" s="7"/>
      <c r="M3008" s="7"/>
      <c r="N3008" s="7"/>
      <c r="O3008" s="7"/>
      <c r="P3008" s="7"/>
      <c r="Q3008" s="7"/>
    </row>
    <row r="3009" spans="12:17" ht="15.75" customHeight="1">
      <c r="L3009" s="7"/>
      <c r="M3009" s="7"/>
      <c r="N3009" s="7"/>
      <c r="O3009" s="7"/>
      <c r="P3009" s="7"/>
      <c r="Q3009" s="7"/>
    </row>
    <row r="3010" spans="12:17" ht="15.75" customHeight="1">
      <c r="L3010" s="7"/>
      <c r="M3010" s="7"/>
      <c r="N3010" s="7"/>
      <c r="O3010" s="7"/>
      <c r="P3010" s="7"/>
      <c r="Q3010" s="7"/>
    </row>
    <row r="3011" spans="12:17" ht="15.75" customHeight="1">
      <c r="L3011" s="7"/>
      <c r="M3011" s="7"/>
      <c r="N3011" s="7"/>
      <c r="O3011" s="7"/>
      <c r="P3011" s="7"/>
      <c r="Q3011" s="7"/>
    </row>
    <row r="3012" spans="12:17" ht="15.75" customHeight="1">
      <c r="L3012" s="7"/>
      <c r="M3012" s="7"/>
      <c r="N3012" s="7"/>
      <c r="O3012" s="7"/>
      <c r="P3012" s="7"/>
      <c r="Q3012" s="7"/>
    </row>
    <row r="3013" spans="12:17" ht="15.75" customHeight="1">
      <c r="L3013" s="7"/>
      <c r="M3013" s="7"/>
      <c r="N3013" s="7"/>
      <c r="O3013" s="7"/>
      <c r="P3013" s="7"/>
      <c r="Q3013" s="7"/>
    </row>
    <row r="3014" spans="12:17" ht="15.75" customHeight="1">
      <c r="L3014" s="7"/>
      <c r="M3014" s="7"/>
      <c r="N3014" s="7"/>
      <c r="O3014" s="7"/>
      <c r="P3014" s="7"/>
      <c r="Q3014" s="7"/>
    </row>
    <row r="3015" spans="12:17" ht="15.75" customHeight="1">
      <c r="L3015" s="7"/>
      <c r="M3015" s="7"/>
      <c r="N3015" s="7"/>
      <c r="O3015" s="7"/>
      <c r="P3015" s="7"/>
      <c r="Q3015" s="7"/>
    </row>
    <row r="3016" spans="12:17" ht="15.75" customHeight="1">
      <c r="L3016" s="7"/>
      <c r="M3016" s="7"/>
      <c r="N3016" s="7"/>
      <c r="O3016" s="7"/>
      <c r="P3016" s="7"/>
      <c r="Q3016" s="7"/>
    </row>
    <row r="3017" spans="12:17" ht="15.75" customHeight="1">
      <c r="L3017" s="7"/>
      <c r="M3017" s="7"/>
      <c r="N3017" s="7"/>
      <c r="O3017" s="7"/>
      <c r="P3017" s="7"/>
      <c r="Q3017" s="7"/>
    </row>
    <row r="3018" spans="12:17" ht="15.75" customHeight="1">
      <c r="L3018" s="7"/>
      <c r="M3018" s="7"/>
      <c r="N3018" s="7"/>
      <c r="O3018" s="7"/>
      <c r="P3018" s="7"/>
      <c r="Q3018" s="7"/>
    </row>
    <row r="3019" spans="12:17" ht="15.75" customHeight="1">
      <c r="L3019" s="7"/>
      <c r="M3019" s="7"/>
      <c r="N3019" s="7"/>
      <c r="O3019" s="7"/>
      <c r="P3019" s="7"/>
      <c r="Q3019" s="7"/>
    </row>
    <row r="3020" spans="12:17" ht="15.75" customHeight="1">
      <c r="L3020" s="7"/>
      <c r="M3020" s="7"/>
      <c r="N3020" s="7"/>
      <c r="O3020" s="7"/>
      <c r="P3020" s="7"/>
      <c r="Q3020" s="7"/>
    </row>
    <row r="3021" spans="12:17" ht="15.75" customHeight="1">
      <c r="L3021" s="7"/>
      <c r="M3021" s="7"/>
      <c r="N3021" s="7"/>
      <c r="O3021" s="7"/>
      <c r="P3021" s="7"/>
      <c r="Q3021" s="7"/>
    </row>
    <row r="3022" spans="12:17" ht="15.75" customHeight="1">
      <c r="L3022" s="7"/>
      <c r="M3022" s="7"/>
      <c r="N3022" s="7"/>
      <c r="O3022" s="7"/>
      <c r="P3022" s="7"/>
      <c r="Q3022" s="7"/>
    </row>
    <row r="3023" spans="12:17" ht="15.75" customHeight="1">
      <c r="L3023" s="7"/>
      <c r="M3023" s="7"/>
      <c r="N3023" s="7"/>
      <c r="O3023" s="7"/>
      <c r="P3023" s="7"/>
      <c r="Q3023" s="7"/>
    </row>
    <row r="3024" spans="12:17" ht="15.75" customHeight="1">
      <c r="L3024" s="7"/>
      <c r="M3024" s="7"/>
      <c r="N3024" s="7"/>
      <c r="O3024" s="7"/>
      <c r="P3024" s="7"/>
      <c r="Q3024" s="7"/>
    </row>
    <row r="3025" spans="12:17" ht="15.75" customHeight="1">
      <c r="L3025" s="7"/>
      <c r="M3025" s="7"/>
      <c r="N3025" s="7"/>
      <c r="O3025" s="7"/>
      <c r="P3025" s="7"/>
      <c r="Q3025" s="7"/>
    </row>
    <row r="3026" spans="12:17" ht="15.75" customHeight="1">
      <c r="L3026" s="7"/>
      <c r="M3026" s="7"/>
      <c r="N3026" s="7"/>
      <c r="O3026" s="7"/>
      <c r="P3026" s="7"/>
      <c r="Q3026" s="7"/>
    </row>
    <row r="3027" spans="12:17" ht="15.75" customHeight="1">
      <c r="L3027" s="7"/>
      <c r="M3027" s="7"/>
      <c r="N3027" s="7"/>
      <c r="O3027" s="7"/>
      <c r="P3027" s="7"/>
      <c r="Q3027" s="7"/>
    </row>
    <row r="3028" spans="12:17" ht="15.75" customHeight="1">
      <c r="L3028" s="7"/>
      <c r="M3028" s="7"/>
      <c r="N3028" s="7"/>
      <c r="O3028" s="7"/>
      <c r="P3028" s="7"/>
      <c r="Q3028" s="7"/>
    </row>
    <row r="3029" spans="12:17" ht="15.75" customHeight="1">
      <c r="L3029" s="7"/>
      <c r="M3029" s="7"/>
      <c r="N3029" s="7"/>
      <c r="O3029" s="7"/>
      <c r="P3029" s="7"/>
      <c r="Q3029" s="7"/>
    </row>
    <row r="3030" spans="12:17" ht="15.75" customHeight="1">
      <c r="L3030" s="7"/>
      <c r="M3030" s="7"/>
      <c r="N3030" s="7"/>
      <c r="O3030" s="7"/>
      <c r="P3030" s="7"/>
      <c r="Q3030" s="7"/>
    </row>
    <row r="3031" spans="12:17" ht="15.75" customHeight="1">
      <c r="L3031" s="7"/>
      <c r="M3031" s="7"/>
      <c r="N3031" s="7"/>
      <c r="O3031" s="7"/>
      <c r="P3031" s="7"/>
      <c r="Q3031" s="7"/>
    </row>
    <row r="3032" spans="12:17" ht="15.75" customHeight="1">
      <c r="L3032" s="7"/>
      <c r="M3032" s="7"/>
      <c r="N3032" s="7"/>
      <c r="O3032" s="7"/>
      <c r="P3032" s="7"/>
      <c r="Q3032" s="7"/>
    </row>
    <row r="3033" spans="12:17" ht="15.75" customHeight="1">
      <c r="L3033" s="7"/>
      <c r="M3033" s="7"/>
      <c r="N3033" s="7"/>
      <c r="O3033" s="7"/>
      <c r="P3033" s="7"/>
      <c r="Q3033" s="7"/>
    </row>
    <row r="3034" spans="12:17" ht="15.75" customHeight="1">
      <c r="L3034" s="7"/>
      <c r="M3034" s="7"/>
      <c r="N3034" s="7"/>
      <c r="O3034" s="7"/>
      <c r="P3034" s="7"/>
      <c r="Q3034" s="7"/>
    </row>
    <row r="3035" spans="12:17" ht="15.75" customHeight="1">
      <c r="L3035" s="7"/>
      <c r="M3035" s="7"/>
      <c r="N3035" s="7"/>
      <c r="O3035" s="7"/>
      <c r="P3035" s="7"/>
      <c r="Q3035" s="7"/>
    </row>
    <row r="3036" spans="12:17" ht="15.75" customHeight="1">
      <c r="L3036" s="7"/>
      <c r="M3036" s="7"/>
      <c r="N3036" s="7"/>
      <c r="O3036" s="7"/>
      <c r="P3036" s="7"/>
      <c r="Q3036" s="7"/>
    </row>
    <row r="3037" spans="12:17" ht="15.75" customHeight="1">
      <c r="L3037" s="7"/>
      <c r="M3037" s="7"/>
      <c r="N3037" s="7"/>
      <c r="O3037" s="7"/>
      <c r="P3037" s="7"/>
      <c r="Q3037" s="7"/>
    </row>
    <row r="3038" spans="12:17" ht="15.75" customHeight="1">
      <c r="L3038" s="7"/>
      <c r="M3038" s="7"/>
      <c r="N3038" s="7"/>
      <c r="O3038" s="7"/>
      <c r="P3038" s="7"/>
      <c r="Q3038" s="7"/>
    </row>
    <row r="3039" spans="12:17" ht="15.75" customHeight="1">
      <c r="L3039" s="7"/>
      <c r="M3039" s="7"/>
      <c r="N3039" s="7"/>
      <c r="O3039" s="7"/>
      <c r="P3039" s="7"/>
      <c r="Q3039" s="7"/>
    </row>
    <row r="3040" spans="12:17" ht="15.75" customHeight="1">
      <c r="L3040" s="7"/>
      <c r="M3040" s="7"/>
      <c r="N3040" s="7"/>
      <c r="O3040" s="7"/>
      <c r="P3040" s="7"/>
      <c r="Q3040" s="7"/>
    </row>
    <row r="3041" spans="12:17" ht="15.75" customHeight="1">
      <c r="L3041" s="7"/>
      <c r="M3041" s="7"/>
      <c r="N3041" s="7"/>
      <c r="O3041" s="7"/>
      <c r="P3041" s="7"/>
      <c r="Q3041" s="7"/>
    </row>
    <row r="3042" spans="12:17" ht="15.75" customHeight="1">
      <c r="L3042" s="7"/>
      <c r="M3042" s="7"/>
      <c r="N3042" s="7"/>
      <c r="O3042" s="7"/>
      <c r="P3042" s="7"/>
      <c r="Q3042" s="7"/>
    </row>
    <row r="3043" spans="12:17" ht="15.75" customHeight="1">
      <c r="L3043" s="7"/>
      <c r="M3043" s="7"/>
      <c r="N3043" s="7"/>
      <c r="O3043" s="7"/>
      <c r="P3043" s="7"/>
      <c r="Q3043" s="7"/>
    </row>
    <row r="3044" spans="12:17" ht="15.75" customHeight="1">
      <c r="L3044" s="7"/>
      <c r="M3044" s="7"/>
      <c r="N3044" s="7"/>
      <c r="O3044" s="7"/>
      <c r="P3044" s="7"/>
      <c r="Q3044" s="7"/>
    </row>
    <row r="3045" spans="12:17" ht="15.75" customHeight="1">
      <c r="L3045" s="7"/>
      <c r="M3045" s="7"/>
      <c r="N3045" s="7"/>
      <c r="O3045" s="7"/>
      <c r="P3045" s="7"/>
      <c r="Q3045" s="7"/>
    </row>
    <row r="3046" spans="12:17" ht="15.75" customHeight="1">
      <c r="L3046" s="7"/>
      <c r="M3046" s="7"/>
      <c r="N3046" s="7"/>
      <c r="O3046" s="7"/>
      <c r="P3046" s="7"/>
      <c r="Q3046" s="7"/>
    </row>
    <row r="3047" spans="12:17" ht="15.75" customHeight="1">
      <c r="L3047" s="7"/>
      <c r="M3047" s="7"/>
      <c r="N3047" s="7"/>
      <c r="O3047" s="7"/>
      <c r="P3047" s="7"/>
      <c r="Q3047" s="7"/>
    </row>
    <row r="3048" spans="12:17" ht="15.75" customHeight="1">
      <c r="L3048" s="7"/>
      <c r="M3048" s="7"/>
      <c r="N3048" s="7"/>
      <c r="O3048" s="7"/>
      <c r="P3048" s="7"/>
      <c r="Q3048" s="7"/>
    </row>
    <row r="3049" spans="12:17" ht="15.75" customHeight="1">
      <c r="L3049" s="7"/>
      <c r="M3049" s="7"/>
      <c r="N3049" s="7"/>
      <c r="O3049" s="7"/>
      <c r="P3049" s="7"/>
      <c r="Q3049" s="7"/>
    </row>
    <row r="3050" spans="12:17" ht="15.75" customHeight="1">
      <c r="L3050" s="7"/>
      <c r="M3050" s="7"/>
      <c r="N3050" s="7"/>
      <c r="O3050" s="7"/>
      <c r="P3050" s="7"/>
      <c r="Q3050" s="7"/>
    </row>
    <row r="3051" spans="12:17" ht="15.75" customHeight="1">
      <c r="L3051" s="7"/>
      <c r="M3051" s="7"/>
      <c r="N3051" s="7"/>
      <c r="O3051" s="7"/>
      <c r="P3051" s="7"/>
      <c r="Q3051" s="7"/>
    </row>
    <row r="3052" spans="12:17" ht="15.75" customHeight="1">
      <c r="L3052" s="7"/>
      <c r="M3052" s="7"/>
      <c r="N3052" s="7"/>
      <c r="O3052" s="7"/>
      <c r="P3052" s="7"/>
      <c r="Q3052" s="7"/>
    </row>
    <row r="3053" spans="12:17" ht="15.75" customHeight="1">
      <c r="L3053" s="7"/>
      <c r="M3053" s="7"/>
      <c r="N3053" s="7"/>
      <c r="O3053" s="7"/>
      <c r="P3053" s="7"/>
      <c r="Q3053" s="7"/>
    </row>
    <row r="3054" spans="12:17" ht="15.75" customHeight="1">
      <c r="L3054" s="7"/>
      <c r="M3054" s="7"/>
      <c r="N3054" s="7"/>
      <c r="O3054" s="7"/>
      <c r="P3054" s="7"/>
      <c r="Q3054" s="7"/>
    </row>
    <row r="3055" spans="12:17" ht="15.75" customHeight="1">
      <c r="L3055" s="7"/>
      <c r="M3055" s="7"/>
      <c r="N3055" s="7"/>
      <c r="O3055" s="7"/>
      <c r="P3055" s="7"/>
      <c r="Q3055" s="7"/>
    </row>
    <row r="3056" spans="12:17" ht="15.75" customHeight="1">
      <c r="L3056" s="7"/>
      <c r="M3056" s="7"/>
      <c r="N3056" s="7"/>
      <c r="O3056" s="7"/>
      <c r="P3056" s="7"/>
      <c r="Q3056" s="7"/>
    </row>
    <row r="3057" spans="12:17" ht="15.75" customHeight="1">
      <c r="L3057" s="7"/>
      <c r="M3057" s="7"/>
      <c r="N3057" s="7"/>
      <c r="O3057" s="7"/>
      <c r="P3057" s="7"/>
      <c r="Q3057" s="7"/>
    </row>
    <row r="3058" spans="12:17" ht="15.75" customHeight="1">
      <c r="L3058" s="7"/>
      <c r="M3058" s="7"/>
      <c r="N3058" s="7"/>
      <c r="O3058" s="7"/>
      <c r="P3058" s="7"/>
      <c r="Q3058" s="7"/>
    </row>
    <row r="3059" spans="12:17" ht="15.75" customHeight="1">
      <c r="L3059" s="7"/>
      <c r="M3059" s="7"/>
      <c r="N3059" s="7"/>
      <c r="O3059" s="7"/>
      <c r="P3059" s="7"/>
      <c r="Q3059" s="7"/>
    </row>
    <row r="3060" spans="12:17" ht="15.75" customHeight="1">
      <c r="L3060" s="7"/>
      <c r="M3060" s="7"/>
      <c r="N3060" s="7"/>
      <c r="O3060" s="7"/>
      <c r="P3060" s="7"/>
      <c r="Q3060" s="7"/>
    </row>
    <row r="3061" spans="12:17" ht="15.75" customHeight="1">
      <c r="L3061" s="7"/>
      <c r="M3061" s="7"/>
      <c r="N3061" s="7"/>
      <c r="O3061" s="7"/>
      <c r="P3061" s="7"/>
      <c r="Q3061" s="7"/>
    </row>
    <row r="3062" spans="12:17" ht="15.75" customHeight="1">
      <c r="L3062" s="7"/>
      <c r="M3062" s="7"/>
      <c r="N3062" s="7"/>
      <c r="O3062" s="7"/>
      <c r="P3062" s="7"/>
      <c r="Q3062" s="7"/>
    </row>
    <row r="3063" spans="12:17" ht="15.75" customHeight="1">
      <c r="L3063" s="7"/>
      <c r="M3063" s="7"/>
      <c r="N3063" s="7"/>
      <c r="O3063" s="7"/>
      <c r="P3063" s="7"/>
      <c r="Q3063" s="7"/>
    </row>
    <row r="3064" spans="12:17" ht="15.75" customHeight="1">
      <c r="L3064" s="7"/>
      <c r="M3064" s="7"/>
      <c r="N3064" s="7"/>
      <c r="O3064" s="7"/>
      <c r="P3064" s="7"/>
      <c r="Q3064" s="7"/>
    </row>
    <row r="3065" spans="12:17" ht="15.75" customHeight="1">
      <c r="L3065" s="7"/>
      <c r="M3065" s="7"/>
      <c r="N3065" s="7"/>
      <c r="O3065" s="7"/>
      <c r="P3065" s="7"/>
      <c r="Q3065" s="7"/>
    </row>
    <row r="3066" spans="12:17" ht="15.75" customHeight="1">
      <c r="L3066" s="7"/>
      <c r="M3066" s="7"/>
      <c r="N3066" s="7"/>
      <c r="O3066" s="7"/>
      <c r="P3066" s="7"/>
      <c r="Q3066" s="7"/>
    </row>
    <row r="3067" spans="12:17" ht="15.75" customHeight="1">
      <c r="L3067" s="7"/>
      <c r="M3067" s="7"/>
      <c r="N3067" s="7"/>
      <c r="O3067" s="7"/>
      <c r="P3067" s="7"/>
      <c r="Q3067" s="7"/>
    </row>
    <row r="3068" spans="12:17" ht="15.75" customHeight="1">
      <c r="L3068" s="7"/>
      <c r="M3068" s="7"/>
      <c r="N3068" s="7"/>
      <c r="O3068" s="7"/>
      <c r="P3068" s="7"/>
      <c r="Q3068" s="7"/>
    </row>
    <row r="3069" spans="12:17" ht="15.75" customHeight="1">
      <c r="L3069" s="7"/>
      <c r="M3069" s="7"/>
      <c r="N3069" s="7"/>
      <c r="O3069" s="7"/>
      <c r="P3069" s="7"/>
      <c r="Q3069" s="7"/>
    </row>
    <row r="3070" spans="12:17" ht="15.75" customHeight="1">
      <c r="L3070" s="7"/>
      <c r="M3070" s="7"/>
      <c r="N3070" s="7"/>
      <c r="O3070" s="7"/>
      <c r="P3070" s="7"/>
      <c r="Q3070" s="7"/>
    </row>
    <row r="3071" spans="12:17" ht="15.75" customHeight="1">
      <c r="L3071" s="7"/>
      <c r="M3071" s="7"/>
      <c r="N3071" s="7"/>
      <c r="O3071" s="7"/>
      <c r="P3071" s="7"/>
      <c r="Q3071" s="7"/>
    </row>
    <row r="3072" spans="12:17" ht="15.75" customHeight="1">
      <c r="L3072" s="7"/>
      <c r="M3072" s="7"/>
      <c r="N3072" s="7"/>
      <c r="O3072" s="7"/>
      <c r="P3072" s="7"/>
      <c r="Q3072" s="7"/>
    </row>
    <row r="3073" spans="12:17" ht="15.75" customHeight="1">
      <c r="L3073" s="7"/>
      <c r="M3073" s="7"/>
      <c r="N3073" s="7"/>
      <c r="O3073" s="7"/>
      <c r="P3073" s="7"/>
      <c r="Q3073" s="7"/>
    </row>
    <row r="3074" spans="12:17" ht="15.75" customHeight="1">
      <c r="L3074" s="7"/>
      <c r="M3074" s="7"/>
      <c r="N3074" s="7"/>
      <c r="O3074" s="7"/>
      <c r="P3074" s="7"/>
      <c r="Q3074" s="7"/>
    </row>
    <row r="3075" spans="12:17" ht="15.75" customHeight="1">
      <c r="L3075" s="7"/>
      <c r="M3075" s="7"/>
      <c r="N3075" s="7"/>
      <c r="O3075" s="7"/>
      <c r="P3075" s="7"/>
      <c r="Q3075" s="7"/>
    </row>
    <row r="3076" spans="12:17" ht="15.75" customHeight="1">
      <c r="L3076" s="7"/>
      <c r="M3076" s="7"/>
      <c r="N3076" s="7"/>
      <c r="O3076" s="7"/>
      <c r="P3076" s="7"/>
      <c r="Q3076" s="7"/>
    </row>
    <row r="3077" spans="12:17" ht="15.75" customHeight="1">
      <c r="L3077" s="7"/>
      <c r="M3077" s="7"/>
      <c r="N3077" s="7"/>
      <c r="O3077" s="7"/>
      <c r="P3077" s="7"/>
      <c r="Q3077" s="7"/>
    </row>
    <row r="3078" spans="12:17" ht="15.75" customHeight="1">
      <c r="L3078" s="7"/>
      <c r="M3078" s="7"/>
      <c r="N3078" s="7"/>
      <c r="O3078" s="7"/>
      <c r="P3078" s="7"/>
      <c r="Q3078" s="7"/>
    </row>
    <row r="3079" spans="12:17" ht="15.75" customHeight="1">
      <c r="L3079" s="7"/>
      <c r="M3079" s="7"/>
      <c r="N3079" s="7"/>
      <c r="O3079" s="7"/>
      <c r="P3079" s="7"/>
      <c r="Q3079" s="7"/>
    </row>
    <row r="3080" spans="12:17" ht="15.75" customHeight="1">
      <c r="L3080" s="7"/>
      <c r="M3080" s="7"/>
      <c r="N3080" s="7"/>
      <c r="O3080" s="7"/>
      <c r="P3080" s="7"/>
      <c r="Q3080" s="7"/>
    </row>
    <row r="3081" spans="12:17" ht="15.75" customHeight="1">
      <c r="L3081" s="7"/>
      <c r="M3081" s="7"/>
      <c r="N3081" s="7"/>
      <c r="O3081" s="7"/>
      <c r="P3081" s="7"/>
      <c r="Q3081" s="7"/>
    </row>
    <row r="3082" spans="12:17" ht="15.75" customHeight="1">
      <c r="L3082" s="7"/>
      <c r="M3082" s="7"/>
      <c r="N3082" s="7"/>
      <c r="O3082" s="7"/>
      <c r="P3082" s="7"/>
      <c r="Q3082" s="7"/>
    </row>
    <row r="3083" spans="12:17" ht="15.75" customHeight="1">
      <c r="L3083" s="7"/>
      <c r="M3083" s="7"/>
      <c r="N3083" s="7"/>
      <c r="O3083" s="7"/>
      <c r="P3083" s="7"/>
      <c r="Q3083" s="7"/>
    </row>
    <row r="3084" spans="12:17" ht="15.75" customHeight="1">
      <c r="L3084" s="7"/>
      <c r="M3084" s="7"/>
      <c r="N3084" s="7"/>
      <c r="O3084" s="7"/>
      <c r="P3084" s="7"/>
      <c r="Q3084" s="7"/>
    </row>
    <row r="3085" spans="12:17" ht="15.75" customHeight="1">
      <c r="L3085" s="7"/>
      <c r="M3085" s="7"/>
      <c r="N3085" s="7"/>
      <c r="O3085" s="7"/>
      <c r="P3085" s="7"/>
      <c r="Q3085" s="7"/>
    </row>
    <row r="3086" spans="12:17" ht="15.75" customHeight="1">
      <c r="L3086" s="7"/>
      <c r="M3086" s="7"/>
      <c r="N3086" s="7"/>
      <c r="O3086" s="7"/>
      <c r="P3086" s="7"/>
      <c r="Q3086" s="7"/>
    </row>
    <row r="3087" spans="12:17" ht="15.75" customHeight="1">
      <c r="L3087" s="7"/>
      <c r="M3087" s="7"/>
      <c r="N3087" s="7"/>
      <c r="O3087" s="7"/>
      <c r="P3087" s="7"/>
      <c r="Q3087" s="7"/>
    </row>
    <row r="3088" spans="12:17" ht="15.75" customHeight="1">
      <c r="L3088" s="7"/>
      <c r="M3088" s="7"/>
      <c r="N3088" s="7"/>
      <c r="O3088" s="7"/>
      <c r="P3088" s="7"/>
      <c r="Q3088" s="7"/>
    </row>
    <row r="3089" spans="12:17" ht="15.75" customHeight="1">
      <c r="L3089" s="7"/>
      <c r="M3089" s="7"/>
      <c r="N3089" s="7"/>
      <c r="O3089" s="7"/>
      <c r="P3089" s="7"/>
      <c r="Q3089" s="7"/>
    </row>
    <row r="3090" spans="12:17" ht="15.75" customHeight="1">
      <c r="L3090" s="7"/>
      <c r="M3090" s="7"/>
      <c r="N3090" s="7"/>
      <c r="O3090" s="7"/>
      <c r="P3090" s="7"/>
      <c r="Q3090" s="7"/>
    </row>
    <row r="3091" spans="12:17" ht="15.75" customHeight="1">
      <c r="L3091" s="7"/>
      <c r="M3091" s="7"/>
      <c r="N3091" s="7"/>
      <c r="O3091" s="7"/>
      <c r="P3091" s="7"/>
      <c r="Q3091" s="7"/>
    </row>
    <row r="3092" spans="12:17" ht="15.75" customHeight="1">
      <c r="L3092" s="7"/>
      <c r="M3092" s="7"/>
      <c r="N3092" s="7"/>
      <c r="O3092" s="7"/>
      <c r="P3092" s="7"/>
      <c r="Q3092" s="7"/>
    </row>
    <row r="3093" spans="12:17" ht="15.75" customHeight="1">
      <c r="L3093" s="7"/>
      <c r="M3093" s="7"/>
      <c r="N3093" s="7"/>
      <c r="O3093" s="7"/>
      <c r="P3093" s="7"/>
      <c r="Q3093" s="7"/>
    </row>
    <row r="3094" spans="12:17" ht="15.75" customHeight="1">
      <c r="L3094" s="7"/>
      <c r="M3094" s="7"/>
      <c r="N3094" s="7"/>
      <c r="O3094" s="7"/>
      <c r="P3094" s="7"/>
      <c r="Q3094" s="7"/>
    </row>
    <row r="3095" spans="12:17" ht="15.75" customHeight="1">
      <c r="L3095" s="7"/>
      <c r="M3095" s="7"/>
      <c r="N3095" s="7"/>
      <c r="O3095" s="7"/>
      <c r="P3095" s="7"/>
      <c r="Q3095" s="7"/>
    </row>
    <row r="3096" spans="12:17" ht="15.75" customHeight="1">
      <c r="L3096" s="7"/>
      <c r="M3096" s="7"/>
      <c r="N3096" s="7"/>
      <c r="O3096" s="7"/>
      <c r="P3096" s="7"/>
      <c r="Q3096" s="7"/>
    </row>
    <row r="3097" spans="12:17" ht="15.75" customHeight="1">
      <c r="L3097" s="7"/>
      <c r="M3097" s="7"/>
      <c r="N3097" s="7"/>
      <c r="O3097" s="7"/>
      <c r="P3097" s="7"/>
      <c r="Q3097" s="7"/>
    </row>
    <row r="3098" spans="12:17" ht="15.75" customHeight="1">
      <c r="L3098" s="7"/>
      <c r="M3098" s="7"/>
      <c r="N3098" s="7"/>
      <c r="O3098" s="7"/>
      <c r="P3098" s="7"/>
      <c r="Q3098" s="7"/>
    </row>
    <row r="3099" spans="12:17" ht="15.75" customHeight="1">
      <c r="L3099" s="7"/>
      <c r="M3099" s="7"/>
      <c r="N3099" s="7"/>
      <c r="O3099" s="7"/>
      <c r="P3099" s="7"/>
      <c r="Q3099" s="7"/>
    </row>
    <row r="3100" spans="12:17" ht="15.75" customHeight="1">
      <c r="L3100" s="7"/>
      <c r="M3100" s="7"/>
      <c r="N3100" s="7"/>
      <c r="O3100" s="7"/>
      <c r="P3100" s="7"/>
      <c r="Q3100" s="7"/>
    </row>
    <row r="3101" spans="12:17" ht="15.75" customHeight="1">
      <c r="L3101" s="7"/>
      <c r="M3101" s="7"/>
      <c r="N3101" s="7"/>
      <c r="O3101" s="7"/>
      <c r="P3101" s="7"/>
      <c r="Q3101" s="7"/>
    </row>
    <row r="3102" spans="12:17" ht="15.75" customHeight="1">
      <c r="L3102" s="7"/>
      <c r="M3102" s="7"/>
      <c r="N3102" s="7"/>
      <c r="O3102" s="7"/>
      <c r="P3102" s="7"/>
      <c r="Q3102" s="7"/>
    </row>
    <row r="3103" spans="12:17" ht="15.75" customHeight="1">
      <c r="L3103" s="7"/>
      <c r="M3103" s="7"/>
      <c r="N3103" s="7"/>
      <c r="O3103" s="7"/>
      <c r="P3103" s="7"/>
      <c r="Q3103" s="7"/>
    </row>
    <row r="3104" spans="12:17" ht="15.75" customHeight="1">
      <c r="L3104" s="7"/>
      <c r="M3104" s="7"/>
      <c r="N3104" s="7"/>
      <c r="O3104" s="7"/>
      <c r="P3104" s="7"/>
      <c r="Q3104" s="7"/>
    </row>
    <row r="3105" spans="12:17" ht="15.75" customHeight="1">
      <c r="L3105" s="7"/>
      <c r="M3105" s="7"/>
      <c r="N3105" s="7"/>
      <c r="O3105" s="7"/>
      <c r="P3105" s="7"/>
      <c r="Q3105" s="7"/>
    </row>
    <row r="3106" spans="12:17" ht="15.75" customHeight="1">
      <c r="L3106" s="7"/>
      <c r="M3106" s="7"/>
      <c r="N3106" s="7"/>
      <c r="O3106" s="7"/>
      <c r="P3106" s="7"/>
      <c r="Q3106" s="7"/>
    </row>
    <row r="3107" spans="12:17" ht="15.75" customHeight="1">
      <c r="L3107" s="7"/>
      <c r="M3107" s="7"/>
      <c r="N3107" s="7"/>
      <c r="O3107" s="7"/>
      <c r="P3107" s="7"/>
      <c r="Q3107" s="7"/>
    </row>
    <row r="3108" spans="12:17" ht="15.75" customHeight="1">
      <c r="L3108" s="7"/>
      <c r="M3108" s="7"/>
      <c r="N3108" s="7"/>
      <c r="O3108" s="7"/>
      <c r="P3108" s="7"/>
      <c r="Q3108" s="7"/>
    </row>
    <row r="3109" spans="12:17" ht="15.75" customHeight="1">
      <c r="L3109" s="7"/>
      <c r="M3109" s="7"/>
      <c r="N3109" s="7"/>
      <c r="O3109" s="7"/>
      <c r="P3109" s="7"/>
      <c r="Q3109" s="7"/>
    </row>
    <row r="3110" spans="12:17" ht="15.75" customHeight="1">
      <c r="L3110" s="7"/>
      <c r="M3110" s="7"/>
      <c r="N3110" s="7"/>
      <c r="O3110" s="7"/>
      <c r="P3110" s="7"/>
      <c r="Q3110" s="7"/>
    </row>
    <row r="3111" spans="12:17" ht="15.75" customHeight="1">
      <c r="L3111" s="7"/>
      <c r="M3111" s="7"/>
      <c r="N3111" s="7"/>
      <c r="O3111" s="7"/>
      <c r="P3111" s="7"/>
      <c r="Q3111" s="7"/>
    </row>
    <row r="3112" spans="12:17" ht="15.75" customHeight="1">
      <c r="L3112" s="7"/>
      <c r="M3112" s="7"/>
      <c r="N3112" s="7"/>
      <c r="O3112" s="7"/>
      <c r="P3112" s="7"/>
      <c r="Q3112" s="7"/>
    </row>
    <row r="3113" spans="12:17" ht="15.75" customHeight="1">
      <c r="L3113" s="7"/>
      <c r="M3113" s="7"/>
      <c r="N3113" s="7"/>
      <c r="O3113" s="7"/>
      <c r="P3113" s="7"/>
      <c r="Q3113" s="7"/>
    </row>
    <row r="3114" spans="12:17" ht="15.75" customHeight="1">
      <c r="L3114" s="7"/>
      <c r="M3114" s="7"/>
      <c r="N3114" s="7"/>
      <c r="O3114" s="7"/>
      <c r="P3114" s="7"/>
      <c r="Q3114" s="7"/>
    </row>
    <row r="3115" spans="12:17" ht="15.75" customHeight="1">
      <c r="L3115" s="7"/>
      <c r="M3115" s="7"/>
      <c r="N3115" s="7"/>
      <c r="O3115" s="7"/>
      <c r="P3115" s="7"/>
      <c r="Q3115" s="7"/>
    </row>
    <row r="3116" spans="12:17" ht="15.75" customHeight="1">
      <c r="L3116" s="7"/>
      <c r="M3116" s="7"/>
      <c r="N3116" s="7"/>
      <c r="O3116" s="7"/>
      <c r="P3116" s="7"/>
      <c r="Q3116" s="7"/>
    </row>
    <row r="3117" spans="12:17" ht="15.75" customHeight="1">
      <c r="L3117" s="7"/>
      <c r="M3117" s="7"/>
      <c r="N3117" s="7"/>
      <c r="O3117" s="7"/>
      <c r="P3117" s="7"/>
      <c r="Q3117" s="7"/>
    </row>
    <row r="3118" spans="12:17" ht="15.75" customHeight="1">
      <c r="L3118" s="7"/>
      <c r="M3118" s="7"/>
      <c r="N3118" s="7"/>
      <c r="O3118" s="7"/>
      <c r="P3118" s="7"/>
      <c r="Q3118" s="7"/>
    </row>
    <row r="3119" spans="12:17" ht="15.75" customHeight="1">
      <c r="L3119" s="7"/>
      <c r="M3119" s="7"/>
      <c r="N3119" s="7"/>
      <c r="O3119" s="7"/>
      <c r="P3119" s="7"/>
      <c r="Q3119" s="7"/>
    </row>
    <row r="3120" spans="12:17" ht="15.75" customHeight="1">
      <c r="L3120" s="7"/>
      <c r="M3120" s="7"/>
      <c r="N3120" s="7"/>
      <c r="O3120" s="7"/>
      <c r="P3120" s="7"/>
      <c r="Q3120" s="7"/>
    </row>
    <row r="3121" spans="12:17" ht="15.75" customHeight="1">
      <c r="L3121" s="7"/>
      <c r="M3121" s="7"/>
      <c r="N3121" s="7"/>
      <c r="O3121" s="7"/>
      <c r="P3121" s="7"/>
      <c r="Q3121" s="7"/>
    </row>
    <row r="3122" spans="12:17" ht="15.75" customHeight="1">
      <c r="L3122" s="7"/>
      <c r="M3122" s="7"/>
      <c r="N3122" s="7"/>
      <c r="O3122" s="7"/>
      <c r="P3122" s="7"/>
      <c r="Q3122" s="7"/>
    </row>
    <row r="3123" spans="12:17" ht="15.75" customHeight="1">
      <c r="L3123" s="7"/>
      <c r="M3123" s="7"/>
      <c r="N3123" s="7"/>
      <c r="O3123" s="7"/>
      <c r="P3123" s="7"/>
      <c r="Q3123" s="7"/>
    </row>
    <row r="3124" spans="12:17" ht="15.75" customHeight="1">
      <c r="L3124" s="7"/>
      <c r="M3124" s="7"/>
      <c r="N3124" s="7"/>
      <c r="O3124" s="7"/>
      <c r="P3124" s="7"/>
      <c r="Q3124" s="7"/>
    </row>
    <row r="3125" spans="12:17" ht="15.75" customHeight="1">
      <c r="L3125" s="7"/>
      <c r="M3125" s="7"/>
      <c r="N3125" s="7"/>
      <c r="O3125" s="7"/>
      <c r="P3125" s="7"/>
      <c r="Q3125" s="7"/>
    </row>
    <row r="3126" spans="12:17" ht="15.75" customHeight="1">
      <c r="L3126" s="7"/>
      <c r="M3126" s="7"/>
      <c r="N3126" s="7"/>
      <c r="O3126" s="7"/>
      <c r="P3126" s="7"/>
      <c r="Q3126" s="7"/>
    </row>
    <row r="3127" spans="12:17" ht="15.75" customHeight="1">
      <c r="L3127" s="7"/>
      <c r="M3127" s="7"/>
      <c r="N3127" s="7"/>
      <c r="O3127" s="7"/>
      <c r="P3127" s="7"/>
      <c r="Q3127" s="7"/>
    </row>
    <row r="3128" spans="12:17" ht="15.75" customHeight="1">
      <c r="L3128" s="7"/>
      <c r="M3128" s="7"/>
      <c r="N3128" s="7"/>
      <c r="O3128" s="7"/>
      <c r="P3128" s="7"/>
      <c r="Q3128" s="7"/>
    </row>
    <row r="3129" spans="12:17" ht="15.75" customHeight="1">
      <c r="L3129" s="7"/>
      <c r="M3129" s="7"/>
      <c r="N3129" s="7"/>
      <c r="O3129" s="7"/>
      <c r="P3129" s="7"/>
      <c r="Q3129" s="7"/>
    </row>
    <row r="3130" spans="12:17" ht="15.75" customHeight="1">
      <c r="L3130" s="7"/>
      <c r="M3130" s="7"/>
      <c r="N3130" s="7"/>
      <c r="O3130" s="7"/>
      <c r="P3130" s="7"/>
      <c r="Q3130" s="7"/>
    </row>
    <row r="3131" spans="12:17" ht="15.75" customHeight="1">
      <c r="L3131" s="7"/>
      <c r="M3131" s="7"/>
      <c r="N3131" s="7"/>
      <c r="O3131" s="7"/>
      <c r="P3131" s="7"/>
      <c r="Q3131" s="7"/>
    </row>
    <row r="3132" spans="12:17" ht="15.75" customHeight="1">
      <c r="L3132" s="7"/>
      <c r="M3132" s="7"/>
      <c r="N3132" s="7"/>
      <c r="O3132" s="7"/>
      <c r="P3132" s="7"/>
      <c r="Q3132" s="7"/>
    </row>
    <row r="3133" spans="12:17" ht="15.75" customHeight="1">
      <c r="L3133" s="7"/>
      <c r="M3133" s="7"/>
      <c r="N3133" s="7"/>
      <c r="O3133" s="7"/>
      <c r="P3133" s="7"/>
      <c r="Q3133" s="7"/>
    </row>
    <row r="3134" spans="12:17" ht="15.75" customHeight="1">
      <c r="L3134" s="7"/>
      <c r="M3134" s="7"/>
      <c r="N3134" s="7"/>
      <c r="O3134" s="7"/>
      <c r="P3134" s="7"/>
      <c r="Q3134" s="7"/>
    </row>
    <row r="3135" spans="12:17" ht="15.75" customHeight="1">
      <c r="L3135" s="7"/>
      <c r="M3135" s="7"/>
      <c r="N3135" s="7"/>
      <c r="O3135" s="7"/>
      <c r="P3135" s="7"/>
      <c r="Q3135" s="7"/>
    </row>
    <row r="3136" spans="12:17" ht="15.75" customHeight="1">
      <c r="L3136" s="7"/>
      <c r="M3136" s="7"/>
      <c r="N3136" s="7"/>
      <c r="O3136" s="7"/>
      <c r="P3136" s="7"/>
      <c r="Q3136" s="7"/>
    </row>
    <row r="3137" spans="12:17" ht="15.75" customHeight="1">
      <c r="L3137" s="7"/>
      <c r="M3137" s="7"/>
      <c r="N3137" s="7"/>
      <c r="O3137" s="7"/>
      <c r="P3137" s="7"/>
      <c r="Q3137" s="7"/>
    </row>
    <row r="3138" spans="12:17" ht="15.75" customHeight="1">
      <c r="L3138" s="7"/>
      <c r="M3138" s="7"/>
      <c r="N3138" s="7"/>
      <c r="O3138" s="7"/>
      <c r="P3138" s="7"/>
      <c r="Q3138" s="7"/>
    </row>
    <row r="3139" spans="12:17" ht="15.75" customHeight="1">
      <c r="L3139" s="7"/>
      <c r="M3139" s="7"/>
      <c r="N3139" s="7"/>
      <c r="O3139" s="7"/>
      <c r="P3139" s="7"/>
      <c r="Q3139" s="7"/>
    </row>
    <row r="3140" spans="12:17" ht="15.75" customHeight="1">
      <c r="L3140" s="7"/>
      <c r="M3140" s="7"/>
      <c r="N3140" s="7"/>
      <c r="O3140" s="7"/>
      <c r="P3140" s="7"/>
      <c r="Q3140" s="7"/>
    </row>
    <row r="3141" spans="12:17" ht="15.75" customHeight="1">
      <c r="L3141" s="7"/>
      <c r="M3141" s="7"/>
      <c r="N3141" s="7"/>
      <c r="O3141" s="7"/>
      <c r="P3141" s="7"/>
      <c r="Q3141" s="7"/>
    </row>
    <row r="3142" spans="12:17" ht="15.75" customHeight="1">
      <c r="L3142" s="7"/>
      <c r="M3142" s="7"/>
      <c r="N3142" s="7"/>
      <c r="O3142" s="7"/>
      <c r="P3142" s="7"/>
      <c r="Q3142" s="7"/>
    </row>
    <row r="3143" spans="12:17" ht="15.75" customHeight="1">
      <c r="L3143" s="7"/>
      <c r="M3143" s="7"/>
      <c r="N3143" s="7"/>
      <c r="O3143" s="7"/>
      <c r="P3143" s="7"/>
      <c r="Q3143" s="7"/>
    </row>
    <row r="3144" spans="12:17" ht="15.75" customHeight="1">
      <c r="L3144" s="7"/>
      <c r="M3144" s="7"/>
      <c r="N3144" s="7"/>
      <c r="O3144" s="7"/>
      <c r="P3144" s="7"/>
      <c r="Q3144" s="7"/>
    </row>
    <row r="3145" spans="12:17" ht="15.75" customHeight="1">
      <c r="L3145" s="7"/>
      <c r="M3145" s="7"/>
      <c r="N3145" s="7"/>
      <c r="O3145" s="7"/>
      <c r="P3145" s="7"/>
      <c r="Q3145" s="7"/>
    </row>
    <row r="3146" spans="12:17" ht="15.75" customHeight="1">
      <c r="L3146" s="7"/>
      <c r="M3146" s="7"/>
      <c r="N3146" s="7"/>
      <c r="O3146" s="7"/>
      <c r="P3146" s="7"/>
      <c r="Q3146" s="7"/>
    </row>
    <row r="3147" spans="12:17" ht="15.75" customHeight="1">
      <c r="L3147" s="7"/>
      <c r="M3147" s="7"/>
      <c r="N3147" s="7"/>
      <c r="O3147" s="7"/>
      <c r="P3147" s="7"/>
      <c r="Q3147" s="7"/>
    </row>
    <row r="3148" spans="12:17" ht="15.75" customHeight="1">
      <c r="L3148" s="7"/>
      <c r="M3148" s="7"/>
      <c r="N3148" s="7"/>
      <c r="O3148" s="7"/>
      <c r="P3148" s="7"/>
      <c r="Q3148" s="7"/>
    </row>
    <row r="3149" spans="12:17" ht="15.75" customHeight="1">
      <c r="L3149" s="7"/>
      <c r="M3149" s="7"/>
      <c r="N3149" s="7"/>
      <c r="O3149" s="7"/>
      <c r="P3149" s="7"/>
      <c r="Q3149" s="7"/>
    </row>
    <row r="3150" spans="12:17" ht="15.75" customHeight="1">
      <c r="L3150" s="7"/>
      <c r="M3150" s="7"/>
      <c r="N3150" s="7"/>
      <c r="O3150" s="7"/>
      <c r="P3150" s="7"/>
      <c r="Q3150" s="7"/>
    </row>
    <row r="3151" spans="12:17" ht="15.75" customHeight="1">
      <c r="L3151" s="7"/>
      <c r="M3151" s="7"/>
      <c r="N3151" s="7"/>
      <c r="O3151" s="7"/>
      <c r="P3151" s="7"/>
      <c r="Q3151" s="7"/>
    </row>
    <row r="3152" spans="12:17" ht="15.75" customHeight="1">
      <c r="L3152" s="7"/>
      <c r="M3152" s="7"/>
      <c r="N3152" s="7"/>
      <c r="O3152" s="7"/>
      <c r="P3152" s="7"/>
      <c r="Q3152" s="7"/>
    </row>
    <row r="3153" spans="12:17" ht="15.75" customHeight="1">
      <c r="L3153" s="7"/>
      <c r="M3153" s="7"/>
      <c r="N3153" s="7"/>
      <c r="O3153" s="7"/>
      <c r="P3153" s="7"/>
      <c r="Q3153" s="7"/>
    </row>
    <row r="3154" spans="12:17" ht="15.75" customHeight="1">
      <c r="L3154" s="7"/>
      <c r="M3154" s="7"/>
      <c r="N3154" s="7"/>
      <c r="O3154" s="7"/>
      <c r="P3154" s="7"/>
      <c r="Q3154" s="7"/>
    </row>
    <row r="3155" spans="12:17" ht="15.75" customHeight="1">
      <c r="L3155" s="7"/>
      <c r="M3155" s="7"/>
      <c r="N3155" s="7"/>
      <c r="O3155" s="7"/>
      <c r="P3155" s="7"/>
      <c r="Q3155" s="7"/>
    </row>
    <row r="3156" spans="12:17" ht="15.75" customHeight="1">
      <c r="L3156" s="7"/>
      <c r="M3156" s="7"/>
      <c r="N3156" s="7"/>
      <c r="O3156" s="7"/>
      <c r="P3156" s="7"/>
      <c r="Q3156" s="7"/>
    </row>
    <row r="3157" spans="12:17" ht="15.75" customHeight="1">
      <c r="L3157" s="7"/>
      <c r="M3157" s="7"/>
      <c r="N3157" s="7"/>
      <c r="O3157" s="7"/>
      <c r="P3157" s="7"/>
      <c r="Q3157" s="7"/>
    </row>
    <row r="3158" spans="12:17" ht="15.75" customHeight="1">
      <c r="L3158" s="7"/>
      <c r="M3158" s="7"/>
      <c r="N3158" s="7"/>
      <c r="O3158" s="7"/>
      <c r="P3158" s="7"/>
      <c r="Q3158" s="7"/>
    </row>
    <row r="3159" spans="12:17" ht="15.75" customHeight="1">
      <c r="L3159" s="7"/>
      <c r="M3159" s="7"/>
      <c r="N3159" s="7"/>
      <c r="O3159" s="7"/>
      <c r="P3159" s="7"/>
      <c r="Q3159" s="7"/>
    </row>
    <row r="3160" spans="12:17" ht="15.75" customHeight="1">
      <c r="L3160" s="7"/>
      <c r="M3160" s="7"/>
      <c r="N3160" s="7"/>
      <c r="O3160" s="7"/>
      <c r="P3160" s="7"/>
      <c r="Q3160" s="7"/>
    </row>
    <row r="3161" spans="12:17" ht="15.75" customHeight="1">
      <c r="L3161" s="7"/>
      <c r="M3161" s="7"/>
      <c r="N3161" s="7"/>
      <c r="O3161" s="7"/>
      <c r="P3161" s="7"/>
      <c r="Q3161" s="7"/>
    </row>
    <row r="3162" spans="12:17" ht="15.75" customHeight="1">
      <c r="L3162" s="7"/>
      <c r="M3162" s="7"/>
      <c r="N3162" s="7"/>
      <c r="O3162" s="7"/>
      <c r="P3162" s="7"/>
      <c r="Q3162" s="7"/>
    </row>
    <row r="3163" spans="12:17" ht="15.75" customHeight="1">
      <c r="L3163" s="7"/>
      <c r="M3163" s="7"/>
      <c r="N3163" s="7"/>
      <c r="O3163" s="7"/>
      <c r="P3163" s="7"/>
      <c r="Q3163" s="7"/>
    </row>
    <row r="3164" spans="12:17" ht="15.75" customHeight="1">
      <c r="L3164" s="7"/>
      <c r="M3164" s="7"/>
      <c r="N3164" s="7"/>
      <c r="O3164" s="7"/>
      <c r="P3164" s="7"/>
      <c r="Q3164" s="7"/>
    </row>
    <row r="3165" spans="12:17" ht="15.75" customHeight="1">
      <c r="L3165" s="7"/>
      <c r="M3165" s="7"/>
      <c r="N3165" s="7"/>
      <c r="O3165" s="7"/>
      <c r="P3165" s="7"/>
      <c r="Q3165" s="7"/>
    </row>
    <row r="3166" spans="12:17" ht="15.75" customHeight="1">
      <c r="L3166" s="7"/>
      <c r="M3166" s="7"/>
      <c r="N3166" s="7"/>
      <c r="O3166" s="7"/>
      <c r="P3166" s="7"/>
      <c r="Q3166" s="7"/>
    </row>
    <row r="3167" spans="12:17" ht="15.75" customHeight="1">
      <c r="L3167" s="7"/>
      <c r="M3167" s="7"/>
      <c r="N3167" s="7"/>
      <c r="O3167" s="7"/>
      <c r="P3167" s="7"/>
      <c r="Q3167" s="7"/>
    </row>
    <row r="3168" spans="12:17" ht="15.75" customHeight="1">
      <c r="L3168" s="7"/>
      <c r="M3168" s="7"/>
      <c r="N3168" s="7"/>
      <c r="O3168" s="7"/>
      <c r="P3168" s="7"/>
      <c r="Q3168" s="7"/>
    </row>
    <row r="3169" spans="12:17" ht="15.75" customHeight="1">
      <c r="L3169" s="7"/>
      <c r="M3169" s="7"/>
      <c r="N3169" s="7"/>
      <c r="O3169" s="7"/>
      <c r="P3169" s="7"/>
      <c r="Q3169" s="7"/>
    </row>
    <row r="3170" spans="12:17" ht="15.75" customHeight="1">
      <c r="L3170" s="7"/>
      <c r="M3170" s="7"/>
      <c r="N3170" s="7"/>
      <c r="O3170" s="7"/>
      <c r="P3170" s="7"/>
      <c r="Q3170" s="7"/>
    </row>
    <row r="3171" spans="12:17" ht="15.75" customHeight="1">
      <c r="L3171" s="7"/>
      <c r="M3171" s="7"/>
      <c r="N3171" s="7"/>
      <c r="O3171" s="7"/>
      <c r="P3171" s="7"/>
      <c r="Q3171" s="7"/>
    </row>
    <row r="3172" spans="12:17" ht="15.75" customHeight="1">
      <c r="L3172" s="7"/>
      <c r="M3172" s="7"/>
      <c r="N3172" s="7"/>
      <c r="O3172" s="7"/>
      <c r="P3172" s="7"/>
      <c r="Q3172" s="7"/>
    </row>
    <row r="3173" spans="12:17" ht="15.75" customHeight="1">
      <c r="L3173" s="7"/>
      <c r="M3173" s="7"/>
      <c r="N3173" s="7"/>
      <c r="O3173" s="7"/>
      <c r="P3173" s="7"/>
      <c r="Q3173" s="7"/>
    </row>
    <row r="3174" spans="12:17" ht="15.75" customHeight="1">
      <c r="L3174" s="7"/>
      <c r="M3174" s="7"/>
      <c r="N3174" s="7"/>
      <c r="O3174" s="7"/>
      <c r="P3174" s="7"/>
      <c r="Q3174" s="7"/>
    </row>
    <row r="3175" spans="12:17" ht="15.75" customHeight="1">
      <c r="L3175" s="7"/>
      <c r="M3175" s="7"/>
      <c r="N3175" s="7"/>
      <c r="O3175" s="7"/>
      <c r="P3175" s="7"/>
      <c r="Q3175" s="7"/>
    </row>
    <row r="3176" spans="12:17" ht="15.75" customHeight="1">
      <c r="L3176" s="7"/>
      <c r="M3176" s="7"/>
      <c r="N3176" s="7"/>
      <c r="O3176" s="7"/>
      <c r="P3176" s="7"/>
      <c r="Q3176" s="7"/>
    </row>
    <row r="3177" spans="12:17" ht="15.75" customHeight="1">
      <c r="L3177" s="7"/>
      <c r="M3177" s="7"/>
      <c r="N3177" s="7"/>
      <c r="O3177" s="7"/>
      <c r="P3177" s="7"/>
      <c r="Q3177" s="7"/>
    </row>
    <row r="3178" spans="12:17" ht="15.75" customHeight="1">
      <c r="L3178" s="7"/>
      <c r="M3178" s="7"/>
      <c r="N3178" s="7"/>
      <c r="O3178" s="7"/>
      <c r="P3178" s="7"/>
      <c r="Q3178" s="7"/>
    </row>
    <row r="3179" spans="12:17" ht="15.75" customHeight="1">
      <c r="L3179" s="7"/>
      <c r="M3179" s="7"/>
      <c r="N3179" s="7"/>
      <c r="O3179" s="7"/>
      <c r="P3179" s="7"/>
      <c r="Q3179" s="7"/>
    </row>
    <row r="3180" spans="12:17" ht="15.75" customHeight="1">
      <c r="L3180" s="7"/>
      <c r="M3180" s="7"/>
      <c r="N3180" s="7"/>
      <c r="O3180" s="7"/>
      <c r="P3180" s="7"/>
      <c r="Q3180" s="7"/>
    </row>
    <row r="3181" spans="12:17" ht="15.75" customHeight="1">
      <c r="L3181" s="7"/>
      <c r="M3181" s="7"/>
      <c r="N3181" s="7"/>
      <c r="O3181" s="7"/>
      <c r="P3181" s="7"/>
      <c r="Q3181" s="7"/>
    </row>
    <row r="3182" spans="12:17" ht="15.75" customHeight="1">
      <c r="L3182" s="7"/>
      <c r="M3182" s="7"/>
      <c r="N3182" s="7"/>
      <c r="O3182" s="7"/>
      <c r="P3182" s="7"/>
      <c r="Q3182" s="7"/>
    </row>
    <row r="3183" spans="12:17" ht="15.75" customHeight="1">
      <c r="L3183" s="7"/>
      <c r="M3183" s="7"/>
      <c r="N3183" s="7"/>
      <c r="O3183" s="7"/>
      <c r="P3183" s="7"/>
      <c r="Q3183" s="7"/>
    </row>
    <row r="3184" spans="12:17" ht="15.75" customHeight="1">
      <c r="L3184" s="7"/>
      <c r="M3184" s="7"/>
      <c r="N3184" s="7"/>
      <c r="O3184" s="7"/>
      <c r="P3184" s="7"/>
      <c r="Q3184" s="7"/>
    </row>
    <row r="3185" spans="12:17" ht="15.75" customHeight="1">
      <c r="L3185" s="7"/>
      <c r="M3185" s="7"/>
      <c r="N3185" s="7"/>
      <c r="O3185" s="7"/>
      <c r="P3185" s="7"/>
      <c r="Q3185" s="7"/>
    </row>
    <row r="3186" spans="12:17" ht="15.75" customHeight="1">
      <c r="L3186" s="7"/>
      <c r="M3186" s="7"/>
      <c r="N3186" s="7"/>
      <c r="O3186" s="7"/>
      <c r="P3186" s="7"/>
      <c r="Q3186" s="7"/>
    </row>
    <row r="3187" spans="12:17" ht="15.75" customHeight="1">
      <c r="L3187" s="7"/>
      <c r="M3187" s="7"/>
      <c r="N3187" s="7"/>
      <c r="O3187" s="7"/>
      <c r="P3187" s="7"/>
      <c r="Q3187" s="7"/>
    </row>
    <row r="3188" spans="12:17" ht="15.75" customHeight="1">
      <c r="L3188" s="7"/>
      <c r="M3188" s="7"/>
      <c r="N3188" s="7"/>
      <c r="O3188" s="7"/>
      <c r="P3188" s="7"/>
      <c r="Q3188" s="7"/>
    </row>
    <row r="3189" spans="12:17" ht="15.75" customHeight="1">
      <c r="L3189" s="7"/>
      <c r="M3189" s="7"/>
      <c r="N3189" s="7"/>
      <c r="O3189" s="7"/>
      <c r="P3189" s="7"/>
      <c r="Q3189" s="7"/>
    </row>
    <row r="3190" spans="12:17" ht="15.75" customHeight="1">
      <c r="L3190" s="7"/>
      <c r="M3190" s="7"/>
      <c r="N3190" s="7"/>
      <c r="O3190" s="7"/>
      <c r="P3190" s="7"/>
      <c r="Q3190" s="7"/>
    </row>
    <row r="3191" spans="12:17" ht="15.75" customHeight="1">
      <c r="L3191" s="7"/>
      <c r="M3191" s="7"/>
      <c r="N3191" s="7"/>
      <c r="O3191" s="7"/>
      <c r="P3191" s="7"/>
      <c r="Q3191" s="7"/>
    </row>
    <row r="3192" spans="12:17" ht="15.75" customHeight="1">
      <c r="L3192" s="7"/>
      <c r="M3192" s="7"/>
      <c r="N3192" s="7"/>
      <c r="O3192" s="7"/>
      <c r="P3192" s="7"/>
      <c r="Q3192" s="7"/>
    </row>
    <row r="3193" spans="12:17" ht="15.75" customHeight="1">
      <c r="L3193" s="7"/>
      <c r="M3193" s="7"/>
      <c r="N3193" s="7"/>
      <c r="O3193" s="7"/>
      <c r="P3193" s="7"/>
      <c r="Q3193" s="7"/>
    </row>
    <row r="3194" spans="12:17" ht="15.75" customHeight="1">
      <c r="L3194" s="7"/>
      <c r="M3194" s="7"/>
      <c r="N3194" s="7"/>
      <c r="O3194" s="7"/>
      <c r="P3194" s="7"/>
      <c r="Q3194" s="7"/>
    </row>
    <row r="3195" spans="12:17" ht="15.75" customHeight="1">
      <c r="L3195" s="7"/>
      <c r="M3195" s="7"/>
      <c r="N3195" s="7"/>
      <c r="O3195" s="7"/>
      <c r="P3195" s="7"/>
      <c r="Q3195" s="7"/>
    </row>
    <row r="3196" spans="12:17" ht="15.75" customHeight="1">
      <c r="L3196" s="7"/>
      <c r="M3196" s="7"/>
      <c r="N3196" s="7"/>
      <c r="O3196" s="7"/>
      <c r="P3196" s="7"/>
      <c r="Q3196" s="7"/>
    </row>
    <row r="3197" spans="12:17" ht="15.75" customHeight="1">
      <c r="L3197" s="7"/>
      <c r="M3197" s="7"/>
      <c r="N3197" s="7"/>
      <c r="O3197" s="7"/>
      <c r="P3197" s="7"/>
      <c r="Q3197" s="7"/>
    </row>
    <row r="3198" spans="12:17" ht="15.75" customHeight="1">
      <c r="L3198" s="7"/>
      <c r="M3198" s="7"/>
      <c r="N3198" s="7"/>
      <c r="O3198" s="7"/>
      <c r="P3198" s="7"/>
      <c r="Q3198" s="7"/>
    </row>
    <row r="3199" spans="12:17" ht="15.75" customHeight="1">
      <c r="L3199" s="7"/>
      <c r="M3199" s="7"/>
      <c r="N3199" s="7"/>
      <c r="O3199" s="7"/>
      <c r="P3199" s="7"/>
      <c r="Q3199" s="7"/>
    </row>
    <row r="3200" spans="12:17" ht="15.75" customHeight="1">
      <c r="L3200" s="7"/>
      <c r="M3200" s="7"/>
      <c r="N3200" s="7"/>
      <c r="O3200" s="7"/>
      <c r="P3200" s="7"/>
      <c r="Q3200" s="7"/>
    </row>
    <row r="3201" spans="12:17" ht="15.75" customHeight="1">
      <c r="L3201" s="7"/>
      <c r="M3201" s="7"/>
      <c r="N3201" s="7"/>
      <c r="O3201" s="7"/>
      <c r="P3201" s="7"/>
      <c r="Q3201" s="7"/>
    </row>
    <row r="3202" spans="12:17" ht="15.75" customHeight="1">
      <c r="L3202" s="7"/>
      <c r="M3202" s="7"/>
      <c r="N3202" s="7"/>
      <c r="O3202" s="7"/>
      <c r="P3202" s="7"/>
      <c r="Q3202" s="7"/>
    </row>
    <row r="3203" spans="12:17" ht="15.75" customHeight="1">
      <c r="L3203" s="7"/>
      <c r="M3203" s="7"/>
      <c r="N3203" s="7"/>
      <c r="O3203" s="7"/>
      <c r="P3203" s="7"/>
      <c r="Q3203" s="7"/>
    </row>
    <row r="3204" spans="12:17" ht="15.75" customHeight="1">
      <c r="L3204" s="7"/>
      <c r="M3204" s="7"/>
      <c r="N3204" s="7"/>
      <c r="O3204" s="7"/>
      <c r="P3204" s="7"/>
      <c r="Q3204" s="7"/>
    </row>
    <row r="3205" spans="12:17" ht="15.75" customHeight="1">
      <c r="L3205" s="7"/>
      <c r="M3205" s="7"/>
      <c r="N3205" s="7"/>
      <c r="O3205" s="7"/>
      <c r="P3205" s="7"/>
      <c r="Q3205" s="7"/>
    </row>
    <row r="3206" spans="12:17" ht="15.75" customHeight="1">
      <c r="L3206" s="7"/>
      <c r="M3206" s="7"/>
      <c r="N3206" s="7"/>
      <c r="O3206" s="7"/>
      <c r="P3206" s="7"/>
      <c r="Q3206" s="7"/>
    </row>
    <row r="3207" spans="12:17" ht="15.75" customHeight="1">
      <c r="L3207" s="7"/>
      <c r="M3207" s="7"/>
      <c r="N3207" s="7"/>
      <c r="O3207" s="7"/>
      <c r="P3207" s="7"/>
      <c r="Q3207" s="7"/>
    </row>
    <row r="3208" spans="12:17" ht="15.75" customHeight="1">
      <c r="L3208" s="7"/>
      <c r="M3208" s="7"/>
      <c r="N3208" s="7"/>
      <c r="O3208" s="7"/>
      <c r="P3208" s="7"/>
      <c r="Q3208" s="7"/>
    </row>
    <row r="3209" spans="12:17" ht="15.75" customHeight="1">
      <c r="L3209" s="7"/>
      <c r="M3209" s="7"/>
      <c r="N3209" s="7"/>
      <c r="O3209" s="7"/>
      <c r="P3209" s="7"/>
      <c r="Q3209" s="7"/>
    </row>
    <row r="3210" spans="12:17" ht="15.75" customHeight="1">
      <c r="L3210" s="7"/>
      <c r="M3210" s="7"/>
      <c r="N3210" s="7"/>
      <c r="O3210" s="7"/>
      <c r="P3210" s="7"/>
      <c r="Q3210" s="7"/>
    </row>
    <row r="3211" spans="12:17" ht="15.75" customHeight="1">
      <c r="L3211" s="7"/>
      <c r="M3211" s="7"/>
      <c r="N3211" s="7"/>
      <c r="O3211" s="7"/>
      <c r="P3211" s="7"/>
      <c r="Q3211" s="7"/>
    </row>
    <row r="3212" spans="12:17" ht="15.75" customHeight="1">
      <c r="L3212" s="7"/>
      <c r="M3212" s="7"/>
      <c r="N3212" s="7"/>
      <c r="O3212" s="7"/>
      <c r="P3212" s="7"/>
      <c r="Q3212" s="7"/>
    </row>
    <row r="3213" spans="12:17" ht="15.75" customHeight="1">
      <c r="L3213" s="7"/>
      <c r="M3213" s="7"/>
      <c r="N3213" s="7"/>
      <c r="O3213" s="7"/>
      <c r="P3213" s="7"/>
      <c r="Q3213" s="7"/>
    </row>
    <row r="3214" spans="12:17" ht="15.75" customHeight="1">
      <c r="L3214" s="7"/>
      <c r="M3214" s="7"/>
      <c r="N3214" s="7"/>
      <c r="O3214" s="7"/>
      <c r="P3214" s="7"/>
      <c r="Q3214" s="7"/>
    </row>
    <row r="3215" spans="12:17" ht="15.75" customHeight="1">
      <c r="L3215" s="7"/>
      <c r="M3215" s="7"/>
      <c r="N3215" s="7"/>
      <c r="O3215" s="7"/>
      <c r="P3215" s="7"/>
      <c r="Q3215" s="7"/>
    </row>
    <row r="3216" spans="12:17" ht="15.75" customHeight="1">
      <c r="L3216" s="7"/>
      <c r="M3216" s="7"/>
      <c r="N3216" s="7"/>
      <c r="O3216" s="7"/>
      <c r="P3216" s="7"/>
      <c r="Q3216" s="7"/>
    </row>
    <row r="3217" spans="12:17" ht="15.75" customHeight="1">
      <c r="L3217" s="7"/>
      <c r="M3217" s="7"/>
      <c r="N3217" s="7"/>
      <c r="O3217" s="7"/>
      <c r="P3217" s="7"/>
      <c r="Q3217" s="7"/>
    </row>
    <row r="3218" spans="12:17" ht="15.75" customHeight="1">
      <c r="L3218" s="7"/>
      <c r="M3218" s="7"/>
      <c r="N3218" s="7"/>
      <c r="O3218" s="7"/>
      <c r="P3218" s="7"/>
      <c r="Q3218" s="7"/>
    </row>
    <row r="3219" spans="12:17" ht="15.75" customHeight="1">
      <c r="L3219" s="7"/>
      <c r="M3219" s="7"/>
      <c r="N3219" s="7"/>
      <c r="O3219" s="7"/>
      <c r="P3219" s="7"/>
      <c r="Q3219" s="7"/>
    </row>
    <row r="3220" spans="12:17" ht="15.75" customHeight="1">
      <c r="L3220" s="7"/>
      <c r="M3220" s="7"/>
      <c r="N3220" s="7"/>
      <c r="O3220" s="7"/>
      <c r="P3220" s="7"/>
      <c r="Q3220" s="7"/>
    </row>
    <row r="3221" spans="12:17" ht="15.75" customHeight="1">
      <c r="L3221" s="7"/>
      <c r="M3221" s="7"/>
      <c r="N3221" s="7"/>
      <c r="O3221" s="7"/>
      <c r="P3221" s="7"/>
      <c r="Q3221" s="7"/>
    </row>
    <row r="3222" spans="12:17" ht="15.75" customHeight="1">
      <c r="L3222" s="7"/>
      <c r="M3222" s="7"/>
      <c r="N3222" s="7"/>
      <c r="O3222" s="7"/>
      <c r="P3222" s="7"/>
      <c r="Q3222" s="7"/>
    </row>
    <row r="3223" spans="12:17" ht="15.75" customHeight="1">
      <c r="L3223" s="7"/>
      <c r="M3223" s="7"/>
      <c r="N3223" s="7"/>
      <c r="O3223" s="7"/>
      <c r="P3223" s="7"/>
      <c r="Q3223" s="7"/>
    </row>
    <row r="3224" spans="12:17" ht="15.75" customHeight="1">
      <c r="L3224" s="7"/>
      <c r="M3224" s="7"/>
      <c r="N3224" s="7"/>
      <c r="O3224" s="7"/>
      <c r="P3224" s="7"/>
      <c r="Q3224" s="7"/>
    </row>
    <row r="3225" spans="12:17" ht="15.75" customHeight="1">
      <c r="L3225" s="7"/>
      <c r="M3225" s="7"/>
      <c r="N3225" s="7"/>
      <c r="O3225" s="7"/>
      <c r="P3225" s="7"/>
      <c r="Q3225" s="7"/>
    </row>
    <row r="3226" spans="12:17" ht="15.75" customHeight="1">
      <c r="L3226" s="7"/>
      <c r="M3226" s="7"/>
      <c r="N3226" s="7"/>
      <c r="O3226" s="7"/>
      <c r="P3226" s="7"/>
      <c r="Q3226" s="7"/>
    </row>
    <row r="3227" spans="12:17" ht="15.75" customHeight="1">
      <c r="L3227" s="7"/>
      <c r="M3227" s="7"/>
      <c r="N3227" s="7"/>
      <c r="O3227" s="7"/>
      <c r="P3227" s="7"/>
      <c r="Q3227" s="7"/>
    </row>
    <row r="3228" spans="12:17" ht="15.75" customHeight="1">
      <c r="L3228" s="7"/>
      <c r="M3228" s="7"/>
      <c r="N3228" s="7"/>
      <c r="O3228" s="7"/>
      <c r="P3228" s="7"/>
      <c r="Q3228" s="7"/>
    </row>
    <row r="3229" spans="12:17" ht="15.75" customHeight="1">
      <c r="L3229" s="7"/>
      <c r="M3229" s="7"/>
      <c r="N3229" s="7"/>
      <c r="O3229" s="7"/>
      <c r="P3229" s="7"/>
      <c r="Q3229" s="7"/>
    </row>
    <row r="3230" spans="12:17" ht="15.75" customHeight="1">
      <c r="L3230" s="7"/>
      <c r="M3230" s="7"/>
      <c r="N3230" s="7"/>
      <c r="O3230" s="7"/>
      <c r="P3230" s="7"/>
      <c r="Q3230" s="7"/>
    </row>
    <row r="3231" spans="12:17" ht="15.75" customHeight="1">
      <c r="L3231" s="7"/>
      <c r="M3231" s="7"/>
      <c r="N3231" s="7"/>
      <c r="O3231" s="7"/>
      <c r="P3231" s="7"/>
      <c r="Q3231" s="7"/>
    </row>
    <row r="3232" spans="12:17" ht="15.75" customHeight="1">
      <c r="L3232" s="7"/>
      <c r="M3232" s="7"/>
      <c r="N3232" s="7"/>
      <c r="O3232" s="7"/>
      <c r="P3232" s="7"/>
      <c r="Q3232" s="7"/>
    </row>
    <row r="3233" spans="12:17" ht="15.75" customHeight="1">
      <c r="L3233" s="7"/>
      <c r="M3233" s="7"/>
      <c r="N3233" s="7"/>
      <c r="O3233" s="7"/>
      <c r="P3233" s="7"/>
      <c r="Q3233" s="7"/>
    </row>
    <row r="3234" spans="12:17" ht="15.75" customHeight="1">
      <c r="L3234" s="7"/>
      <c r="M3234" s="7"/>
      <c r="N3234" s="7"/>
      <c r="O3234" s="7"/>
      <c r="P3234" s="7"/>
      <c r="Q3234" s="7"/>
    </row>
    <row r="3235" spans="12:17" ht="15.75" customHeight="1">
      <c r="L3235" s="7"/>
      <c r="M3235" s="7"/>
      <c r="N3235" s="7"/>
      <c r="O3235" s="7"/>
      <c r="P3235" s="7"/>
      <c r="Q3235" s="7"/>
    </row>
    <row r="3236" spans="12:17" ht="15.75" customHeight="1">
      <c r="L3236" s="7"/>
      <c r="M3236" s="7"/>
      <c r="N3236" s="7"/>
      <c r="O3236" s="7"/>
      <c r="P3236" s="7"/>
      <c r="Q3236" s="7"/>
    </row>
    <row r="3237" spans="12:17" ht="15.75" customHeight="1">
      <c r="L3237" s="7"/>
      <c r="M3237" s="7"/>
      <c r="N3237" s="7"/>
      <c r="O3237" s="7"/>
      <c r="P3237" s="7"/>
      <c r="Q3237" s="7"/>
    </row>
    <row r="3238" spans="12:17" ht="15.75" customHeight="1">
      <c r="L3238" s="7"/>
      <c r="M3238" s="7"/>
      <c r="N3238" s="7"/>
      <c r="O3238" s="7"/>
      <c r="P3238" s="7"/>
      <c r="Q3238" s="7"/>
    </row>
    <row r="3239" spans="12:17" ht="15.75" customHeight="1">
      <c r="L3239" s="7"/>
      <c r="M3239" s="7"/>
      <c r="N3239" s="7"/>
      <c r="O3239" s="7"/>
      <c r="P3239" s="7"/>
      <c r="Q3239" s="7"/>
    </row>
    <row r="3240" spans="12:17" ht="15.75" customHeight="1">
      <c r="L3240" s="7"/>
      <c r="M3240" s="7"/>
      <c r="N3240" s="7"/>
      <c r="O3240" s="7"/>
      <c r="P3240" s="7"/>
      <c r="Q3240" s="7"/>
    </row>
    <row r="3241" spans="12:17" ht="15.75" customHeight="1">
      <c r="L3241" s="7"/>
      <c r="M3241" s="7"/>
      <c r="N3241" s="7"/>
      <c r="O3241" s="7"/>
      <c r="P3241" s="7"/>
      <c r="Q3241" s="7"/>
    </row>
    <row r="3242" spans="12:17" ht="15.75" customHeight="1">
      <c r="L3242" s="7"/>
      <c r="M3242" s="7"/>
      <c r="N3242" s="7"/>
      <c r="O3242" s="7"/>
      <c r="P3242" s="7"/>
      <c r="Q3242" s="7"/>
    </row>
    <row r="3243" spans="12:17" ht="15.75" customHeight="1">
      <c r="L3243" s="7"/>
      <c r="M3243" s="7"/>
      <c r="N3243" s="7"/>
      <c r="O3243" s="7"/>
      <c r="P3243" s="7"/>
      <c r="Q3243" s="7"/>
    </row>
    <row r="3244" spans="12:17" ht="15.75" customHeight="1">
      <c r="L3244" s="7"/>
      <c r="M3244" s="7"/>
      <c r="N3244" s="7"/>
      <c r="O3244" s="7"/>
      <c r="P3244" s="7"/>
      <c r="Q3244" s="7"/>
    </row>
    <row r="3245" spans="12:17" ht="15.75" customHeight="1">
      <c r="L3245" s="7"/>
      <c r="M3245" s="7"/>
      <c r="N3245" s="7"/>
      <c r="O3245" s="7"/>
      <c r="P3245" s="7"/>
      <c r="Q3245" s="7"/>
    </row>
    <row r="3246" spans="12:17" ht="15.75" customHeight="1">
      <c r="L3246" s="7"/>
      <c r="M3246" s="7"/>
      <c r="N3246" s="7"/>
      <c r="O3246" s="7"/>
      <c r="P3246" s="7"/>
      <c r="Q3246" s="7"/>
    </row>
    <row r="3247" spans="12:17" ht="15.75" customHeight="1">
      <c r="L3247" s="7"/>
      <c r="M3247" s="7"/>
      <c r="N3247" s="7"/>
      <c r="O3247" s="7"/>
      <c r="P3247" s="7"/>
      <c r="Q3247" s="7"/>
    </row>
    <row r="3248" spans="12:17" ht="15.75" customHeight="1">
      <c r="L3248" s="7"/>
      <c r="M3248" s="7"/>
      <c r="N3248" s="7"/>
      <c r="O3248" s="7"/>
      <c r="P3248" s="7"/>
      <c r="Q3248" s="7"/>
    </row>
    <row r="3249" spans="12:17" ht="15.75" customHeight="1">
      <c r="L3249" s="7"/>
      <c r="M3249" s="7"/>
      <c r="N3249" s="7"/>
      <c r="O3249" s="7"/>
      <c r="P3249" s="7"/>
      <c r="Q3249" s="7"/>
    </row>
    <row r="3250" spans="12:17" ht="15.75" customHeight="1">
      <c r="L3250" s="7"/>
      <c r="M3250" s="7"/>
      <c r="N3250" s="7"/>
      <c r="O3250" s="7"/>
      <c r="P3250" s="7"/>
      <c r="Q3250" s="7"/>
    </row>
    <row r="3251" spans="12:17" ht="15.75" customHeight="1">
      <c r="L3251" s="7"/>
      <c r="M3251" s="7"/>
      <c r="N3251" s="7"/>
      <c r="O3251" s="7"/>
      <c r="P3251" s="7"/>
      <c r="Q3251" s="7"/>
    </row>
    <row r="3252" spans="12:17" ht="15.75" customHeight="1">
      <c r="L3252" s="7"/>
      <c r="M3252" s="7"/>
      <c r="N3252" s="7"/>
      <c r="O3252" s="7"/>
      <c r="P3252" s="7"/>
      <c r="Q3252" s="7"/>
    </row>
    <row r="3253" spans="12:17" ht="15.75" customHeight="1">
      <c r="L3253" s="7"/>
      <c r="M3253" s="7"/>
      <c r="N3253" s="7"/>
      <c r="O3253" s="7"/>
      <c r="P3253" s="7"/>
      <c r="Q3253" s="7"/>
    </row>
    <row r="3254" spans="12:17" ht="15.75" customHeight="1">
      <c r="L3254" s="7"/>
      <c r="M3254" s="7"/>
      <c r="N3254" s="7"/>
      <c r="O3254" s="7"/>
      <c r="P3254" s="7"/>
      <c r="Q3254" s="7"/>
    </row>
    <row r="3255" spans="12:17" ht="15.75" customHeight="1">
      <c r="L3255" s="7"/>
      <c r="M3255" s="7"/>
      <c r="N3255" s="7"/>
      <c r="O3255" s="7"/>
      <c r="P3255" s="7"/>
      <c r="Q3255" s="7"/>
    </row>
    <row r="3256" spans="12:17" ht="15.75" customHeight="1">
      <c r="L3256" s="7"/>
      <c r="M3256" s="7"/>
      <c r="N3256" s="7"/>
      <c r="O3256" s="7"/>
      <c r="P3256" s="7"/>
      <c r="Q3256" s="7"/>
    </row>
    <row r="3257" spans="12:17" ht="15.75" customHeight="1">
      <c r="L3257" s="7"/>
      <c r="M3257" s="7"/>
      <c r="N3257" s="7"/>
      <c r="O3257" s="7"/>
      <c r="P3257" s="7"/>
      <c r="Q3257" s="7"/>
    </row>
    <row r="3258" spans="12:17" ht="15.75" customHeight="1">
      <c r="L3258" s="7"/>
      <c r="M3258" s="7"/>
      <c r="N3258" s="7"/>
      <c r="O3258" s="7"/>
      <c r="P3258" s="7"/>
      <c r="Q3258" s="7"/>
    </row>
    <row r="3259" spans="12:17" ht="15.75" customHeight="1">
      <c r="L3259" s="7"/>
      <c r="M3259" s="7"/>
      <c r="N3259" s="7"/>
      <c r="O3259" s="7"/>
      <c r="P3259" s="7"/>
      <c r="Q3259" s="7"/>
    </row>
    <row r="3260" spans="12:17" ht="15.75" customHeight="1">
      <c r="L3260" s="7"/>
      <c r="M3260" s="7"/>
      <c r="N3260" s="7"/>
      <c r="O3260" s="7"/>
      <c r="P3260" s="7"/>
      <c r="Q3260" s="7"/>
    </row>
    <row r="3261" spans="12:17" ht="15.75" customHeight="1">
      <c r="L3261" s="7"/>
      <c r="M3261" s="7"/>
      <c r="N3261" s="7"/>
      <c r="O3261" s="7"/>
      <c r="P3261" s="7"/>
      <c r="Q3261" s="7"/>
    </row>
    <row r="3262" spans="12:17" ht="15.75" customHeight="1">
      <c r="L3262" s="7"/>
      <c r="M3262" s="7"/>
      <c r="N3262" s="7"/>
      <c r="O3262" s="7"/>
      <c r="P3262" s="7"/>
      <c r="Q3262" s="7"/>
    </row>
    <row r="3263" spans="12:17" ht="15.75" customHeight="1">
      <c r="L3263" s="7"/>
      <c r="M3263" s="7"/>
      <c r="N3263" s="7"/>
      <c r="O3263" s="7"/>
      <c r="P3263" s="7"/>
      <c r="Q3263" s="7"/>
    </row>
    <row r="3264" spans="12:17" ht="15.75" customHeight="1">
      <c r="L3264" s="7"/>
      <c r="M3264" s="7"/>
      <c r="N3264" s="7"/>
      <c r="O3264" s="7"/>
      <c r="P3264" s="7"/>
      <c r="Q3264" s="7"/>
    </row>
    <row r="3265" spans="12:17" ht="15.75" customHeight="1">
      <c r="L3265" s="7"/>
      <c r="M3265" s="7"/>
      <c r="N3265" s="7"/>
      <c r="O3265" s="7"/>
      <c r="P3265" s="7"/>
      <c r="Q3265" s="7"/>
    </row>
    <row r="3266" spans="12:17" ht="15.75" customHeight="1">
      <c r="L3266" s="7"/>
      <c r="M3266" s="7"/>
      <c r="N3266" s="7"/>
      <c r="O3266" s="7"/>
      <c r="P3266" s="7"/>
      <c r="Q3266" s="7"/>
    </row>
    <row r="3267" spans="12:17" ht="15.75" customHeight="1">
      <c r="L3267" s="7"/>
      <c r="M3267" s="7"/>
      <c r="N3267" s="7"/>
      <c r="O3267" s="7"/>
      <c r="P3267" s="7"/>
      <c r="Q3267" s="7"/>
    </row>
    <row r="3268" spans="12:17" ht="15.75" customHeight="1">
      <c r="L3268" s="7"/>
      <c r="M3268" s="7"/>
      <c r="N3268" s="7"/>
      <c r="O3268" s="7"/>
      <c r="P3268" s="7"/>
      <c r="Q3268" s="7"/>
    </row>
    <row r="3269" spans="12:17" ht="15.75" customHeight="1">
      <c r="L3269" s="7"/>
      <c r="M3269" s="7"/>
      <c r="N3269" s="7"/>
      <c r="O3269" s="7"/>
      <c r="P3269" s="7"/>
      <c r="Q3269" s="7"/>
    </row>
    <row r="3270" spans="12:17" ht="15.75" customHeight="1">
      <c r="L3270" s="7"/>
      <c r="M3270" s="7"/>
      <c r="N3270" s="7"/>
      <c r="O3270" s="7"/>
      <c r="P3270" s="7"/>
      <c r="Q3270" s="7"/>
    </row>
    <row r="3271" spans="12:17" ht="15.75" customHeight="1">
      <c r="L3271" s="7"/>
      <c r="M3271" s="7"/>
      <c r="N3271" s="7"/>
      <c r="O3271" s="7"/>
      <c r="P3271" s="7"/>
      <c r="Q3271" s="7"/>
    </row>
    <row r="3272" spans="12:17" ht="15.75" customHeight="1">
      <c r="L3272" s="7"/>
      <c r="M3272" s="7"/>
      <c r="N3272" s="7"/>
      <c r="O3272" s="7"/>
      <c r="P3272" s="7"/>
      <c r="Q3272" s="7"/>
    </row>
    <row r="3273" spans="12:17" ht="15.75" customHeight="1">
      <c r="L3273" s="7"/>
      <c r="M3273" s="7"/>
      <c r="N3273" s="7"/>
      <c r="O3273" s="7"/>
      <c r="P3273" s="7"/>
      <c r="Q3273" s="7"/>
    </row>
    <row r="3274" spans="12:17" ht="15.75" customHeight="1">
      <c r="L3274" s="7"/>
      <c r="M3274" s="7"/>
      <c r="N3274" s="7"/>
      <c r="O3274" s="7"/>
      <c r="P3274" s="7"/>
      <c r="Q3274" s="7"/>
    </row>
    <row r="3275" spans="12:17" ht="15.75" customHeight="1">
      <c r="L3275" s="7"/>
      <c r="M3275" s="7"/>
      <c r="N3275" s="7"/>
      <c r="O3275" s="7"/>
      <c r="P3275" s="7"/>
      <c r="Q3275" s="7"/>
    </row>
    <row r="3276" spans="12:17" ht="15.75" customHeight="1">
      <c r="L3276" s="7"/>
      <c r="M3276" s="7"/>
      <c r="N3276" s="7"/>
      <c r="O3276" s="7"/>
      <c r="P3276" s="7"/>
      <c r="Q3276" s="7"/>
    </row>
    <row r="3277" spans="12:17" ht="15.75" customHeight="1">
      <c r="L3277" s="7"/>
      <c r="M3277" s="7"/>
      <c r="N3277" s="7"/>
      <c r="O3277" s="7"/>
      <c r="P3277" s="7"/>
      <c r="Q3277" s="7"/>
    </row>
    <row r="3278" spans="12:17" ht="15.75" customHeight="1">
      <c r="L3278" s="7"/>
      <c r="M3278" s="7"/>
      <c r="N3278" s="7"/>
      <c r="O3278" s="7"/>
      <c r="P3278" s="7"/>
      <c r="Q3278" s="7"/>
    </row>
    <row r="3279" spans="12:17" ht="15.75" customHeight="1">
      <c r="L3279" s="7"/>
      <c r="M3279" s="7"/>
      <c r="N3279" s="7"/>
      <c r="O3279" s="7"/>
      <c r="P3279" s="7"/>
      <c r="Q3279" s="7"/>
    </row>
    <row r="3280" spans="12:17" ht="15.75" customHeight="1">
      <c r="L3280" s="7"/>
      <c r="M3280" s="7"/>
      <c r="N3280" s="7"/>
      <c r="O3280" s="7"/>
      <c r="P3280" s="7"/>
      <c r="Q3280" s="7"/>
    </row>
    <row r="3281" spans="12:17" ht="15.75" customHeight="1">
      <c r="L3281" s="7"/>
      <c r="M3281" s="7"/>
      <c r="N3281" s="7"/>
      <c r="O3281" s="7"/>
      <c r="P3281" s="7"/>
      <c r="Q3281" s="7"/>
    </row>
    <row r="3282" spans="12:17" ht="15.75" customHeight="1">
      <c r="L3282" s="7"/>
      <c r="M3282" s="7"/>
      <c r="N3282" s="7"/>
      <c r="O3282" s="7"/>
      <c r="P3282" s="7"/>
      <c r="Q3282" s="7"/>
    </row>
    <row r="3283" spans="12:17" ht="15.75" customHeight="1">
      <c r="L3283" s="7"/>
      <c r="M3283" s="7"/>
      <c r="N3283" s="7"/>
      <c r="O3283" s="7"/>
      <c r="P3283" s="7"/>
      <c r="Q3283" s="7"/>
    </row>
    <row r="3284" spans="12:17" ht="15.75" customHeight="1">
      <c r="L3284" s="7"/>
      <c r="M3284" s="7"/>
      <c r="N3284" s="7"/>
      <c r="O3284" s="7"/>
      <c r="P3284" s="7"/>
      <c r="Q3284" s="7"/>
    </row>
    <row r="3285" spans="12:17" ht="15.75" customHeight="1">
      <c r="L3285" s="7"/>
      <c r="M3285" s="7"/>
      <c r="N3285" s="7"/>
      <c r="O3285" s="7"/>
      <c r="P3285" s="7"/>
      <c r="Q3285" s="7"/>
    </row>
    <row r="3286" spans="12:17" ht="15.75" customHeight="1">
      <c r="L3286" s="7"/>
      <c r="M3286" s="7"/>
      <c r="N3286" s="7"/>
      <c r="O3286" s="7"/>
      <c r="P3286" s="7"/>
      <c r="Q3286" s="7"/>
    </row>
    <row r="3287" spans="12:17" ht="15.75" customHeight="1">
      <c r="L3287" s="7"/>
      <c r="M3287" s="7"/>
      <c r="N3287" s="7"/>
      <c r="O3287" s="7"/>
      <c r="P3287" s="7"/>
      <c r="Q3287" s="7"/>
    </row>
    <row r="3288" spans="12:17" ht="15.75" customHeight="1">
      <c r="L3288" s="7"/>
      <c r="M3288" s="7"/>
      <c r="N3288" s="7"/>
      <c r="O3288" s="7"/>
      <c r="P3288" s="7"/>
      <c r="Q3288" s="7"/>
    </row>
    <row r="3289" spans="12:17" ht="15.75" customHeight="1">
      <c r="L3289" s="7"/>
      <c r="M3289" s="7"/>
      <c r="N3289" s="7"/>
      <c r="O3289" s="7"/>
      <c r="P3289" s="7"/>
      <c r="Q3289" s="7"/>
    </row>
    <row r="3290" spans="12:17" ht="15.75" customHeight="1">
      <c r="L3290" s="7"/>
      <c r="M3290" s="7"/>
      <c r="N3290" s="7"/>
      <c r="O3290" s="7"/>
      <c r="P3290" s="7"/>
      <c r="Q3290" s="7"/>
    </row>
    <row r="3291" spans="12:17" ht="15.75" customHeight="1">
      <c r="L3291" s="7"/>
      <c r="M3291" s="7"/>
      <c r="N3291" s="7"/>
      <c r="O3291" s="7"/>
      <c r="P3291" s="7"/>
      <c r="Q3291" s="7"/>
    </row>
    <row r="3292" spans="12:17" ht="15.75" customHeight="1">
      <c r="L3292" s="7"/>
      <c r="M3292" s="7"/>
      <c r="N3292" s="7"/>
      <c r="O3292" s="7"/>
      <c r="P3292" s="7"/>
      <c r="Q3292" s="7"/>
    </row>
    <row r="3293" spans="12:17" ht="15.75" customHeight="1">
      <c r="L3293" s="7"/>
      <c r="M3293" s="7"/>
      <c r="N3293" s="7"/>
      <c r="O3293" s="7"/>
      <c r="P3293" s="7"/>
      <c r="Q3293" s="7"/>
    </row>
    <row r="3294" spans="12:17" ht="15.75" customHeight="1">
      <c r="L3294" s="7"/>
      <c r="M3294" s="7"/>
      <c r="N3294" s="7"/>
      <c r="O3294" s="7"/>
      <c r="P3294" s="7"/>
      <c r="Q3294" s="7"/>
    </row>
    <row r="3295" spans="12:17" ht="15.75" customHeight="1">
      <c r="L3295" s="7"/>
      <c r="M3295" s="7"/>
      <c r="N3295" s="7"/>
      <c r="O3295" s="7"/>
      <c r="P3295" s="7"/>
      <c r="Q3295" s="7"/>
    </row>
    <row r="3296" spans="12:17" ht="15.75" customHeight="1">
      <c r="L3296" s="7"/>
      <c r="M3296" s="7"/>
      <c r="N3296" s="7"/>
      <c r="O3296" s="7"/>
      <c r="P3296" s="7"/>
      <c r="Q3296" s="7"/>
    </row>
    <row r="3297" spans="12:17" ht="15.75" customHeight="1">
      <c r="L3297" s="7"/>
      <c r="M3297" s="7"/>
      <c r="N3297" s="7"/>
      <c r="O3297" s="7"/>
      <c r="P3297" s="7"/>
      <c r="Q3297" s="7"/>
    </row>
    <row r="3298" spans="12:17" ht="15.75" customHeight="1">
      <c r="L3298" s="7"/>
      <c r="M3298" s="7"/>
      <c r="N3298" s="7"/>
      <c r="O3298" s="7"/>
      <c r="P3298" s="7"/>
      <c r="Q3298" s="7"/>
    </row>
    <row r="3299" spans="12:17" ht="15.75" customHeight="1">
      <c r="L3299" s="7"/>
      <c r="M3299" s="7"/>
      <c r="N3299" s="7"/>
      <c r="O3299" s="7"/>
      <c r="P3299" s="7"/>
      <c r="Q3299" s="7"/>
    </row>
    <row r="3300" spans="12:17" ht="15.75" customHeight="1">
      <c r="L3300" s="7"/>
      <c r="M3300" s="7"/>
      <c r="N3300" s="7"/>
      <c r="O3300" s="7"/>
      <c r="P3300" s="7"/>
      <c r="Q3300" s="7"/>
    </row>
    <row r="3301" spans="12:17" ht="15.75" customHeight="1">
      <c r="L3301" s="7"/>
      <c r="M3301" s="7"/>
      <c r="N3301" s="7"/>
      <c r="O3301" s="7"/>
      <c r="P3301" s="7"/>
      <c r="Q3301" s="7"/>
    </row>
    <row r="3302" spans="12:17" ht="15.75" customHeight="1">
      <c r="L3302" s="7"/>
      <c r="M3302" s="7"/>
      <c r="N3302" s="7"/>
      <c r="O3302" s="7"/>
      <c r="P3302" s="7"/>
      <c r="Q3302" s="7"/>
    </row>
    <row r="3303" spans="12:17" ht="15.75" customHeight="1">
      <c r="L3303" s="7"/>
      <c r="M3303" s="7"/>
      <c r="N3303" s="7"/>
      <c r="O3303" s="7"/>
      <c r="P3303" s="7"/>
      <c r="Q3303" s="7"/>
    </row>
    <row r="3304" spans="12:17" ht="15.75" customHeight="1">
      <c r="L3304" s="7"/>
      <c r="M3304" s="7"/>
      <c r="N3304" s="7"/>
      <c r="O3304" s="7"/>
      <c r="P3304" s="7"/>
      <c r="Q3304" s="7"/>
    </row>
    <row r="3305" spans="12:17" ht="15.75" customHeight="1">
      <c r="L3305" s="7"/>
      <c r="M3305" s="7"/>
      <c r="N3305" s="7"/>
      <c r="O3305" s="7"/>
      <c r="P3305" s="7"/>
      <c r="Q3305" s="7"/>
    </row>
    <row r="3306" spans="12:17" ht="15.75" customHeight="1">
      <c r="L3306" s="7"/>
      <c r="M3306" s="7"/>
      <c r="N3306" s="7"/>
      <c r="O3306" s="7"/>
      <c r="P3306" s="7"/>
      <c r="Q3306" s="7"/>
    </row>
    <row r="3307" spans="12:17" ht="15.75" customHeight="1">
      <c r="L3307" s="7"/>
      <c r="M3307" s="7"/>
      <c r="N3307" s="7"/>
      <c r="O3307" s="7"/>
      <c r="P3307" s="7"/>
      <c r="Q3307" s="7"/>
    </row>
    <row r="3308" spans="12:17" ht="15.75" customHeight="1">
      <c r="L3308" s="7"/>
      <c r="M3308" s="7"/>
      <c r="N3308" s="7"/>
      <c r="O3308" s="7"/>
      <c r="P3308" s="7"/>
      <c r="Q3308" s="7"/>
    </row>
    <row r="3309" spans="12:17" ht="15.75" customHeight="1">
      <c r="L3309" s="7"/>
      <c r="M3309" s="7"/>
      <c r="N3309" s="7"/>
      <c r="O3309" s="7"/>
      <c r="P3309" s="7"/>
      <c r="Q3309" s="7"/>
    </row>
    <row r="3310" spans="12:17" ht="15.75" customHeight="1">
      <c r="L3310" s="7"/>
      <c r="M3310" s="7"/>
      <c r="N3310" s="7"/>
      <c r="O3310" s="7"/>
      <c r="P3310" s="7"/>
      <c r="Q3310" s="7"/>
    </row>
    <row r="3311" spans="12:17" ht="15.75" customHeight="1">
      <c r="L3311" s="7"/>
      <c r="M3311" s="7"/>
      <c r="N3311" s="7"/>
      <c r="O3311" s="7"/>
      <c r="P3311" s="7"/>
      <c r="Q3311" s="7"/>
    </row>
    <row r="3312" spans="12:17" ht="15.75" customHeight="1">
      <c r="L3312" s="7"/>
      <c r="M3312" s="7"/>
      <c r="N3312" s="7"/>
      <c r="O3312" s="7"/>
      <c r="P3312" s="7"/>
      <c r="Q3312" s="7"/>
    </row>
    <row r="3313" spans="12:17" ht="15.75" customHeight="1">
      <c r="L3313" s="7"/>
      <c r="M3313" s="7"/>
      <c r="N3313" s="7"/>
      <c r="O3313" s="7"/>
      <c r="P3313" s="7"/>
      <c r="Q3313" s="7"/>
    </row>
    <row r="3314" spans="12:17" ht="15.75" customHeight="1">
      <c r="L3314" s="7"/>
      <c r="M3314" s="7"/>
      <c r="N3314" s="7"/>
      <c r="O3314" s="7"/>
      <c r="P3314" s="7"/>
      <c r="Q3314" s="7"/>
    </row>
    <row r="3315" spans="12:17" ht="15.75" customHeight="1">
      <c r="L3315" s="7"/>
      <c r="M3315" s="7"/>
      <c r="N3315" s="7"/>
      <c r="O3315" s="7"/>
      <c r="P3315" s="7"/>
      <c r="Q3315" s="7"/>
    </row>
    <row r="3316" spans="12:17" ht="15.75" customHeight="1">
      <c r="L3316" s="7"/>
      <c r="M3316" s="7"/>
      <c r="N3316" s="7"/>
      <c r="O3316" s="7"/>
      <c r="P3316" s="7"/>
      <c r="Q3316" s="7"/>
    </row>
    <row r="3317" spans="12:17" ht="15.75" customHeight="1">
      <c r="L3317" s="7"/>
      <c r="M3317" s="7"/>
      <c r="N3317" s="7"/>
      <c r="O3317" s="7"/>
      <c r="P3317" s="7"/>
      <c r="Q3317" s="7"/>
    </row>
    <row r="3318" spans="12:17" ht="15.75" customHeight="1">
      <c r="L3318" s="7"/>
      <c r="M3318" s="7"/>
      <c r="N3318" s="7"/>
      <c r="O3318" s="7"/>
      <c r="P3318" s="7"/>
      <c r="Q3318" s="7"/>
    </row>
    <row r="3319" spans="12:17" ht="15.75" customHeight="1">
      <c r="L3319" s="7"/>
      <c r="M3319" s="7"/>
      <c r="N3319" s="7"/>
      <c r="O3319" s="7"/>
      <c r="P3319" s="7"/>
      <c r="Q3319" s="7"/>
    </row>
    <row r="3320" spans="12:17" ht="15.75" customHeight="1">
      <c r="L3320" s="7"/>
      <c r="M3320" s="7"/>
      <c r="N3320" s="7"/>
      <c r="O3320" s="7"/>
      <c r="P3320" s="7"/>
      <c r="Q3320" s="7"/>
    </row>
    <row r="3321" spans="12:17" ht="15.75" customHeight="1">
      <c r="L3321" s="7"/>
      <c r="M3321" s="7"/>
      <c r="N3321" s="7"/>
      <c r="O3321" s="7"/>
      <c r="P3321" s="7"/>
      <c r="Q3321" s="7"/>
    </row>
    <row r="3322" spans="12:17" ht="15.75" customHeight="1">
      <c r="L3322" s="7"/>
      <c r="M3322" s="7"/>
      <c r="N3322" s="7"/>
      <c r="O3322" s="7"/>
      <c r="P3322" s="7"/>
      <c r="Q3322" s="7"/>
    </row>
    <row r="3323" spans="12:17" ht="15.75" customHeight="1">
      <c r="L3323" s="7"/>
      <c r="M3323" s="7"/>
      <c r="N3323" s="7"/>
      <c r="O3323" s="7"/>
      <c r="P3323" s="7"/>
      <c r="Q3323" s="7"/>
    </row>
    <row r="3324" spans="12:17" ht="15.75" customHeight="1">
      <c r="L3324" s="7"/>
      <c r="M3324" s="7"/>
      <c r="N3324" s="7"/>
      <c r="O3324" s="7"/>
      <c r="P3324" s="7"/>
      <c r="Q3324" s="7"/>
    </row>
    <row r="3325" spans="12:17" ht="15.75" customHeight="1">
      <c r="L3325" s="7"/>
      <c r="M3325" s="7"/>
      <c r="N3325" s="7"/>
      <c r="O3325" s="7"/>
      <c r="P3325" s="7"/>
      <c r="Q3325" s="7"/>
    </row>
    <row r="3326" spans="12:17" ht="15.75" customHeight="1">
      <c r="L3326" s="7"/>
      <c r="M3326" s="7"/>
      <c r="N3326" s="7"/>
      <c r="O3326" s="7"/>
      <c r="P3326" s="7"/>
      <c r="Q3326" s="7"/>
    </row>
    <row r="3327" spans="12:17" ht="15.75" customHeight="1">
      <c r="L3327" s="7"/>
      <c r="M3327" s="7"/>
      <c r="N3327" s="7"/>
      <c r="O3327" s="7"/>
      <c r="P3327" s="7"/>
      <c r="Q3327" s="7"/>
    </row>
    <row r="3328" spans="12:17" ht="15.75" customHeight="1">
      <c r="L3328" s="7"/>
      <c r="M3328" s="7"/>
      <c r="N3328" s="7"/>
      <c r="O3328" s="7"/>
      <c r="P3328" s="7"/>
      <c r="Q3328" s="7"/>
    </row>
    <row r="3329" spans="12:17" ht="15.75" customHeight="1">
      <c r="L3329" s="7"/>
      <c r="M3329" s="7"/>
      <c r="N3329" s="7"/>
      <c r="O3329" s="7"/>
      <c r="P3329" s="7"/>
      <c r="Q3329" s="7"/>
    </row>
    <row r="3330" spans="12:17" ht="15.75" customHeight="1">
      <c r="L3330" s="7"/>
      <c r="M3330" s="7"/>
      <c r="N3330" s="7"/>
      <c r="O3330" s="7"/>
      <c r="P3330" s="7"/>
      <c r="Q3330" s="7"/>
    </row>
    <row r="3331" spans="12:17" ht="15.75" customHeight="1">
      <c r="L3331" s="7"/>
      <c r="M3331" s="7"/>
      <c r="N3331" s="7"/>
      <c r="O3331" s="7"/>
      <c r="P3331" s="7"/>
      <c r="Q3331" s="7"/>
    </row>
    <row r="3332" spans="12:17" ht="15.75" customHeight="1">
      <c r="L3332" s="7"/>
      <c r="M3332" s="7"/>
      <c r="N3332" s="7"/>
      <c r="O3332" s="7"/>
      <c r="P3332" s="7"/>
      <c r="Q3332" s="7"/>
    </row>
    <row r="3333" spans="12:17" ht="15.75" customHeight="1">
      <c r="L3333" s="7"/>
      <c r="M3333" s="7"/>
      <c r="N3333" s="7"/>
      <c r="O3333" s="7"/>
      <c r="P3333" s="7"/>
      <c r="Q3333" s="7"/>
    </row>
    <row r="3334" spans="12:17" ht="15.75" customHeight="1">
      <c r="L3334" s="7"/>
      <c r="M3334" s="7"/>
      <c r="N3334" s="7"/>
      <c r="O3334" s="7"/>
      <c r="P3334" s="7"/>
      <c r="Q3334" s="7"/>
    </row>
    <row r="3335" spans="12:17" ht="15.75" customHeight="1">
      <c r="L3335" s="7"/>
      <c r="M3335" s="7"/>
      <c r="N3335" s="7"/>
      <c r="O3335" s="7"/>
      <c r="P3335" s="7"/>
      <c r="Q3335" s="7"/>
    </row>
    <row r="3336" spans="12:17" ht="15.75" customHeight="1">
      <c r="L3336" s="7"/>
      <c r="M3336" s="7"/>
      <c r="N3336" s="7"/>
      <c r="O3336" s="7"/>
      <c r="P3336" s="7"/>
      <c r="Q3336" s="7"/>
    </row>
    <row r="3337" spans="12:17" ht="15.75" customHeight="1">
      <c r="L3337" s="7"/>
      <c r="M3337" s="7"/>
      <c r="N3337" s="7"/>
      <c r="O3337" s="7"/>
      <c r="P3337" s="7"/>
      <c r="Q3337" s="7"/>
    </row>
    <row r="3338" spans="12:17" ht="15.75" customHeight="1">
      <c r="L3338" s="7"/>
      <c r="M3338" s="7"/>
      <c r="N3338" s="7"/>
      <c r="O3338" s="7"/>
      <c r="P3338" s="7"/>
      <c r="Q3338" s="7"/>
    </row>
    <row r="3339" spans="12:17" ht="15.75" customHeight="1">
      <c r="L3339" s="7"/>
      <c r="M3339" s="7"/>
      <c r="N3339" s="7"/>
      <c r="O3339" s="7"/>
      <c r="P3339" s="7"/>
      <c r="Q3339" s="7"/>
    </row>
    <row r="3340" spans="12:17" ht="15.75" customHeight="1">
      <c r="L3340" s="7"/>
      <c r="M3340" s="7"/>
      <c r="N3340" s="7"/>
      <c r="O3340" s="7"/>
      <c r="P3340" s="7"/>
      <c r="Q3340" s="7"/>
    </row>
    <row r="3341" spans="12:17" ht="15.75" customHeight="1">
      <c r="L3341" s="7"/>
      <c r="M3341" s="7"/>
      <c r="N3341" s="7"/>
      <c r="O3341" s="7"/>
      <c r="P3341" s="7"/>
      <c r="Q3341" s="7"/>
    </row>
    <row r="3342" spans="12:17" ht="15.75" customHeight="1">
      <c r="L3342" s="7"/>
      <c r="M3342" s="7"/>
      <c r="N3342" s="7"/>
      <c r="O3342" s="7"/>
      <c r="P3342" s="7"/>
      <c r="Q3342" s="7"/>
    </row>
    <row r="3343" spans="12:17" ht="15.75" customHeight="1">
      <c r="L3343" s="7"/>
      <c r="M3343" s="7"/>
      <c r="N3343" s="7"/>
      <c r="O3343" s="7"/>
      <c r="P3343" s="7"/>
      <c r="Q3343" s="7"/>
    </row>
    <row r="3344" spans="12:17" ht="15.75" customHeight="1">
      <c r="L3344" s="7"/>
      <c r="M3344" s="7"/>
      <c r="N3344" s="7"/>
      <c r="O3344" s="7"/>
      <c r="P3344" s="7"/>
      <c r="Q3344" s="7"/>
    </row>
    <row r="3345" spans="12:17" ht="15.75" customHeight="1">
      <c r="L3345" s="7"/>
      <c r="M3345" s="7"/>
      <c r="N3345" s="7"/>
      <c r="O3345" s="7"/>
      <c r="P3345" s="7"/>
      <c r="Q3345" s="7"/>
    </row>
    <row r="3346" spans="12:17" ht="15.75" customHeight="1">
      <c r="L3346" s="7"/>
      <c r="M3346" s="7"/>
      <c r="N3346" s="7"/>
      <c r="O3346" s="7"/>
      <c r="P3346" s="7"/>
      <c r="Q3346" s="7"/>
    </row>
    <row r="3347" spans="12:17" ht="15.75" customHeight="1">
      <c r="L3347" s="7"/>
      <c r="M3347" s="7"/>
      <c r="N3347" s="7"/>
      <c r="O3347" s="7"/>
      <c r="P3347" s="7"/>
      <c r="Q3347" s="7"/>
    </row>
    <row r="3348" spans="12:17" ht="15.75" customHeight="1">
      <c r="L3348" s="7"/>
      <c r="M3348" s="7"/>
      <c r="N3348" s="7"/>
      <c r="O3348" s="7"/>
      <c r="P3348" s="7"/>
      <c r="Q3348" s="7"/>
    </row>
    <row r="3349" spans="12:17" ht="15.75" customHeight="1">
      <c r="L3349" s="7"/>
      <c r="M3349" s="7"/>
      <c r="N3349" s="7"/>
      <c r="O3349" s="7"/>
      <c r="P3349" s="7"/>
      <c r="Q3349" s="7"/>
    </row>
    <row r="3350" spans="12:17" ht="15.75" customHeight="1">
      <c r="L3350" s="7"/>
      <c r="M3350" s="7"/>
      <c r="N3350" s="7"/>
      <c r="O3350" s="7"/>
      <c r="P3350" s="7"/>
      <c r="Q3350" s="7"/>
    </row>
    <row r="3351" spans="12:17" ht="15.75" customHeight="1">
      <c r="L3351" s="7"/>
      <c r="M3351" s="7"/>
      <c r="N3351" s="7"/>
      <c r="O3351" s="7"/>
      <c r="P3351" s="7"/>
      <c r="Q3351" s="7"/>
    </row>
    <row r="3352" spans="12:17" ht="15.75" customHeight="1">
      <c r="L3352" s="7"/>
      <c r="M3352" s="7"/>
      <c r="N3352" s="7"/>
      <c r="O3352" s="7"/>
      <c r="P3352" s="7"/>
      <c r="Q3352" s="7"/>
    </row>
    <row r="3353" spans="12:17" ht="15.75" customHeight="1">
      <c r="L3353" s="7"/>
      <c r="M3353" s="7"/>
      <c r="N3353" s="7"/>
      <c r="O3353" s="7"/>
      <c r="P3353" s="7"/>
      <c r="Q3353" s="7"/>
    </row>
    <row r="3354" spans="12:17" ht="15.75" customHeight="1">
      <c r="L3354" s="7"/>
      <c r="M3354" s="7"/>
      <c r="N3354" s="7"/>
      <c r="O3354" s="7"/>
      <c r="P3354" s="7"/>
      <c r="Q3354" s="7"/>
    </row>
    <row r="3355" spans="12:17" ht="15.75" customHeight="1">
      <c r="L3355" s="7"/>
      <c r="M3355" s="7"/>
      <c r="N3355" s="7"/>
      <c r="O3355" s="7"/>
      <c r="P3355" s="7"/>
      <c r="Q3355" s="7"/>
    </row>
    <row r="3356" spans="12:17" ht="15.75" customHeight="1">
      <c r="L3356" s="7"/>
      <c r="M3356" s="7"/>
      <c r="N3356" s="7"/>
      <c r="O3356" s="7"/>
      <c r="P3356" s="7"/>
      <c r="Q3356" s="7"/>
    </row>
    <row r="3357" spans="12:17" ht="15.75" customHeight="1">
      <c r="L3357" s="7"/>
      <c r="M3357" s="7"/>
      <c r="N3357" s="7"/>
      <c r="O3357" s="7"/>
      <c r="P3357" s="7"/>
      <c r="Q3357" s="7"/>
    </row>
    <row r="3358" spans="12:17" ht="15.75" customHeight="1">
      <c r="L3358" s="7"/>
      <c r="M3358" s="7"/>
      <c r="N3358" s="7"/>
      <c r="O3358" s="7"/>
      <c r="P3358" s="7"/>
      <c r="Q3358" s="7"/>
    </row>
    <row r="3359" spans="12:17" ht="15.75" customHeight="1">
      <c r="L3359" s="7"/>
      <c r="M3359" s="7"/>
      <c r="N3359" s="7"/>
      <c r="O3359" s="7"/>
      <c r="P3359" s="7"/>
      <c r="Q3359" s="7"/>
    </row>
    <row r="3360" spans="12:17" ht="15.75" customHeight="1">
      <c r="L3360" s="7"/>
      <c r="M3360" s="7"/>
      <c r="N3360" s="7"/>
      <c r="O3360" s="7"/>
      <c r="P3360" s="7"/>
      <c r="Q3360" s="7"/>
    </row>
    <row r="3361" spans="12:17" ht="15.75" customHeight="1">
      <c r="L3361" s="7"/>
      <c r="M3361" s="7"/>
      <c r="N3361" s="7"/>
      <c r="O3361" s="7"/>
      <c r="P3361" s="7"/>
      <c r="Q3361" s="7"/>
    </row>
    <row r="3362" spans="12:17" ht="15.75" customHeight="1">
      <c r="L3362" s="7"/>
      <c r="M3362" s="7"/>
      <c r="N3362" s="7"/>
      <c r="O3362" s="7"/>
      <c r="P3362" s="7"/>
      <c r="Q3362" s="7"/>
    </row>
    <row r="3363" spans="12:17" ht="15.75" customHeight="1">
      <c r="L3363" s="7"/>
      <c r="M3363" s="7"/>
      <c r="N3363" s="7"/>
      <c r="O3363" s="7"/>
      <c r="P3363" s="7"/>
      <c r="Q3363" s="7"/>
    </row>
    <row r="3364" spans="12:17" ht="15.75" customHeight="1">
      <c r="L3364" s="7"/>
      <c r="M3364" s="7"/>
      <c r="N3364" s="7"/>
      <c r="O3364" s="7"/>
      <c r="P3364" s="7"/>
      <c r="Q3364" s="7"/>
    </row>
    <row r="3365" spans="12:17" ht="15.75" customHeight="1">
      <c r="L3365" s="7"/>
      <c r="M3365" s="7"/>
      <c r="N3365" s="7"/>
      <c r="O3365" s="7"/>
      <c r="P3365" s="7"/>
      <c r="Q3365" s="7"/>
    </row>
    <row r="3366" spans="12:17" ht="15.75" customHeight="1">
      <c r="L3366" s="7"/>
      <c r="M3366" s="7"/>
      <c r="N3366" s="7"/>
      <c r="O3366" s="7"/>
      <c r="P3366" s="7"/>
      <c r="Q3366" s="7"/>
    </row>
    <row r="3367" spans="12:17" ht="15.75" customHeight="1">
      <c r="L3367" s="7"/>
      <c r="M3367" s="7"/>
      <c r="N3367" s="7"/>
      <c r="O3367" s="7"/>
      <c r="P3367" s="7"/>
      <c r="Q3367" s="7"/>
    </row>
    <row r="3368" spans="12:17" ht="15.75" customHeight="1">
      <c r="L3368" s="7"/>
      <c r="M3368" s="7"/>
      <c r="N3368" s="7"/>
      <c r="O3368" s="7"/>
      <c r="P3368" s="7"/>
      <c r="Q3368" s="7"/>
    </row>
    <row r="3369" spans="12:17" ht="15.75" customHeight="1">
      <c r="L3369" s="7"/>
      <c r="M3369" s="7"/>
      <c r="N3369" s="7"/>
      <c r="O3369" s="7"/>
      <c r="P3369" s="7"/>
      <c r="Q3369" s="7"/>
    </row>
    <row r="3370" spans="12:17" ht="15.75" customHeight="1">
      <c r="L3370" s="7"/>
      <c r="M3370" s="7"/>
      <c r="N3370" s="7"/>
      <c r="O3370" s="7"/>
      <c r="P3370" s="7"/>
      <c r="Q3370" s="7"/>
    </row>
    <row r="3371" spans="12:17" ht="15.75" customHeight="1">
      <c r="L3371" s="7"/>
      <c r="M3371" s="7"/>
      <c r="N3371" s="7"/>
      <c r="O3371" s="7"/>
      <c r="P3371" s="7"/>
      <c r="Q3371" s="7"/>
    </row>
    <row r="3372" spans="12:17" ht="15.75" customHeight="1">
      <c r="L3372" s="7"/>
      <c r="M3372" s="7"/>
      <c r="N3372" s="7"/>
      <c r="O3372" s="7"/>
      <c r="P3372" s="7"/>
      <c r="Q3372" s="7"/>
    </row>
    <row r="3373" spans="12:17" ht="15.75" customHeight="1">
      <c r="L3373" s="7"/>
      <c r="M3373" s="7"/>
      <c r="N3373" s="7"/>
      <c r="O3373" s="7"/>
      <c r="P3373" s="7"/>
      <c r="Q3373" s="7"/>
    </row>
    <row r="3374" spans="12:17" ht="15.75" customHeight="1">
      <c r="L3374" s="7"/>
      <c r="M3374" s="7"/>
      <c r="N3374" s="7"/>
      <c r="O3374" s="7"/>
      <c r="P3374" s="7"/>
      <c r="Q3374" s="7"/>
    </row>
    <row r="3375" spans="12:17" ht="15.75" customHeight="1">
      <c r="L3375" s="7"/>
      <c r="M3375" s="7"/>
      <c r="N3375" s="7"/>
      <c r="O3375" s="7"/>
      <c r="P3375" s="7"/>
      <c r="Q3375" s="7"/>
    </row>
    <row r="3376" spans="12:17" ht="15.75" customHeight="1">
      <c r="L3376" s="7"/>
      <c r="M3376" s="7"/>
      <c r="N3376" s="7"/>
      <c r="O3376" s="7"/>
      <c r="P3376" s="7"/>
      <c r="Q3376" s="7"/>
    </row>
    <row r="3377" spans="12:17" ht="15.75" customHeight="1">
      <c r="L3377" s="7"/>
      <c r="M3377" s="7"/>
      <c r="N3377" s="7"/>
      <c r="O3377" s="7"/>
      <c r="P3377" s="7"/>
      <c r="Q3377" s="7"/>
    </row>
    <row r="3378" spans="12:17" ht="15.75" customHeight="1">
      <c r="L3378" s="7"/>
      <c r="M3378" s="7"/>
      <c r="N3378" s="7"/>
      <c r="O3378" s="7"/>
      <c r="P3378" s="7"/>
      <c r="Q3378" s="7"/>
    </row>
    <row r="3379" spans="12:17" ht="15.75" customHeight="1">
      <c r="L3379" s="7"/>
      <c r="M3379" s="7"/>
      <c r="N3379" s="7"/>
      <c r="O3379" s="7"/>
      <c r="P3379" s="7"/>
      <c r="Q3379" s="7"/>
    </row>
    <row r="3380" spans="12:17" ht="15.75" customHeight="1">
      <c r="L3380" s="7"/>
      <c r="M3380" s="7"/>
      <c r="N3380" s="7"/>
      <c r="O3380" s="7"/>
      <c r="P3380" s="7"/>
      <c r="Q3380" s="7"/>
    </row>
    <row r="3381" spans="12:17" ht="15.75" customHeight="1">
      <c r="L3381" s="7"/>
      <c r="M3381" s="7"/>
      <c r="N3381" s="7"/>
      <c r="O3381" s="7"/>
      <c r="P3381" s="7"/>
      <c r="Q3381" s="7"/>
    </row>
    <row r="3382" spans="12:17" ht="15.75" customHeight="1">
      <c r="L3382" s="7"/>
      <c r="M3382" s="7"/>
      <c r="N3382" s="7"/>
      <c r="O3382" s="7"/>
      <c r="P3382" s="7"/>
      <c r="Q3382" s="7"/>
    </row>
    <row r="3383" spans="12:17" ht="15.75" customHeight="1">
      <c r="L3383" s="7"/>
      <c r="M3383" s="7"/>
      <c r="N3383" s="7"/>
      <c r="O3383" s="7"/>
      <c r="P3383" s="7"/>
      <c r="Q3383" s="7"/>
    </row>
    <row r="3384" spans="12:17" ht="15.75" customHeight="1">
      <c r="L3384" s="7"/>
      <c r="M3384" s="7"/>
      <c r="N3384" s="7"/>
      <c r="O3384" s="7"/>
      <c r="P3384" s="7"/>
      <c r="Q3384" s="7"/>
    </row>
    <row r="3385" spans="12:17" ht="15.75" customHeight="1">
      <c r="L3385" s="7"/>
      <c r="M3385" s="7"/>
      <c r="N3385" s="7"/>
      <c r="O3385" s="7"/>
      <c r="P3385" s="7"/>
      <c r="Q3385" s="7"/>
    </row>
    <row r="3386" spans="12:17" ht="15.75" customHeight="1">
      <c r="L3386" s="7"/>
      <c r="M3386" s="7"/>
      <c r="N3386" s="7"/>
      <c r="O3386" s="7"/>
      <c r="P3386" s="7"/>
      <c r="Q3386" s="7"/>
    </row>
    <row r="3387" spans="12:17" ht="15.75" customHeight="1">
      <c r="L3387" s="7"/>
      <c r="M3387" s="7"/>
      <c r="N3387" s="7"/>
      <c r="O3387" s="7"/>
      <c r="P3387" s="7"/>
      <c r="Q3387" s="7"/>
    </row>
    <row r="3388" spans="12:17" ht="15.75" customHeight="1">
      <c r="L3388" s="7"/>
      <c r="M3388" s="7"/>
      <c r="N3388" s="7"/>
      <c r="O3388" s="7"/>
      <c r="P3388" s="7"/>
      <c r="Q3388" s="7"/>
    </row>
    <row r="3389" spans="12:17" ht="15.75" customHeight="1">
      <c r="L3389" s="7"/>
      <c r="M3389" s="7"/>
      <c r="N3389" s="7"/>
      <c r="O3389" s="7"/>
      <c r="P3389" s="7"/>
      <c r="Q3389" s="7"/>
    </row>
    <row r="3390" spans="12:17" ht="15.75" customHeight="1">
      <c r="L3390" s="7"/>
      <c r="M3390" s="7"/>
      <c r="N3390" s="7"/>
      <c r="O3390" s="7"/>
      <c r="P3390" s="7"/>
      <c r="Q3390" s="7"/>
    </row>
    <row r="3391" spans="12:17" ht="15.75" customHeight="1">
      <c r="L3391" s="7"/>
      <c r="M3391" s="7"/>
      <c r="N3391" s="7"/>
      <c r="O3391" s="7"/>
      <c r="P3391" s="7"/>
      <c r="Q3391" s="7"/>
    </row>
    <row r="3392" spans="12:17" ht="15.75" customHeight="1">
      <c r="L3392" s="7"/>
      <c r="M3392" s="7"/>
      <c r="N3392" s="7"/>
      <c r="O3392" s="7"/>
      <c r="P3392" s="7"/>
      <c r="Q3392" s="7"/>
    </row>
    <row r="3393" spans="12:17" ht="15.75" customHeight="1">
      <c r="L3393" s="7"/>
      <c r="M3393" s="7"/>
      <c r="N3393" s="7"/>
      <c r="O3393" s="7"/>
      <c r="P3393" s="7"/>
      <c r="Q3393" s="7"/>
    </row>
    <row r="3394" spans="12:17" ht="15.75" customHeight="1">
      <c r="L3394" s="7"/>
      <c r="M3394" s="7"/>
      <c r="N3394" s="7"/>
      <c r="O3394" s="7"/>
      <c r="P3394" s="7"/>
      <c r="Q3394" s="7"/>
    </row>
    <row r="3395" spans="12:17" ht="15.75" customHeight="1">
      <c r="L3395" s="7"/>
      <c r="M3395" s="7"/>
      <c r="N3395" s="7"/>
      <c r="O3395" s="7"/>
      <c r="P3395" s="7"/>
      <c r="Q3395" s="7"/>
    </row>
    <row r="3396" spans="12:17" ht="15.75" customHeight="1">
      <c r="L3396" s="7"/>
      <c r="M3396" s="7"/>
      <c r="N3396" s="7"/>
      <c r="O3396" s="7"/>
      <c r="P3396" s="7"/>
      <c r="Q3396" s="7"/>
    </row>
    <row r="3397" spans="12:17" ht="15.75" customHeight="1">
      <c r="L3397" s="7"/>
      <c r="M3397" s="7"/>
      <c r="N3397" s="7"/>
      <c r="O3397" s="7"/>
      <c r="P3397" s="7"/>
      <c r="Q3397" s="7"/>
    </row>
    <row r="3398" spans="12:17" ht="15.75" customHeight="1">
      <c r="L3398" s="7"/>
      <c r="M3398" s="7"/>
      <c r="N3398" s="7"/>
      <c r="O3398" s="7"/>
      <c r="P3398" s="7"/>
      <c r="Q3398" s="7"/>
    </row>
    <row r="3399" spans="12:17" ht="15.75" customHeight="1">
      <c r="L3399" s="7"/>
      <c r="M3399" s="7"/>
      <c r="N3399" s="7"/>
      <c r="O3399" s="7"/>
      <c r="P3399" s="7"/>
      <c r="Q3399" s="7"/>
    </row>
    <row r="3400" spans="12:17" ht="15.75" customHeight="1">
      <c r="L3400" s="7"/>
      <c r="M3400" s="7"/>
      <c r="N3400" s="7"/>
      <c r="O3400" s="7"/>
      <c r="P3400" s="7"/>
      <c r="Q3400" s="7"/>
    </row>
    <row r="3401" spans="12:17" ht="15.75" customHeight="1">
      <c r="L3401" s="7"/>
      <c r="M3401" s="7"/>
      <c r="N3401" s="7"/>
      <c r="O3401" s="7"/>
      <c r="P3401" s="7"/>
      <c r="Q3401" s="7"/>
    </row>
    <row r="3402" spans="12:17" ht="15.75" customHeight="1">
      <c r="L3402" s="7"/>
      <c r="M3402" s="7"/>
      <c r="N3402" s="7"/>
      <c r="O3402" s="7"/>
      <c r="P3402" s="7"/>
      <c r="Q3402" s="7"/>
    </row>
    <row r="3403" spans="12:17" ht="15.75" customHeight="1">
      <c r="L3403" s="7"/>
      <c r="M3403" s="7"/>
      <c r="N3403" s="7"/>
      <c r="O3403" s="7"/>
      <c r="P3403" s="7"/>
      <c r="Q3403" s="7"/>
    </row>
    <row r="3404" spans="12:17" ht="15.75" customHeight="1">
      <c r="L3404" s="7"/>
      <c r="M3404" s="7"/>
      <c r="N3404" s="7"/>
      <c r="O3404" s="7"/>
      <c r="P3404" s="7"/>
      <c r="Q3404" s="7"/>
    </row>
    <row r="3405" spans="12:17" ht="15.75" customHeight="1">
      <c r="L3405" s="7"/>
      <c r="M3405" s="7"/>
      <c r="N3405" s="7"/>
      <c r="O3405" s="7"/>
      <c r="P3405" s="7"/>
      <c r="Q3405" s="7"/>
    </row>
    <row r="3406" spans="12:17" ht="15.75" customHeight="1">
      <c r="L3406" s="7"/>
      <c r="M3406" s="7"/>
      <c r="N3406" s="7"/>
      <c r="O3406" s="7"/>
      <c r="P3406" s="7"/>
      <c r="Q3406" s="7"/>
    </row>
    <row r="3407" spans="12:17" ht="15.75" customHeight="1">
      <c r="L3407" s="7"/>
      <c r="M3407" s="7"/>
      <c r="N3407" s="7"/>
      <c r="O3407" s="7"/>
      <c r="P3407" s="7"/>
      <c r="Q3407" s="7"/>
    </row>
    <row r="3408" spans="12:17" ht="15.75" customHeight="1">
      <c r="L3408" s="7"/>
      <c r="M3408" s="7"/>
      <c r="N3408" s="7"/>
      <c r="O3408" s="7"/>
      <c r="P3408" s="7"/>
      <c r="Q3408" s="7"/>
    </row>
    <row r="3409" spans="12:17" ht="15.75" customHeight="1">
      <c r="L3409" s="7"/>
      <c r="M3409" s="7"/>
      <c r="N3409" s="7"/>
      <c r="O3409" s="7"/>
      <c r="P3409" s="7"/>
      <c r="Q3409" s="7"/>
    </row>
    <row r="3410" spans="12:17" ht="15.75" customHeight="1">
      <c r="L3410" s="7"/>
      <c r="M3410" s="7"/>
      <c r="N3410" s="7"/>
      <c r="O3410" s="7"/>
      <c r="P3410" s="7"/>
      <c r="Q3410" s="7"/>
    </row>
    <row r="3411" spans="12:17" ht="15.75" customHeight="1">
      <c r="L3411" s="7"/>
      <c r="M3411" s="7"/>
      <c r="N3411" s="7"/>
      <c r="O3411" s="7"/>
      <c r="P3411" s="7"/>
      <c r="Q3411" s="7"/>
    </row>
    <row r="3412" spans="12:17" ht="15.75" customHeight="1">
      <c r="L3412" s="7"/>
      <c r="M3412" s="7"/>
      <c r="N3412" s="7"/>
      <c r="O3412" s="7"/>
      <c r="P3412" s="7"/>
      <c r="Q3412" s="7"/>
    </row>
    <row r="3413" spans="12:17" ht="15.75" customHeight="1">
      <c r="L3413" s="7"/>
      <c r="M3413" s="7"/>
      <c r="N3413" s="7"/>
      <c r="O3413" s="7"/>
      <c r="P3413" s="7"/>
      <c r="Q3413" s="7"/>
    </row>
    <row r="3414" spans="12:17" ht="15.75" customHeight="1">
      <c r="L3414" s="7"/>
      <c r="M3414" s="7"/>
      <c r="N3414" s="7"/>
      <c r="O3414" s="7"/>
      <c r="P3414" s="7"/>
      <c r="Q3414" s="7"/>
    </row>
    <row r="3415" spans="12:17" ht="15.75" customHeight="1">
      <c r="L3415" s="7"/>
      <c r="M3415" s="7"/>
      <c r="N3415" s="7"/>
      <c r="O3415" s="7"/>
      <c r="P3415" s="7"/>
      <c r="Q3415" s="7"/>
    </row>
    <row r="3416" spans="12:17" ht="15.75" customHeight="1">
      <c r="L3416" s="7"/>
      <c r="M3416" s="7"/>
      <c r="N3416" s="7"/>
      <c r="O3416" s="7"/>
      <c r="P3416" s="7"/>
      <c r="Q3416" s="7"/>
    </row>
    <row r="3417" spans="12:17" ht="15.75" customHeight="1">
      <c r="L3417" s="7"/>
      <c r="M3417" s="7"/>
      <c r="N3417" s="7"/>
      <c r="O3417" s="7"/>
      <c r="P3417" s="7"/>
      <c r="Q3417" s="7"/>
    </row>
    <row r="3418" spans="12:17" ht="15.75" customHeight="1">
      <c r="L3418" s="7"/>
      <c r="M3418" s="7"/>
      <c r="N3418" s="7"/>
      <c r="O3418" s="7"/>
      <c r="P3418" s="7"/>
      <c r="Q3418" s="7"/>
    </row>
    <row r="3419" spans="12:17" ht="15.75" customHeight="1">
      <c r="L3419" s="7"/>
      <c r="M3419" s="7"/>
      <c r="N3419" s="7"/>
      <c r="O3419" s="7"/>
      <c r="P3419" s="7"/>
      <c r="Q3419" s="7"/>
    </row>
    <row r="3420" spans="12:17" ht="15.75" customHeight="1">
      <c r="L3420" s="7"/>
      <c r="M3420" s="7"/>
      <c r="N3420" s="7"/>
      <c r="O3420" s="7"/>
      <c r="P3420" s="7"/>
      <c r="Q3420" s="7"/>
    </row>
    <row r="3421" spans="12:17" ht="15.75" customHeight="1">
      <c r="L3421" s="7"/>
      <c r="M3421" s="7"/>
      <c r="N3421" s="7"/>
      <c r="O3421" s="7"/>
      <c r="P3421" s="7"/>
      <c r="Q3421" s="7"/>
    </row>
    <row r="3422" spans="12:17" ht="15.75" customHeight="1">
      <c r="L3422" s="7"/>
      <c r="M3422" s="7"/>
      <c r="N3422" s="7"/>
      <c r="O3422" s="7"/>
      <c r="P3422" s="7"/>
      <c r="Q3422" s="7"/>
    </row>
    <row r="3423" spans="12:17" ht="15.75" customHeight="1">
      <c r="L3423" s="7"/>
      <c r="M3423" s="7"/>
      <c r="N3423" s="7"/>
      <c r="O3423" s="7"/>
      <c r="P3423" s="7"/>
      <c r="Q3423" s="7"/>
    </row>
    <row r="3424" spans="12:17" ht="15.75" customHeight="1">
      <c r="L3424" s="7"/>
      <c r="M3424" s="7"/>
      <c r="N3424" s="7"/>
      <c r="O3424" s="7"/>
      <c r="P3424" s="7"/>
      <c r="Q3424" s="7"/>
    </row>
    <row r="3425" spans="12:17" ht="15.75" customHeight="1">
      <c r="L3425" s="7"/>
      <c r="M3425" s="7"/>
      <c r="N3425" s="7"/>
      <c r="O3425" s="7"/>
      <c r="P3425" s="7"/>
      <c r="Q3425" s="7"/>
    </row>
    <row r="3426" spans="12:17" ht="15.75" customHeight="1">
      <c r="L3426" s="7"/>
      <c r="M3426" s="7"/>
      <c r="N3426" s="7"/>
      <c r="O3426" s="7"/>
      <c r="P3426" s="7"/>
      <c r="Q3426" s="7"/>
    </row>
    <row r="3427" spans="12:17" ht="15.75" customHeight="1">
      <c r="L3427" s="7"/>
      <c r="M3427" s="7"/>
      <c r="N3427" s="7"/>
      <c r="O3427" s="7"/>
      <c r="P3427" s="7"/>
      <c r="Q3427" s="7"/>
    </row>
    <row r="3428" spans="12:17" ht="15.75" customHeight="1">
      <c r="L3428" s="7"/>
      <c r="M3428" s="7"/>
      <c r="N3428" s="7"/>
      <c r="O3428" s="7"/>
      <c r="P3428" s="7"/>
      <c r="Q3428" s="7"/>
    </row>
    <row r="3429" spans="12:17" ht="15.75" customHeight="1">
      <c r="L3429" s="7"/>
      <c r="M3429" s="7"/>
      <c r="N3429" s="7"/>
      <c r="O3429" s="7"/>
      <c r="P3429" s="7"/>
      <c r="Q3429" s="7"/>
    </row>
    <row r="3430" spans="12:17" ht="15.75" customHeight="1">
      <c r="L3430" s="7"/>
      <c r="M3430" s="7"/>
      <c r="N3430" s="7"/>
      <c r="O3430" s="7"/>
      <c r="P3430" s="7"/>
      <c r="Q3430" s="7"/>
    </row>
    <row r="3431" spans="12:17" ht="15.75" customHeight="1">
      <c r="L3431" s="7"/>
      <c r="M3431" s="7"/>
      <c r="N3431" s="7"/>
      <c r="O3431" s="7"/>
      <c r="P3431" s="7"/>
      <c r="Q3431" s="7"/>
    </row>
    <row r="3432" spans="12:17" ht="15.75" customHeight="1">
      <c r="L3432" s="7"/>
      <c r="M3432" s="7"/>
      <c r="N3432" s="7"/>
      <c r="O3432" s="7"/>
      <c r="P3432" s="7"/>
      <c r="Q3432" s="7"/>
    </row>
    <row r="3433" spans="12:17" ht="15.75" customHeight="1">
      <c r="L3433" s="7"/>
      <c r="M3433" s="7"/>
      <c r="N3433" s="7"/>
      <c r="O3433" s="7"/>
      <c r="P3433" s="7"/>
      <c r="Q3433" s="7"/>
    </row>
    <row r="3434" spans="12:17" ht="15.75" customHeight="1">
      <c r="L3434" s="7"/>
      <c r="M3434" s="7"/>
      <c r="N3434" s="7"/>
      <c r="O3434" s="7"/>
      <c r="P3434" s="7"/>
      <c r="Q3434" s="7"/>
    </row>
    <row r="3435" spans="12:17" ht="15.75" customHeight="1">
      <c r="L3435" s="7"/>
      <c r="M3435" s="7"/>
      <c r="N3435" s="7"/>
      <c r="O3435" s="7"/>
      <c r="P3435" s="7"/>
      <c r="Q3435" s="7"/>
    </row>
    <row r="3436" spans="12:17" ht="15.75" customHeight="1">
      <c r="L3436" s="7"/>
      <c r="M3436" s="7"/>
      <c r="N3436" s="7"/>
      <c r="O3436" s="7"/>
      <c r="P3436" s="7"/>
      <c r="Q3436" s="7"/>
    </row>
    <row r="3437" spans="12:17" ht="15.75" customHeight="1">
      <c r="L3437" s="7"/>
      <c r="M3437" s="7"/>
      <c r="N3437" s="7"/>
      <c r="O3437" s="7"/>
      <c r="P3437" s="7"/>
      <c r="Q3437" s="7"/>
    </row>
    <row r="3438" spans="12:17" ht="15.75" customHeight="1">
      <c r="L3438" s="7"/>
      <c r="M3438" s="7"/>
      <c r="N3438" s="7"/>
      <c r="O3438" s="7"/>
      <c r="P3438" s="7"/>
      <c r="Q3438" s="7"/>
    </row>
    <row r="3439" spans="12:17" ht="15.75" customHeight="1">
      <c r="L3439" s="7"/>
      <c r="M3439" s="7"/>
      <c r="N3439" s="7"/>
      <c r="O3439" s="7"/>
      <c r="P3439" s="7"/>
      <c r="Q3439" s="7"/>
    </row>
    <row r="3440" spans="12:17" ht="15.75" customHeight="1">
      <c r="L3440" s="7"/>
      <c r="M3440" s="7"/>
      <c r="N3440" s="7"/>
      <c r="O3440" s="7"/>
      <c r="P3440" s="7"/>
      <c r="Q3440" s="7"/>
    </row>
    <row r="3441" spans="12:17" ht="15.75" customHeight="1">
      <c r="L3441" s="7"/>
      <c r="M3441" s="7"/>
      <c r="N3441" s="7"/>
      <c r="O3441" s="7"/>
      <c r="P3441" s="7"/>
      <c r="Q3441" s="7"/>
    </row>
  </sheetData>
  <conditionalFormatting sqref="A2:R2 S2:W301 A3:P3 R3:R63 Q3:Q301 B4:P14 A4:A301 J15:P16 B15:I17 J17 K17:P301 B18:J301">
    <cfRule type="expression" dxfId="109" priority="10">
      <formula>$G2=#REF!</formula>
    </cfRule>
  </conditionalFormatting>
  <conditionalFormatting sqref="R64:R301 V64:V301">
    <cfRule type="expression" dxfId="108" priority="1">
      <formula>$F64=#REF!</formula>
    </cfRule>
  </conditionalFormatting>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C98CE-CB3A-4686-80A2-ACCB8C1BEC55}">
  <sheetPr codeName="Sheet1"/>
  <dimension ref="A3:AC37"/>
  <sheetViews>
    <sheetView topLeftCell="D1" zoomScale="70" zoomScaleNormal="70" workbookViewId="0">
      <selection activeCell="AA3" sqref="AA3"/>
    </sheetView>
  </sheetViews>
  <sheetFormatPr defaultRowHeight="14.25"/>
  <cols>
    <col min="1" max="1" width="10.875" bestFit="1" customWidth="1"/>
    <col min="2" max="2" width="16.875" bestFit="1" customWidth="1"/>
    <col min="3" max="3" width="26.5" bestFit="1" customWidth="1"/>
    <col min="6" max="6" width="12.25" bestFit="1" customWidth="1"/>
    <col min="7" max="7" width="10.875" bestFit="1" customWidth="1"/>
    <col min="8" max="8" width="4.25" bestFit="1" customWidth="1"/>
    <col min="9" max="9" width="11.875" bestFit="1" customWidth="1"/>
    <col min="10" max="10" width="20.125" bestFit="1" customWidth="1"/>
    <col min="11" max="11" width="13" bestFit="1" customWidth="1"/>
    <col min="12" max="12" width="9" bestFit="1" customWidth="1"/>
    <col min="13" max="13" width="9.375" bestFit="1" customWidth="1"/>
    <col min="14" max="14" width="6.75" bestFit="1" customWidth="1"/>
    <col min="15" max="15" width="10.5" bestFit="1" customWidth="1"/>
    <col min="16" max="16" width="10.875" bestFit="1" customWidth="1"/>
    <col min="19" max="19" width="17.125" bestFit="1" customWidth="1"/>
    <col min="20" max="20" width="10.875" bestFit="1" customWidth="1"/>
    <col min="23" max="23" width="14.75" bestFit="1" customWidth="1"/>
    <col min="24" max="24" width="10.875" bestFit="1" customWidth="1"/>
    <col min="27" max="27" width="12.25" bestFit="1" customWidth="1"/>
    <col min="28" max="28" width="9.625" style="139" bestFit="1" customWidth="1"/>
    <col min="29" max="29" width="18" bestFit="1" customWidth="1"/>
    <col min="30" max="75" width="7.375" bestFit="1" customWidth="1"/>
    <col min="76" max="78" width="8.875" bestFit="1" customWidth="1"/>
    <col min="79" max="79" width="5.875" bestFit="1" customWidth="1"/>
    <col min="80" max="94" width="8.875" bestFit="1" customWidth="1"/>
  </cols>
  <sheetData>
    <row r="3" spans="1:29">
      <c r="A3" t="s">
        <v>1103</v>
      </c>
      <c r="B3" t="s">
        <v>1104</v>
      </c>
      <c r="C3" t="s">
        <v>1105</v>
      </c>
      <c r="F3" s="59" t="s">
        <v>2</v>
      </c>
      <c r="G3" t="s">
        <v>1103</v>
      </c>
      <c r="J3" s="59" t="s">
        <v>1103</v>
      </c>
      <c r="K3" s="59" t="s">
        <v>1090</v>
      </c>
      <c r="O3" s="59" t="s">
        <v>196</v>
      </c>
      <c r="P3" t="s">
        <v>1103</v>
      </c>
      <c r="S3" s="59" t="s">
        <v>4</v>
      </c>
      <c r="T3" t="s">
        <v>1103</v>
      </c>
      <c r="W3" s="59" t="s">
        <v>1096</v>
      </c>
      <c r="X3" t="s">
        <v>1103</v>
      </c>
      <c r="AA3" s="59" t="s">
        <v>273</v>
      </c>
      <c r="AB3" s="139" t="s">
        <v>1102</v>
      </c>
      <c r="AC3" s="140" t="s">
        <v>1104</v>
      </c>
    </row>
    <row r="4" spans="1:29">
      <c r="A4" s="138">
        <v>300</v>
      </c>
      <c r="B4" s="138">
        <v>1242807.3600000001</v>
      </c>
      <c r="C4" s="138">
        <v>19.146666666666668</v>
      </c>
      <c r="F4" t="s">
        <v>17</v>
      </c>
      <c r="G4" s="138">
        <v>99</v>
      </c>
      <c r="J4" s="59" t="s">
        <v>3</v>
      </c>
      <c r="K4" t="s">
        <v>11</v>
      </c>
      <c r="L4" t="s">
        <v>8</v>
      </c>
      <c r="M4" t="s">
        <v>14</v>
      </c>
      <c r="N4" t="s">
        <v>22</v>
      </c>
      <c r="O4" t="s">
        <v>99</v>
      </c>
      <c r="P4" s="138">
        <v>115</v>
      </c>
      <c r="S4" t="s">
        <v>10</v>
      </c>
      <c r="T4" s="138">
        <v>111</v>
      </c>
      <c r="W4" s="132">
        <v>0.02</v>
      </c>
      <c r="X4" s="138">
        <v>52</v>
      </c>
      <c r="AA4">
        <v>1990</v>
      </c>
      <c r="AB4" s="141">
        <v>8112</v>
      </c>
      <c r="AC4" s="140">
        <v>26916.060000000005</v>
      </c>
    </row>
    <row r="5" spans="1:29">
      <c r="F5" t="s">
        <v>19</v>
      </c>
      <c r="G5" s="138">
        <v>53</v>
      </c>
      <c r="J5" t="s">
        <v>15</v>
      </c>
      <c r="K5" s="138">
        <v>11</v>
      </c>
      <c r="L5" s="138">
        <v>21</v>
      </c>
      <c r="M5" s="138">
        <v>3</v>
      </c>
      <c r="N5" s="138">
        <v>4</v>
      </c>
      <c r="O5" t="s">
        <v>100</v>
      </c>
      <c r="P5" s="138">
        <v>185</v>
      </c>
      <c r="S5" t="s">
        <v>12</v>
      </c>
      <c r="T5" s="138">
        <v>92</v>
      </c>
      <c r="W5" s="132">
        <v>0.05</v>
      </c>
      <c r="X5" s="138">
        <v>150</v>
      </c>
      <c r="AA5">
        <v>1991</v>
      </c>
      <c r="AB5" s="141">
        <v>10666</v>
      </c>
      <c r="AC5" s="140">
        <v>38588.489999999991</v>
      </c>
    </row>
    <row r="6" spans="1:29">
      <c r="F6" t="s">
        <v>13</v>
      </c>
      <c r="G6" s="138">
        <v>72</v>
      </c>
      <c r="J6" t="s">
        <v>28</v>
      </c>
      <c r="K6" s="138">
        <v>2</v>
      </c>
      <c r="L6" s="138">
        <v>2</v>
      </c>
      <c r="M6" s="138"/>
      <c r="N6" s="138">
        <v>1</v>
      </c>
      <c r="S6" t="s">
        <v>20</v>
      </c>
      <c r="T6" s="138">
        <v>44</v>
      </c>
      <c r="W6" s="132">
        <v>0.08</v>
      </c>
      <c r="X6" s="138">
        <v>84</v>
      </c>
      <c r="AA6">
        <v>1992</v>
      </c>
      <c r="AB6" s="141">
        <v>15659</v>
      </c>
      <c r="AC6" s="140">
        <v>49356.03</v>
      </c>
    </row>
    <row r="7" spans="1:29">
      <c r="F7" t="s">
        <v>1100</v>
      </c>
      <c r="G7" s="138">
        <v>61</v>
      </c>
      <c r="J7" t="s">
        <v>264</v>
      </c>
      <c r="K7" s="138">
        <v>18</v>
      </c>
      <c r="L7" s="138">
        <v>21</v>
      </c>
      <c r="M7" s="138">
        <v>10</v>
      </c>
      <c r="N7" s="138">
        <v>6</v>
      </c>
      <c r="S7" t="s">
        <v>23</v>
      </c>
      <c r="T7" s="138">
        <v>53</v>
      </c>
      <c r="W7" s="132">
        <v>0.1</v>
      </c>
      <c r="X7" s="138">
        <v>14</v>
      </c>
      <c r="AA7">
        <v>1993</v>
      </c>
      <c r="AB7" s="141">
        <v>13458</v>
      </c>
      <c r="AC7" s="140">
        <v>44172.21</v>
      </c>
    </row>
    <row r="8" spans="1:29">
      <c r="F8" t="s">
        <v>7</v>
      </c>
      <c r="G8" s="138">
        <v>15</v>
      </c>
      <c r="J8" t="s">
        <v>26</v>
      </c>
      <c r="K8" s="138">
        <v>11</v>
      </c>
      <c r="L8" s="138">
        <v>9</v>
      </c>
      <c r="M8" s="138">
        <v>3</v>
      </c>
      <c r="N8" s="138">
        <v>1</v>
      </c>
      <c r="AA8">
        <v>1994</v>
      </c>
      <c r="AB8" s="141">
        <v>12530</v>
      </c>
      <c r="AC8" s="140">
        <v>54419.87999999999</v>
      </c>
    </row>
    <row r="9" spans="1:29">
      <c r="J9" t="s">
        <v>9</v>
      </c>
      <c r="K9" s="138">
        <v>23</v>
      </c>
      <c r="L9" s="138">
        <v>30</v>
      </c>
      <c r="M9" s="138">
        <v>6</v>
      </c>
      <c r="N9" s="138">
        <v>12</v>
      </c>
      <c r="AA9">
        <v>1995</v>
      </c>
      <c r="AB9" s="141">
        <v>11569</v>
      </c>
      <c r="AC9" s="140">
        <v>37767.299999999996</v>
      </c>
    </row>
    <row r="10" spans="1:29">
      <c r="J10" t="s">
        <v>25</v>
      </c>
      <c r="K10" s="138">
        <v>25</v>
      </c>
      <c r="L10" s="138">
        <v>24</v>
      </c>
      <c r="M10" s="138">
        <v>8</v>
      </c>
      <c r="N10" s="138">
        <v>8</v>
      </c>
      <c r="AA10">
        <v>1996</v>
      </c>
      <c r="AB10" s="141">
        <v>12664</v>
      </c>
      <c r="AC10" s="140">
        <v>44135.94</v>
      </c>
    </row>
    <row r="11" spans="1:29">
      <c r="J11" t="s">
        <v>27</v>
      </c>
      <c r="K11" s="138">
        <v>5</v>
      </c>
      <c r="L11" s="138">
        <v>5</v>
      </c>
      <c r="M11" s="138"/>
      <c r="N11" s="138"/>
      <c r="AA11">
        <v>1997</v>
      </c>
      <c r="AB11" s="141">
        <v>9212</v>
      </c>
      <c r="AC11" s="140">
        <v>20253.54</v>
      </c>
    </row>
    <row r="12" spans="1:29">
      <c r="J12" t="s">
        <v>18</v>
      </c>
      <c r="K12" s="138">
        <v>6</v>
      </c>
      <c r="L12" s="138">
        <v>3</v>
      </c>
      <c r="M12" s="138">
        <v>3</v>
      </c>
      <c r="N12" s="138">
        <v>3</v>
      </c>
      <c r="AA12">
        <v>1998</v>
      </c>
      <c r="AB12" s="141">
        <v>6846</v>
      </c>
      <c r="AC12" s="140">
        <v>30495.629999999997</v>
      </c>
    </row>
    <row r="13" spans="1:29">
      <c r="J13" t="s">
        <v>29</v>
      </c>
      <c r="K13" s="138">
        <v>6</v>
      </c>
      <c r="L13" s="138">
        <v>6</v>
      </c>
      <c r="M13" s="138">
        <v>3</v>
      </c>
      <c r="N13" s="138">
        <v>1</v>
      </c>
      <c r="AA13">
        <v>1999</v>
      </c>
      <c r="AB13" s="141">
        <v>6384</v>
      </c>
      <c r="AC13" s="140">
        <v>35611.56</v>
      </c>
    </row>
    <row r="14" spans="1:29">
      <c r="AA14">
        <v>2000</v>
      </c>
      <c r="AB14" s="141">
        <v>9400</v>
      </c>
      <c r="AC14" s="140">
        <v>26495.700000000004</v>
      </c>
    </row>
    <row r="15" spans="1:29">
      <c r="AA15">
        <v>2001</v>
      </c>
      <c r="AB15" s="141">
        <v>15269</v>
      </c>
      <c r="AC15" s="140">
        <v>40021.620000000003</v>
      </c>
    </row>
    <row r="16" spans="1:29">
      <c r="E16" t="str">
        <f t="shared" ref="E16:F21" si="0">F3</f>
        <v>Country</v>
      </c>
      <c r="F16" t="str">
        <f t="shared" si="0"/>
        <v>Count of ID</v>
      </c>
      <c r="AA16">
        <v>2002</v>
      </c>
      <c r="AB16" s="141">
        <v>12653</v>
      </c>
      <c r="AC16" s="140">
        <v>59696.700000000004</v>
      </c>
    </row>
    <row r="17" spans="5:29">
      <c r="E17" t="str">
        <f t="shared" si="0"/>
        <v>Egypt</v>
      </c>
      <c r="F17">
        <f t="shared" si="0"/>
        <v>99</v>
      </c>
      <c r="AA17">
        <v>2003</v>
      </c>
      <c r="AB17" s="141">
        <v>8119</v>
      </c>
      <c r="AC17" s="140">
        <v>31093.620000000003</v>
      </c>
    </row>
    <row r="18" spans="5:29">
      <c r="E18" t="str">
        <f t="shared" si="0"/>
        <v>Iraq</v>
      </c>
      <c r="F18">
        <f t="shared" si="0"/>
        <v>53</v>
      </c>
      <c r="AA18">
        <v>2004</v>
      </c>
      <c r="AB18" s="141">
        <v>13201</v>
      </c>
      <c r="AC18" s="140">
        <v>49900.079999999994</v>
      </c>
    </row>
    <row r="19" spans="5:29">
      <c r="E19" t="str">
        <f t="shared" si="0"/>
        <v>Saudi Arabia</v>
      </c>
      <c r="F19">
        <f t="shared" si="0"/>
        <v>72</v>
      </c>
      <c r="AA19">
        <v>2005</v>
      </c>
      <c r="AB19" s="141">
        <v>7740</v>
      </c>
      <c r="AC19" s="140">
        <v>25545.239999999994</v>
      </c>
    </row>
    <row r="20" spans="5:29">
      <c r="E20" t="str">
        <f t="shared" si="0"/>
        <v>Sudan</v>
      </c>
      <c r="F20">
        <f t="shared" si="0"/>
        <v>61</v>
      </c>
      <c r="AA20">
        <v>2006</v>
      </c>
      <c r="AB20" s="141">
        <v>6616</v>
      </c>
      <c r="AC20" s="140">
        <v>23720.58</v>
      </c>
    </row>
    <row r="21" spans="5:29">
      <c r="E21" t="str">
        <f t="shared" si="0"/>
        <v>Syria</v>
      </c>
      <c r="F21">
        <f t="shared" si="0"/>
        <v>15</v>
      </c>
      <c r="AA21">
        <v>2007</v>
      </c>
      <c r="AB21" s="141">
        <v>8167</v>
      </c>
      <c r="AC21" s="140">
        <v>34134.719999999994</v>
      </c>
    </row>
    <row r="22" spans="5:29">
      <c r="AA22">
        <v>2008</v>
      </c>
      <c r="AB22" s="141">
        <v>11537</v>
      </c>
      <c r="AC22" s="140">
        <v>39245.999999999993</v>
      </c>
    </row>
    <row r="23" spans="5:29">
      <c r="AA23">
        <v>2009</v>
      </c>
      <c r="AB23" s="141">
        <v>5720</v>
      </c>
      <c r="AC23" s="140">
        <v>24770.550000000003</v>
      </c>
    </row>
    <row r="24" spans="5:29">
      <c r="AA24">
        <v>2010</v>
      </c>
      <c r="AB24" s="141">
        <v>9524</v>
      </c>
      <c r="AC24" s="140">
        <v>42225.72</v>
      </c>
    </row>
    <row r="25" spans="5:29">
      <c r="AA25">
        <v>2011</v>
      </c>
      <c r="AB25" s="141">
        <v>13386</v>
      </c>
      <c r="AC25" s="140">
        <v>41767.229999999996</v>
      </c>
    </row>
    <row r="26" spans="5:29">
      <c r="AA26">
        <v>2012</v>
      </c>
      <c r="AB26" s="141">
        <v>10503</v>
      </c>
      <c r="AC26" s="140">
        <v>43816.95</v>
      </c>
    </row>
    <row r="27" spans="5:29">
      <c r="AA27">
        <v>2013</v>
      </c>
      <c r="AB27" s="141">
        <v>9389</v>
      </c>
      <c r="AC27" s="140">
        <v>34353.269999999997</v>
      </c>
    </row>
    <row r="28" spans="5:29">
      <c r="AA28">
        <v>2014</v>
      </c>
      <c r="AB28" s="141">
        <v>9260</v>
      </c>
      <c r="AC28" s="140">
        <v>31633.95</v>
      </c>
    </row>
    <row r="29" spans="5:29">
      <c r="AA29">
        <v>2015</v>
      </c>
      <c r="AB29" s="141">
        <v>10656</v>
      </c>
      <c r="AC29" s="140">
        <v>39567.779999999992</v>
      </c>
    </row>
    <row r="30" spans="5:29">
      <c r="AA30">
        <v>2016</v>
      </c>
      <c r="AB30" s="141">
        <v>6960</v>
      </c>
      <c r="AC30" s="140">
        <v>27471.269999999997</v>
      </c>
    </row>
    <row r="31" spans="5:29">
      <c r="AA31">
        <v>2017</v>
      </c>
      <c r="AB31" s="141">
        <v>9440</v>
      </c>
      <c r="AC31" s="140">
        <v>34286.31</v>
      </c>
    </row>
    <row r="32" spans="5:29">
      <c r="AA32">
        <v>2018</v>
      </c>
      <c r="AB32" s="141">
        <v>11564</v>
      </c>
      <c r="AC32" s="140">
        <v>42804.18</v>
      </c>
    </row>
    <row r="33" spans="27:29">
      <c r="AA33">
        <v>2019</v>
      </c>
      <c r="AB33" s="141">
        <v>11138</v>
      </c>
      <c r="AC33" s="140">
        <v>38161.619999999995</v>
      </c>
    </row>
    <row r="34" spans="27:29">
      <c r="AA34">
        <v>2020</v>
      </c>
      <c r="AB34" s="141">
        <v>12338</v>
      </c>
      <c r="AC34" s="140">
        <v>40934.879999999997</v>
      </c>
    </row>
    <row r="35" spans="27:29">
      <c r="AA35">
        <v>2021</v>
      </c>
      <c r="AB35" s="141">
        <v>9139</v>
      </c>
      <c r="AC35" s="140">
        <v>35130.75</v>
      </c>
    </row>
    <row r="36" spans="27:29">
      <c r="AA36">
        <v>2022</v>
      </c>
      <c r="AB36" s="141">
        <v>8214</v>
      </c>
      <c r="AC36" s="140">
        <v>24808.68</v>
      </c>
    </row>
    <row r="37" spans="27:29">
      <c r="AA37">
        <v>2023</v>
      </c>
      <c r="AB37" s="141">
        <v>8117</v>
      </c>
      <c r="AC37" s="140">
        <v>29503.32</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5A3D-CF23-40FE-87DB-5C2CB57DAD15}">
  <sheetPr codeName="Sheet3">
    <tabColor rgb="FF0070C0"/>
  </sheetPr>
  <dimension ref="A1:AA3441"/>
  <sheetViews>
    <sheetView topLeftCell="H1" zoomScale="112" zoomScaleNormal="112" workbookViewId="0">
      <selection activeCell="H1" sqref="H1"/>
    </sheetView>
  </sheetViews>
  <sheetFormatPr defaultColWidth="9.125" defaultRowHeight="15.75" customHeight="1"/>
  <cols>
    <col min="1" max="1" width="6.5" style="60" bestFit="1" customWidth="1"/>
    <col min="2" max="2" width="13.25" style="60" bestFit="1" customWidth="1"/>
    <col min="3" max="3" width="12.875" style="60" bestFit="1" customWidth="1"/>
    <col min="4" max="4" width="22.125" style="113" bestFit="1" customWidth="1"/>
    <col min="5" max="5" width="10.75" style="60" bestFit="1" customWidth="1"/>
    <col min="6" max="6" width="12.375" style="60" bestFit="1" customWidth="1"/>
    <col min="7" max="7" width="11" style="60" bestFit="1" customWidth="1"/>
    <col min="8" max="8" width="13.25" style="60" bestFit="1" customWidth="1"/>
    <col min="9" max="9" width="18.125" style="60" bestFit="1" customWidth="1"/>
    <col min="10" max="10" width="16.75" style="114" bestFit="1" customWidth="1"/>
    <col min="11" max="11" width="22.5" style="60" bestFit="1" customWidth="1"/>
    <col min="12" max="12" width="11.375" style="60" bestFit="1" customWidth="1"/>
    <col min="13" max="13" width="13.75" style="60" bestFit="1" customWidth="1"/>
    <col min="14" max="14" width="12" style="60" bestFit="1" customWidth="1"/>
    <col min="15" max="15" width="13.5" style="60" bestFit="1" customWidth="1"/>
    <col min="16" max="16" width="13.5" style="60" customWidth="1"/>
    <col min="17" max="17" width="17.5" style="60" bestFit="1" customWidth="1"/>
    <col min="18" max="18" width="9.5" style="110" bestFit="1" customWidth="1"/>
    <col min="19" max="19" width="11" style="111" bestFit="1" customWidth="1"/>
    <col min="20" max="20" width="12.25" style="60" bestFit="1" customWidth="1"/>
    <col min="21" max="21" width="12.75" style="112" bestFit="1" customWidth="1"/>
    <col min="22" max="22" width="14.625" style="60" bestFit="1" customWidth="1"/>
    <col min="23" max="23" width="13.875" style="60" bestFit="1" customWidth="1"/>
    <col min="24" max="24" width="10.625" style="60" customWidth="1"/>
    <col min="25" max="25" width="2" style="60" bestFit="1" customWidth="1"/>
    <col min="26" max="26" width="16.25" style="60" bestFit="1" customWidth="1"/>
    <col min="27" max="27" width="17.125" style="60" bestFit="1" customWidth="1"/>
    <col min="28" max="28" width="17.5" style="60" bestFit="1" customWidth="1"/>
    <col min="29" max="30" width="9.125" style="60"/>
    <col min="31" max="31" width="14" style="60" bestFit="1" customWidth="1"/>
    <col min="32" max="16384" width="9.125" style="60"/>
  </cols>
  <sheetData>
    <row r="1" spans="1:27" s="125" customFormat="1" ht="15.75" customHeight="1">
      <c r="A1" s="115" t="s">
        <v>0</v>
      </c>
      <c r="B1" s="116" t="s">
        <v>194</v>
      </c>
      <c r="C1" s="116" t="s">
        <v>195</v>
      </c>
      <c r="D1" s="117" t="s">
        <v>267</v>
      </c>
      <c r="E1" s="116" t="s">
        <v>196</v>
      </c>
      <c r="F1" s="116" t="s">
        <v>1</v>
      </c>
      <c r="G1" s="116" t="s">
        <v>2</v>
      </c>
      <c r="H1" s="118" t="s">
        <v>1090</v>
      </c>
      <c r="I1" s="118" t="s">
        <v>3</v>
      </c>
      <c r="J1" s="119" t="s">
        <v>4</v>
      </c>
      <c r="K1" s="116" t="s">
        <v>5</v>
      </c>
      <c r="L1" s="120" t="s">
        <v>271</v>
      </c>
      <c r="M1" s="120" t="s">
        <v>272</v>
      </c>
      <c r="N1" s="120" t="s">
        <v>273</v>
      </c>
      <c r="O1" s="120" t="s">
        <v>1099</v>
      </c>
      <c r="P1" s="120" t="s">
        <v>1101</v>
      </c>
      <c r="Q1" s="120" t="s">
        <v>265</v>
      </c>
      <c r="R1" s="121" t="s">
        <v>6</v>
      </c>
      <c r="S1" s="122" t="s">
        <v>204</v>
      </c>
      <c r="T1" s="118" t="s">
        <v>1093</v>
      </c>
      <c r="U1" s="123" t="s">
        <v>1098</v>
      </c>
      <c r="V1" s="118" t="s">
        <v>31</v>
      </c>
      <c r="W1" s="124" t="s">
        <v>1096</v>
      </c>
      <c r="Y1" s="126" t="s">
        <v>266</v>
      </c>
      <c r="Z1" s="127" t="s">
        <v>1091</v>
      </c>
      <c r="AA1" s="127" t="s">
        <v>1092</v>
      </c>
    </row>
    <row r="2" spans="1:27" ht="15.75" customHeight="1">
      <c r="A2" s="61">
        <v>1001</v>
      </c>
      <c r="B2" s="62" t="s">
        <v>197</v>
      </c>
      <c r="C2" s="62" t="s">
        <v>201</v>
      </c>
      <c r="D2" s="63" t="str">
        <f>PROPER(TRIM(Range!$C2&amp;" "&amp;Range!$C2))</f>
        <v>Ahmed Ahmed</v>
      </c>
      <c r="E2" s="62" t="s">
        <v>99</v>
      </c>
      <c r="F2" s="62" t="s">
        <v>33</v>
      </c>
      <c r="G2" s="62" t="s">
        <v>1100</v>
      </c>
      <c r="H2" s="64" t="s">
        <v>8</v>
      </c>
      <c r="I2" s="64" t="s">
        <v>9</v>
      </c>
      <c r="J2" s="65" t="s">
        <v>10</v>
      </c>
      <c r="K2" s="62" t="s">
        <v>205</v>
      </c>
      <c r="L2" s="66">
        <v>5</v>
      </c>
      <c r="M2" s="67">
        <v>4</v>
      </c>
      <c r="N2" s="67">
        <v>2023</v>
      </c>
      <c r="O2" s="68">
        <f>DATE(Range!$N2,Range!$M2,Range!$L2)</f>
        <v>45021</v>
      </c>
      <c r="P2" s="68">
        <f t="shared" ref="P2:P65" ca="1" si="0">TODAY()</f>
        <v>46071</v>
      </c>
      <c r="Q2" s="67">
        <f ca="1">DATEDIF(Range!$O2,Range!$P2,"Y")</f>
        <v>2</v>
      </c>
      <c r="R2" s="69">
        <v>6548</v>
      </c>
      <c r="S2" s="70">
        <f>Range!$R2*0.1</f>
        <v>654.80000000000007</v>
      </c>
      <c r="T2" s="71">
        <f>Range!$R2*0.03</f>
        <v>196.44</v>
      </c>
      <c r="U2" s="72">
        <f>Range!$R2-Range!$S2+Range!$T2</f>
        <v>6089.6399999999994</v>
      </c>
      <c r="V2" s="73" t="str">
        <f>IF(Range!$U2&gt;=6000,"Over","Normal")</f>
        <v>Over</v>
      </c>
      <c r="W2" s="74">
        <f>VLOOKUP(Range!$U2,$Z$10:$AA$14,2)</f>
        <v>0.02</v>
      </c>
      <c r="Y2" s="125"/>
      <c r="Z2" s="125"/>
      <c r="AA2" s="125"/>
    </row>
    <row r="3" spans="1:27" ht="15.75" customHeight="1">
      <c r="A3" s="75">
        <v>1002</v>
      </c>
      <c r="B3" s="76" t="s">
        <v>202</v>
      </c>
      <c r="C3" s="76" t="s">
        <v>1094</v>
      </c>
      <c r="D3" s="77" t="str">
        <f>PROPER(TRIM(Range!$C3&amp;" "&amp;Range!$C3))</f>
        <v>Hisham Hisham</v>
      </c>
      <c r="E3" s="76" t="s">
        <v>100</v>
      </c>
      <c r="F3" s="76" t="s">
        <v>34</v>
      </c>
      <c r="G3" s="76" t="s">
        <v>7</v>
      </c>
      <c r="H3" s="78" t="s">
        <v>11</v>
      </c>
      <c r="I3" s="78" t="s">
        <v>25</v>
      </c>
      <c r="J3" s="79" t="s">
        <v>12</v>
      </c>
      <c r="K3" s="76" t="s">
        <v>206</v>
      </c>
      <c r="L3" s="80">
        <v>6</v>
      </c>
      <c r="M3" s="81">
        <v>1</v>
      </c>
      <c r="N3" s="81">
        <v>2001</v>
      </c>
      <c r="O3" s="82">
        <f>DATE(Range!$N3,Range!$M3,Range!$L3)</f>
        <v>36897</v>
      </c>
      <c r="P3" s="82">
        <f t="shared" ca="1" si="0"/>
        <v>46071</v>
      </c>
      <c r="Q3" s="81">
        <f ca="1">DATEDIF(Range!$O3,Range!$P3,"Y")</f>
        <v>25</v>
      </c>
      <c r="R3" s="83">
        <v>7175</v>
      </c>
      <c r="S3" s="84">
        <f>Range!$R3*0.1</f>
        <v>717.5</v>
      </c>
      <c r="T3" s="85">
        <f>Range!$R3*0.03</f>
        <v>215.25</v>
      </c>
      <c r="U3" s="86">
        <f>Range!$R3-Range!$S3+Range!$T3</f>
        <v>6672.75</v>
      </c>
      <c r="V3" s="87" t="str">
        <f>IF(Range!$U3&gt;=6000,"Over","Normal")</f>
        <v>Over</v>
      </c>
      <c r="W3" s="88">
        <f>VLOOKUP(Range!$U3,$Z$10:$AA$14,2)</f>
        <v>0.02</v>
      </c>
      <c r="Y3" s="125"/>
      <c r="Z3" s="128" t="s">
        <v>16</v>
      </c>
      <c r="AA3" s="129">
        <f>SUM(Range!$U$2:$U$301)</f>
        <v>1242807.3600000001</v>
      </c>
    </row>
    <row r="4" spans="1:27" ht="15.75" customHeight="1">
      <c r="A4" s="61">
        <v>1003</v>
      </c>
      <c r="B4" s="62" t="s">
        <v>198</v>
      </c>
      <c r="C4" s="62" t="s">
        <v>203</v>
      </c>
      <c r="D4" s="63" t="str">
        <f>PROPER(TRIM(Range!$C4&amp;" "&amp;Range!$C4))</f>
        <v>Sharaf Sharaf</v>
      </c>
      <c r="E4" s="62" t="s">
        <v>99</v>
      </c>
      <c r="F4" s="62" t="s">
        <v>35</v>
      </c>
      <c r="G4" s="62" t="s">
        <v>13</v>
      </c>
      <c r="H4" s="64" t="s">
        <v>14</v>
      </c>
      <c r="I4" s="64" t="s">
        <v>9</v>
      </c>
      <c r="J4" s="65" t="s">
        <v>10</v>
      </c>
      <c r="K4" s="62" t="s">
        <v>207</v>
      </c>
      <c r="L4" s="66">
        <v>7</v>
      </c>
      <c r="M4" s="67">
        <v>1</v>
      </c>
      <c r="N4" s="67">
        <v>2007</v>
      </c>
      <c r="O4" s="68">
        <f>DATE(Range!$N4,Range!$M4,Range!$L4)</f>
        <v>39089</v>
      </c>
      <c r="P4" s="68">
        <f t="shared" ca="1" si="0"/>
        <v>46071</v>
      </c>
      <c r="Q4" s="67">
        <f ca="1">DATEDIF(Range!$O4,Range!$P4,"Y")</f>
        <v>19</v>
      </c>
      <c r="R4" s="69">
        <v>4070</v>
      </c>
      <c r="S4" s="70">
        <f>Range!$R4*0.1</f>
        <v>407</v>
      </c>
      <c r="T4" s="71">
        <f>Range!$R4*0.03</f>
        <v>122.1</v>
      </c>
      <c r="U4" s="72">
        <f>Range!$R4-Range!$S4+Range!$T4</f>
        <v>3785.1</v>
      </c>
      <c r="V4" s="73" t="str">
        <f>IF(Range!$U4&gt;=6000,"Over","Normal")</f>
        <v>Normal</v>
      </c>
      <c r="W4" s="74">
        <f>VLOOKUP(Range!$U4,$Z$10:$AA$14,2)</f>
        <v>0.05</v>
      </c>
      <c r="Y4" s="125"/>
      <c r="Z4" s="128" t="s">
        <v>1097</v>
      </c>
      <c r="AA4" s="129">
        <f>AVERAGE(U:U)</f>
        <v>4142.6912000000002</v>
      </c>
    </row>
    <row r="5" spans="1:27" ht="15.75" customHeight="1">
      <c r="A5" s="75">
        <v>1004</v>
      </c>
      <c r="B5" s="76" t="s">
        <v>199</v>
      </c>
      <c r="C5" s="76" t="s">
        <v>101</v>
      </c>
      <c r="D5" s="77" t="str">
        <f>PROPER(TRIM(Range!$C5&amp;" "&amp;Range!$C5))</f>
        <v>Qbany Qbany</v>
      </c>
      <c r="E5" s="76" t="s">
        <v>100</v>
      </c>
      <c r="F5" s="76" t="s">
        <v>36</v>
      </c>
      <c r="G5" s="76" t="s">
        <v>1100</v>
      </c>
      <c r="H5" s="78" t="s">
        <v>8</v>
      </c>
      <c r="I5" s="78" t="s">
        <v>15</v>
      </c>
      <c r="J5" s="79" t="s">
        <v>12</v>
      </c>
      <c r="K5" s="76" t="s">
        <v>208</v>
      </c>
      <c r="L5" s="80">
        <v>21</v>
      </c>
      <c r="M5" s="81">
        <v>1</v>
      </c>
      <c r="N5" s="81">
        <v>1993</v>
      </c>
      <c r="O5" s="82">
        <f>DATE(Range!$N5,Range!$M5,Range!$L5)</f>
        <v>33990</v>
      </c>
      <c r="P5" s="82">
        <f t="shared" ca="1" si="0"/>
        <v>46071</v>
      </c>
      <c r="Q5" s="81">
        <f ca="1">DATEDIF(Range!$O5,Range!$P5,"Y")</f>
        <v>33</v>
      </c>
      <c r="R5" s="83">
        <v>1906</v>
      </c>
      <c r="S5" s="84">
        <f>Range!$R5*0.1</f>
        <v>190.60000000000002</v>
      </c>
      <c r="T5" s="85">
        <f>Range!$R5*0.03</f>
        <v>57.18</v>
      </c>
      <c r="U5" s="86">
        <f>Range!$R5-Range!$S5+Range!$T5</f>
        <v>1772.5800000000002</v>
      </c>
      <c r="V5" s="87" t="str">
        <f>IF(Range!$U5&gt;=6000,"Over","Normal")</f>
        <v>Normal</v>
      </c>
      <c r="W5" s="88">
        <f>VLOOKUP(Range!$U5,$Z$10:$AA$14,2)</f>
        <v>0.08</v>
      </c>
      <c r="Y5" s="125"/>
      <c r="Z5" s="128" t="s">
        <v>32</v>
      </c>
      <c r="AA5" s="129">
        <f>COUNT(A:A)</f>
        <v>300</v>
      </c>
    </row>
    <row r="6" spans="1:27" ht="15.75" customHeight="1">
      <c r="A6" s="61">
        <v>1005</v>
      </c>
      <c r="B6" s="62" t="s">
        <v>200</v>
      </c>
      <c r="C6" s="62" t="s">
        <v>268</v>
      </c>
      <c r="D6" s="63" t="str">
        <f>PROPER(TRIM(Range!$C6&amp;" "&amp;Range!$C6))</f>
        <v>Bikri Bikri</v>
      </c>
      <c r="E6" s="62" t="s">
        <v>100</v>
      </c>
      <c r="F6" s="62" t="s">
        <v>37</v>
      </c>
      <c r="G6" s="62" t="s">
        <v>17</v>
      </c>
      <c r="H6" s="64" t="s">
        <v>14</v>
      </c>
      <c r="I6" s="64" t="s">
        <v>15</v>
      </c>
      <c r="J6" s="65" t="s">
        <v>12</v>
      </c>
      <c r="K6" s="62" t="s">
        <v>209</v>
      </c>
      <c r="L6" s="66">
        <v>26</v>
      </c>
      <c r="M6" s="67">
        <v>1</v>
      </c>
      <c r="N6" s="67">
        <v>2019</v>
      </c>
      <c r="O6" s="68">
        <f>DATE(Range!$N6,Range!$M6,Range!$L6)</f>
        <v>43491</v>
      </c>
      <c r="P6" s="68">
        <f t="shared" ca="1" si="0"/>
        <v>46071</v>
      </c>
      <c r="Q6" s="67">
        <f ca="1">DATEDIF(Range!$O6,Range!$P6,"Y")</f>
        <v>7</v>
      </c>
      <c r="R6" s="69">
        <v>2600</v>
      </c>
      <c r="S6" s="70">
        <f>Range!$R6*0.1</f>
        <v>260</v>
      </c>
      <c r="T6" s="71">
        <f>Range!$R6*0.03</f>
        <v>78</v>
      </c>
      <c r="U6" s="72">
        <f>Range!$R6-Range!$S6+Range!$T6</f>
        <v>2418</v>
      </c>
      <c r="V6" s="73" t="str">
        <f>IF(Range!$U6&gt;=6000,"Over","Normal")</f>
        <v>Normal</v>
      </c>
      <c r="W6" s="74">
        <f>VLOOKUP(Range!$U6,$Z$10:$AA$14,2)</f>
        <v>0.08</v>
      </c>
      <c r="Y6" s="125"/>
      <c r="Z6" s="128" t="s">
        <v>21</v>
      </c>
      <c r="AA6" s="129">
        <f>MAX(R:R)</f>
        <v>7478</v>
      </c>
    </row>
    <row r="7" spans="1:27" ht="15.75" customHeight="1">
      <c r="A7" s="75">
        <v>1006</v>
      </c>
      <c r="B7" s="76" t="s">
        <v>103</v>
      </c>
      <c r="C7" s="76" t="s">
        <v>104</v>
      </c>
      <c r="D7" s="77" t="str">
        <f>PROPER(TRIM(Range!$C7&amp;" "&amp;Range!$C7))</f>
        <v>Zueitr Zueitr</v>
      </c>
      <c r="E7" s="76" t="s">
        <v>100</v>
      </c>
      <c r="F7" s="76" t="s">
        <v>38</v>
      </c>
      <c r="G7" s="76" t="s">
        <v>13</v>
      </c>
      <c r="H7" s="78" t="s">
        <v>11</v>
      </c>
      <c r="I7" s="78" t="s">
        <v>18</v>
      </c>
      <c r="J7" s="79" t="s">
        <v>12</v>
      </c>
      <c r="K7" s="76" t="s">
        <v>210</v>
      </c>
      <c r="L7" s="80">
        <v>26</v>
      </c>
      <c r="M7" s="81">
        <v>1</v>
      </c>
      <c r="N7" s="81">
        <v>2003</v>
      </c>
      <c r="O7" s="82">
        <f>DATE(Range!$N7,Range!$M7,Range!$L7)</f>
        <v>37647</v>
      </c>
      <c r="P7" s="82">
        <f t="shared" ca="1" si="0"/>
        <v>46071</v>
      </c>
      <c r="Q7" s="81">
        <f ca="1">DATEDIF(Range!$O7,Range!$P7,"Y")</f>
        <v>23</v>
      </c>
      <c r="R7" s="83">
        <v>3753</v>
      </c>
      <c r="S7" s="84">
        <f>Range!$R7*0.1</f>
        <v>375.3</v>
      </c>
      <c r="T7" s="85">
        <f>Range!$R7*0.03</f>
        <v>112.58999999999999</v>
      </c>
      <c r="U7" s="86">
        <f>Range!$R7-Range!$S7+Range!$T7</f>
        <v>3490.29</v>
      </c>
      <c r="V7" s="87" t="str">
        <f>IF(Range!$U7&gt;=6000,"Over","Normal")</f>
        <v>Normal</v>
      </c>
      <c r="W7" s="88">
        <f>VLOOKUP(Range!$U7,$Z$10:$AA$14,2)</f>
        <v>0.05</v>
      </c>
      <c r="Y7" s="125"/>
      <c r="Z7" s="128" t="s">
        <v>24</v>
      </c>
      <c r="AA7" s="129">
        <f>MIN(R:R)</f>
        <v>742</v>
      </c>
    </row>
    <row r="8" spans="1:27" ht="15.75" customHeight="1">
      <c r="A8" s="61">
        <v>1007</v>
      </c>
      <c r="B8" s="62" t="s">
        <v>105</v>
      </c>
      <c r="C8" s="62" t="s">
        <v>106</v>
      </c>
      <c r="D8" s="63" t="str">
        <f>PROPER(TRIM(Range!$C8&amp;" "&amp;Range!$C8))</f>
        <v>Alhalaliu Alhalaliu</v>
      </c>
      <c r="E8" s="62" t="s">
        <v>99</v>
      </c>
      <c r="F8" s="62" t="s">
        <v>39</v>
      </c>
      <c r="G8" s="62" t="s">
        <v>19</v>
      </c>
      <c r="H8" s="64" t="s">
        <v>8</v>
      </c>
      <c r="I8" s="64" t="s">
        <v>264</v>
      </c>
      <c r="J8" s="65" t="s">
        <v>20</v>
      </c>
      <c r="K8" s="62" t="s">
        <v>211</v>
      </c>
      <c r="L8" s="66">
        <v>29</v>
      </c>
      <c r="M8" s="67">
        <v>1</v>
      </c>
      <c r="N8" s="67">
        <v>1994</v>
      </c>
      <c r="O8" s="68">
        <f>DATE(Range!$N8,Range!$M8,Range!$L8)</f>
        <v>34363</v>
      </c>
      <c r="P8" s="68">
        <f t="shared" ca="1" si="0"/>
        <v>46071</v>
      </c>
      <c r="Q8" s="67">
        <f ca="1">DATEDIF(Range!$O8,Range!$P8,"Y")</f>
        <v>32</v>
      </c>
      <c r="R8" s="69">
        <v>5086</v>
      </c>
      <c r="S8" s="70">
        <f>Range!$R8*0.1</f>
        <v>508.6</v>
      </c>
      <c r="T8" s="71">
        <f>Range!$R8*0.03</f>
        <v>152.57999999999998</v>
      </c>
      <c r="U8" s="72">
        <f>Range!$R8-Range!$S8+Range!$T8</f>
        <v>4729.9799999999996</v>
      </c>
      <c r="V8" s="73" t="str">
        <f>IF(Range!$U8&gt;=6000,"Over","Normal")</f>
        <v>Normal</v>
      </c>
      <c r="W8" s="74">
        <f>VLOOKUP(Range!$U8,$Z$10:$AA$14,2)</f>
        <v>0.05</v>
      </c>
      <c r="Y8" s="125"/>
      <c r="Z8" s="125"/>
      <c r="AA8" s="125"/>
    </row>
    <row r="9" spans="1:27" ht="15.75" customHeight="1">
      <c r="A9" s="75">
        <v>1008</v>
      </c>
      <c r="B9" s="76" t="s">
        <v>103</v>
      </c>
      <c r="C9" s="76" t="s">
        <v>107</v>
      </c>
      <c r="D9" s="77" t="str">
        <f>PROPER(TRIM(Range!$C9&amp;" "&amp;Range!$C9))</f>
        <v>Alaya Alaya</v>
      </c>
      <c r="E9" s="76" t="s">
        <v>100</v>
      </c>
      <c r="F9" s="76" t="s">
        <v>40</v>
      </c>
      <c r="G9" s="76" t="s">
        <v>13</v>
      </c>
      <c r="H9" s="78" t="s">
        <v>22</v>
      </c>
      <c r="I9" s="78" t="s">
        <v>9</v>
      </c>
      <c r="J9" s="79" t="s">
        <v>23</v>
      </c>
      <c r="K9" s="76" t="s">
        <v>212</v>
      </c>
      <c r="L9" s="80">
        <v>29</v>
      </c>
      <c r="M9" s="81">
        <v>1</v>
      </c>
      <c r="N9" s="81">
        <v>2012</v>
      </c>
      <c r="O9" s="82">
        <f>DATE(Range!$N9,Range!$M9,Range!$L9)</f>
        <v>40937</v>
      </c>
      <c r="P9" s="82">
        <f t="shared" ca="1" si="0"/>
        <v>46071</v>
      </c>
      <c r="Q9" s="81">
        <f ca="1">DATEDIF(Range!$O9,Range!$P9,"Y")</f>
        <v>14</v>
      </c>
      <c r="R9" s="83">
        <v>2431</v>
      </c>
      <c r="S9" s="84">
        <f>Range!$R9*0.1</f>
        <v>243.10000000000002</v>
      </c>
      <c r="T9" s="85">
        <f>Range!$R9*0.03</f>
        <v>72.929999999999993</v>
      </c>
      <c r="U9" s="86">
        <f>Range!$R9-Range!$S9+Range!$T9</f>
        <v>2260.83</v>
      </c>
      <c r="V9" s="87" t="str">
        <f>IF(Range!$U9&gt;=6000,"Over","Normal")</f>
        <v>Normal</v>
      </c>
      <c r="W9" s="88">
        <f>VLOOKUP(Range!$U9,$Z$10:$AA$14,2)</f>
        <v>0.08</v>
      </c>
      <c r="Y9" s="125"/>
      <c r="Z9" s="125"/>
      <c r="AA9" s="125"/>
    </row>
    <row r="10" spans="1:27" ht="15.75" customHeight="1">
      <c r="A10" s="61">
        <v>1009</v>
      </c>
      <c r="B10" s="62" t="s">
        <v>108</v>
      </c>
      <c r="C10" s="62" t="s">
        <v>109</v>
      </c>
      <c r="D10" s="63" t="str">
        <f>PROPER(TRIM(Range!$C10&amp;" "&amp;Range!$C10))</f>
        <v>Almilat Almilat</v>
      </c>
      <c r="E10" s="62" t="s">
        <v>99</v>
      </c>
      <c r="F10" s="62" t="s">
        <v>41</v>
      </c>
      <c r="G10" s="62" t="s">
        <v>17</v>
      </c>
      <c r="H10" s="64" t="s">
        <v>8</v>
      </c>
      <c r="I10" s="64" t="s">
        <v>9</v>
      </c>
      <c r="J10" s="65" t="s">
        <v>12</v>
      </c>
      <c r="K10" s="62" t="s">
        <v>213</v>
      </c>
      <c r="L10" s="66">
        <v>30</v>
      </c>
      <c r="M10" s="67">
        <v>1</v>
      </c>
      <c r="N10" s="67">
        <v>2004</v>
      </c>
      <c r="O10" s="68">
        <f>DATE(Range!$N10,Range!$M10,Range!$L10)</f>
        <v>38016</v>
      </c>
      <c r="P10" s="68">
        <f t="shared" ca="1" si="0"/>
        <v>46071</v>
      </c>
      <c r="Q10" s="67">
        <f ca="1">DATEDIF(Range!$O10,Range!$P10,"Y")</f>
        <v>22</v>
      </c>
      <c r="R10" s="69">
        <v>2955</v>
      </c>
      <c r="S10" s="70">
        <f>Range!$R10*0.1</f>
        <v>295.5</v>
      </c>
      <c r="T10" s="71">
        <f>Range!$R10*0.03</f>
        <v>88.649999999999991</v>
      </c>
      <c r="U10" s="72">
        <f>Range!$R10-Range!$S10+Range!$T10</f>
        <v>2748.15</v>
      </c>
      <c r="V10" s="73" t="str">
        <f>IF(Range!$U10&gt;=6000,"Over","Normal")</f>
        <v>Normal</v>
      </c>
      <c r="W10" s="74">
        <f>VLOOKUP(Range!$U10,$Z$10:$AA$14,2)</f>
        <v>0.08</v>
      </c>
      <c r="Y10" s="125"/>
      <c r="Z10" s="89" t="s">
        <v>6</v>
      </c>
      <c r="AA10" s="89" t="s">
        <v>1095</v>
      </c>
    </row>
    <row r="11" spans="1:27" ht="15.75" customHeight="1">
      <c r="A11" s="75">
        <v>1010</v>
      </c>
      <c r="B11" s="76" t="s">
        <v>103</v>
      </c>
      <c r="C11" s="76" t="s">
        <v>110</v>
      </c>
      <c r="D11" s="77" t="str">
        <f>PROPER(TRIM(Range!$C11&amp;" "&amp;Range!$C11))</f>
        <v>Alrifaei Alrifaei</v>
      </c>
      <c r="E11" s="76" t="s">
        <v>100</v>
      </c>
      <c r="F11" s="76" t="s">
        <v>42</v>
      </c>
      <c r="G11" s="76" t="s">
        <v>17</v>
      </c>
      <c r="H11" s="78" t="s">
        <v>14</v>
      </c>
      <c r="I11" s="78" t="s">
        <v>264</v>
      </c>
      <c r="J11" s="79" t="s">
        <v>12</v>
      </c>
      <c r="K11" s="76" t="s">
        <v>214</v>
      </c>
      <c r="L11" s="80">
        <v>11</v>
      </c>
      <c r="M11" s="81">
        <v>2</v>
      </c>
      <c r="N11" s="81">
        <v>2003</v>
      </c>
      <c r="O11" s="82">
        <f>DATE(Range!$N11,Range!$M11,Range!$L11)</f>
        <v>37663</v>
      </c>
      <c r="P11" s="82">
        <f t="shared" ca="1" si="0"/>
        <v>46071</v>
      </c>
      <c r="Q11" s="81">
        <f ca="1">DATEDIF(Range!$O11,Range!$P11,"Y")</f>
        <v>23</v>
      </c>
      <c r="R11" s="83">
        <v>1948</v>
      </c>
      <c r="S11" s="84">
        <f>Range!$R11*0.1</f>
        <v>194.8</v>
      </c>
      <c r="T11" s="85">
        <f>Range!$R11*0.03</f>
        <v>58.44</v>
      </c>
      <c r="U11" s="86">
        <f>Range!$R11-Range!$S11+Range!$T11</f>
        <v>1811.64</v>
      </c>
      <c r="V11" s="87" t="str">
        <f>IF(Range!$U11&gt;=6000,"Over","Normal")</f>
        <v>Normal</v>
      </c>
      <c r="W11" s="88">
        <f>VLOOKUP(Range!$U11,$Z$10:$AA$14,2)</f>
        <v>0.08</v>
      </c>
      <c r="Y11" s="125"/>
      <c r="Z11" s="130">
        <v>1</v>
      </c>
      <c r="AA11" s="131">
        <v>0.1</v>
      </c>
    </row>
    <row r="12" spans="1:27" ht="15.75" customHeight="1">
      <c r="A12" s="61">
        <v>1011</v>
      </c>
      <c r="B12" s="62" t="s">
        <v>103</v>
      </c>
      <c r="C12" s="62" t="s">
        <v>111</v>
      </c>
      <c r="D12" s="63" t="str">
        <f>PROPER(TRIM(Range!$C12&amp;" "&amp;Range!$C12))</f>
        <v>Alqadah Alqadah</v>
      </c>
      <c r="E12" s="62" t="s">
        <v>100</v>
      </c>
      <c r="F12" s="62" t="s">
        <v>43</v>
      </c>
      <c r="G12" s="62" t="s">
        <v>19</v>
      </c>
      <c r="H12" s="64" t="s">
        <v>14</v>
      </c>
      <c r="I12" s="64" t="s">
        <v>25</v>
      </c>
      <c r="J12" s="65" t="s">
        <v>23</v>
      </c>
      <c r="K12" s="62" t="s">
        <v>215</v>
      </c>
      <c r="L12" s="66">
        <v>11</v>
      </c>
      <c r="M12" s="67">
        <v>2</v>
      </c>
      <c r="N12" s="67">
        <v>1993</v>
      </c>
      <c r="O12" s="68">
        <f>DATE(Range!$N12,Range!$M12,Range!$L12)</f>
        <v>34011</v>
      </c>
      <c r="P12" s="68">
        <f t="shared" ca="1" si="0"/>
        <v>46071</v>
      </c>
      <c r="Q12" s="67">
        <f ca="1">DATEDIF(Range!$O12,Range!$P12,"Y")</f>
        <v>33</v>
      </c>
      <c r="R12" s="69">
        <v>3294</v>
      </c>
      <c r="S12" s="70">
        <f>Range!$R12*0.1</f>
        <v>329.40000000000003</v>
      </c>
      <c r="T12" s="71">
        <f>Range!$R12*0.03</f>
        <v>98.82</v>
      </c>
      <c r="U12" s="72">
        <f>Range!$R12-Range!$S12+Range!$T12</f>
        <v>3063.42</v>
      </c>
      <c r="V12" s="73" t="str">
        <f>IF(Range!$U12&gt;=6000,"Over","Normal")</f>
        <v>Normal</v>
      </c>
      <c r="W12" s="74">
        <f>VLOOKUP(Range!$U12,$Z$10:$AA$14,2)</f>
        <v>0.05</v>
      </c>
      <c r="Y12" s="125"/>
      <c r="Z12" s="130">
        <v>1000</v>
      </c>
      <c r="AA12" s="131">
        <v>0.08</v>
      </c>
    </row>
    <row r="13" spans="1:27" ht="15.75" customHeight="1">
      <c r="A13" s="75">
        <v>1012</v>
      </c>
      <c r="B13" s="76" t="s">
        <v>103</v>
      </c>
      <c r="C13" s="76" t="s">
        <v>112</v>
      </c>
      <c r="D13" s="77" t="str">
        <f>PROPER(TRIM(Range!$C13&amp;" "&amp;Range!$C13))</f>
        <v>Iad Iad</v>
      </c>
      <c r="E13" s="76" t="s">
        <v>100</v>
      </c>
      <c r="F13" s="76" t="s">
        <v>44</v>
      </c>
      <c r="G13" s="76" t="s">
        <v>1100</v>
      </c>
      <c r="H13" s="78" t="s">
        <v>11</v>
      </c>
      <c r="I13" s="78" t="s">
        <v>264</v>
      </c>
      <c r="J13" s="79" t="s">
        <v>10</v>
      </c>
      <c r="K13" s="76" t="s">
        <v>216</v>
      </c>
      <c r="L13" s="80">
        <v>17</v>
      </c>
      <c r="M13" s="81">
        <v>2</v>
      </c>
      <c r="N13" s="81">
        <v>2005</v>
      </c>
      <c r="O13" s="82">
        <f>DATE(Range!$N13,Range!$M13,Range!$L13)</f>
        <v>38400</v>
      </c>
      <c r="P13" s="82">
        <f t="shared" ca="1" si="0"/>
        <v>46071</v>
      </c>
      <c r="Q13" s="81">
        <f ca="1">DATEDIF(Range!$O13,Range!$P13,"Y")</f>
        <v>21</v>
      </c>
      <c r="R13" s="83">
        <v>7123</v>
      </c>
      <c r="S13" s="84">
        <f>Range!$R13*0.1</f>
        <v>712.30000000000007</v>
      </c>
      <c r="T13" s="85">
        <f>Range!$R13*0.03</f>
        <v>213.69</v>
      </c>
      <c r="U13" s="86">
        <f>Range!$R13-Range!$S13+Range!$T13</f>
        <v>6624.3899999999994</v>
      </c>
      <c r="V13" s="87" t="str">
        <f>IF(Range!$U13&gt;=6000,"Over","Normal")</f>
        <v>Over</v>
      </c>
      <c r="W13" s="88">
        <f>VLOOKUP(Range!$U13,$Z$10:$AA$14,2)</f>
        <v>0.02</v>
      </c>
      <c r="Y13" s="125"/>
      <c r="Z13" s="130">
        <v>3000</v>
      </c>
      <c r="AA13" s="131">
        <v>0.05</v>
      </c>
    </row>
    <row r="14" spans="1:27" ht="15.75" customHeight="1">
      <c r="A14" s="61">
        <v>1013</v>
      </c>
      <c r="B14" s="62" t="s">
        <v>113</v>
      </c>
      <c r="C14" s="62" t="s">
        <v>114</v>
      </c>
      <c r="D14" s="63" t="str">
        <f>PROPER(TRIM(Range!$C14&amp;" "&amp;Range!$C14))</f>
        <v>Nasif Nasif</v>
      </c>
      <c r="E14" s="62" t="s">
        <v>99</v>
      </c>
      <c r="F14" s="62" t="s">
        <v>45</v>
      </c>
      <c r="G14" s="62" t="s">
        <v>13</v>
      </c>
      <c r="H14" s="64" t="s">
        <v>8</v>
      </c>
      <c r="I14" s="64" t="s">
        <v>25</v>
      </c>
      <c r="J14" s="65" t="s">
        <v>10</v>
      </c>
      <c r="K14" s="62" t="s">
        <v>217</v>
      </c>
      <c r="L14" s="66">
        <v>25</v>
      </c>
      <c r="M14" s="67">
        <v>2</v>
      </c>
      <c r="N14" s="67">
        <v>2019</v>
      </c>
      <c r="O14" s="68">
        <f>DATE(Range!$N14,Range!$M14,Range!$L14)</f>
        <v>43521</v>
      </c>
      <c r="P14" s="68">
        <f t="shared" ca="1" si="0"/>
        <v>46071</v>
      </c>
      <c r="Q14" s="67">
        <f ca="1">DATEDIF(Range!$O14,Range!$P14,"Y")</f>
        <v>6</v>
      </c>
      <c r="R14" s="69">
        <v>7236</v>
      </c>
      <c r="S14" s="70">
        <f>Range!$R14*0.1</f>
        <v>723.6</v>
      </c>
      <c r="T14" s="71">
        <f>Range!$R14*0.03</f>
        <v>217.07999999999998</v>
      </c>
      <c r="U14" s="72">
        <f>Range!$R14-Range!$S14+Range!$T14</f>
        <v>6729.48</v>
      </c>
      <c r="V14" s="73" t="str">
        <f>IF(Range!$U14&gt;=6000,"Over","Normal")</f>
        <v>Over</v>
      </c>
      <c r="W14" s="74">
        <f>VLOOKUP(Range!$U14,$Z$10:$AA$14,2)</f>
        <v>0.02</v>
      </c>
      <c r="Y14" s="125"/>
      <c r="Z14" s="130">
        <v>6000</v>
      </c>
      <c r="AA14" s="131">
        <v>0.02</v>
      </c>
    </row>
    <row r="15" spans="1:27" ht="15.75" customHeight="1">
      <c r="A15" s="75">
        <v>1014</v>
      </c>
      <c r="B15" s="76" t="s">
        <v>115</v>
      </c>
      <c r="C15" s="76" t="s">
        <v>269</v>
      </c>
      <c r="D15" s="77" t="str">
        <f>PROPER(TRIM(Range!$C15&amp;" "&amp;Range!$C15))</f>
        <v>Mohamed Mohamed</v>
      </c>
      <c r="E15" s="76" t="s">
        <v>99</v>
      </c>
      <c r="F15" s="76" t="s">
        <v>46</v>
      </c>
      <c r="G15" s="76" t="s">
        <v>1100</v>
      </c>
      <c r="H15" s="78" t="s">
        <v>8</v>
      </c>
      <c r="I15" s="78" t="s">
        <v>264</v>
      </c>
      <c r="J15" s="79" t="s">
        <v>12</v>
      </c>
      <c r="K15" s="76" t="s">
        <v>218</v>
      </c>
      <c r="L15" s="80">
        <v>26</v>
      </c>
      <c r="M15" s="81">
        <v>2</v>
      </c>
      <c r="N15" s="81">
        <v>2004</v>
      </c>
      <c r="O15" s="82">
        <f>DATE(Range!$N15,Range!$M15,Range!$L15)</f>
        <v>38043</v>
      </c>
      <c r="P15" s="82">
        <f t="shared" ca="1" si="0"/>
        <v>46071</v>
      </c>
      <c r="Q15" s="81">
        <f ca="1">DATEDIF(Range!$O15,Range!$P15,"Y")</f>
        <v>21</v>
      </c>
      <c r="R15" s="83">
        <v>6843</v>
      </c>
      <c r="S15" s="84">
        <f>Range!$R15*0.1</f>
        <v>684.30000000000007</v>
      </c>
      <c r="T15" s="85">
        <f>Range!$R15*0.03</f>
        <v>205.29</v>
      </c>
      <c r="U15" s="86">
        <f>Range!$R15-Range!$S15+Range!$T15</f>
        <v>6363.99</v>
      </c>
      <c r="V15" s="87" t="str">
        <f>IF(Range!$U15&gt;=6000,"Over","Normal")</f>
        <v>Over</v>
      </c>
      <c r="W15" s="88">
        <f>VLOOKUP(Range!$U15,$Z$10:$AA$14,2)</f>
        <v>0.02</v>
      </c>
    </row>
    <row r="16" spans="1:27" ht="15.75" customHeight="1">
      <c r="A16" s="61">
        <v>1015</v>
      </c>
      <c r="B16" s="62" t="s">
        <v>117</v>
      </c>
      <c r="C16" s="62" t="s">
        <v>270</v>
      </c>
      <c r="D16" s="63" t="str">
        <f>PROPER(TRIM(Range!$C16&amp;" "&amp;Range!$C16))</f>
        <v>Mostafa Mostafa</v>
      </c>
      <c r="E16" s="62" t="s">
        <v>99</v>
      </c>
      <c r="F16" s="62" t="s">
        <v>47</v>
      </c>
      <c r="G16" s="62" t="s">
        <v>1100</v>
      </c>
      <c r="H16" s="64" t="s">
        <v>22</v>
      </c>
      <c r="I16" s="64" t="s">
        <v>264</v>
      </c>
      <c r="J16" s="65" t="s">
        <v>12</v>
      </c>
      <c r="K16" s="62" t="s">
        <v>219</v>
      </c>
      <c r="L16" s="66">
        <v>2</v>
      </c>
      <c r="M16" s="67">
        <v>3</v>
      </c>
      <c r="N16" s="67">
        <v>2011</v>
      </c>
      <c r="O16" s="68">
        <f>DATE(Range!$N16,Range!$M16,Range!$L16)</f>
        <v>40604</v>
      </c>
      <c r="P16" s="68">
        <f t="shared" ca="1" si="0"/>
        <v>46071</v>
      </c>
      <c r="Q16" s="67">
        <f ca="1">DATEDIF(Range!$O16,Range!$P16,"Y")</f>
        <v>14</v>
      </c>
      <c r="R16" s="69">
        <v>1070</v>
      </c>
      <c r="S16" s="70">
        <f>Range!$R16*0.1</f>
        <v>107</v>
      </c>
      <c r="T16" s="71">
        <f>Range!$R16*0.03</f>
        <v>32.1</v>
      </c>
      <c r="U16" s="72">
        <f>Range!$R16-Range!$S16+Range!$T16</f>
        <v>995.1</v>
      </c>
      <c r="V16" s="73" t="str">
        <f>IF(Range!$U16&gt;=6000,"Over","Normal")</f>
        <v>Normal</v>
      </c>
      <c r="W16" s="74">
        <f>VLOOKUP(Range!$U16,$Z$10:$AA$14,2)</f>
        <v>0.1</v>
      </c>
    </row>
    <row r="17" spans="1:23" ht="15.75" customHeight="1">
      <c r="A17" s="75">
        <v>1016</v>
      </c>
      <c r="B17" s="76" t="s">
        <v>118</v>
      </c>
      <c r="C17" s="76" t="s">
        <v>103</v>
      </c>
      <c r="D17" s="77" t="str">
        <f>PROPER(TRIM(Range!$C17&amp;" "&amp;Range!$C17))</f>
        <v>Muhamad Muhamad</v>
      </c>
      <c r="E17" s="76" t="s">
        <v>100</v>
      </c>
      <c r="F17" s="76" t="s">
        <v>48</v>
      </c>
      <c r="G17" s="76" t="s">
        <v>13</v>
      </c>
      <c r="H17" s="78" t="s">
        <v>22</v>
      </c>
      <c r="I17" s="78" t="s">
        <v>264</v>
      </c>
      <c r="J17" s="79" t="s">
        <v>10</v>
      </c>
      <c r="K17" s="76" t="s">
        <v>220</v>
      </c>
      <c r="L17" s="80">
        <v>10</v>
      </c>
      <c r="M17" s="81">
        <v>3</v>
      </c>
      <c r="N17" s="81">
        <v>2020</v>
      </c>
      <c r="O17" s="82">
        <f>DATE(Range!$N17,Range!$M17,Range!$L17)</f>
        <v>43900</v>
      </c>
      <c r="P17" s="82">
        <f t="shared" ca="1" si="0"/>
        <v>46071</v>
      </c>
      <c r="Q17" s="81">
        <f ca="1">DATEDIF(Range!$O17,Range!$P17,"Y")</f>
        <v>5</v>
      </c>
      <c r="R17" s="83">
        <v>1493</v>
      </c>
      <c r="S17" s="84">
        <f>Range!$R17*0.1</f>
        <v>149.30000000000001</v>
      </c>
      <c r="T17" s="85">
        <f>Range!$R17*0.03</f>
        <v>44.79</v>
      </c>
      <c r="U17" s="86">
        <f>Range!$R17-Range!$S17+Range!$T17</f>
        <v>1388.49</v>
      </c>
      <c r="V17" s="87" t="str">
        <f>IF(Range!$U17&gt;=6000,"Over","Normal")</f>
        <v>Normal</v>
      </c>
      <c r="W17" s="88">
        <f>VLOOKUP(Range!$U17,$Z$10:$AA$14,2)</f>
        <v>0.08</v>
      </c>
    </row>
    <row r="18" spans="1:23" ht="15.75" customHeight="1">
      <c r="A18" s="61">
        <v>1017</v>
      </c>
      <c r="B18" s="62" t="s">
        <v>119</v>
      </c>
      <c r="C18" s="62" t="s">
        <v>1088</v>
      </c>
      <c r="D18" s="63" t="str">
        <f>PROPER(TRIM(Range!$C18&amp;" "&amp;Range!$C18))</f>
        <v>Ziad Ziad</v>
      </c>
      <c r="E18" s="62" t="s">
        <v>99</v>
      </c>
      <c r="F18" s="62" t="s">
        <v>49</v>
      </c>
      <c r="G18" s="62" t="s">
        <v>19</v>
      </c>
      <c r="H18" s="64" t="s">
        <v>8</v>
      </c>
      <c r="I18" s="64" t="s">
        <v>25</v>
      </c>
      <c r="J18" s="65" t="s">
        <v>12</v>
      </c>
      <c r="K18" s="62" t="s">
        <v>1089</v>
      </c>
      <c r="L18" s="66">
        <v>6</v>
      </c>
      <c r="M18" s="67">
        <v>4</v>
      </c>
      <c r="N18" s="67">
        <v>1999</v>
      </c>
      <c r="O18" s="68">
        <f>DATE(Range!$N18,Range!$M18,Range!$L18)</f>
        <v>36256</v>
      </c>
      <c r="P18" s="68">
        <f t="shared" ca="1" si="0"/>
        <v>46071</v>
      </c>
      <c r="Q18" s="67">
        <f ca="1">DATEDIF(Range!$O18,Range!$P18,"Y")</f>
        <v>26</v>
      </c>
      <c r="R18" s="69">
        <v>5857</v>
      </c>
      <c r="S18" s="70">
        <f>Range!$R18*0.1</f>
        <v>585.70000000000005</v>
      </c>
      <c r="T18" s="71">
        <f>Range!$R18*0.03</f>
        <v>175.70999999999998</v>
      </c>
      <c r="U18" s="72">
        <f>Range!$R18-Range!$S18+Range!$T18</f>
        <v>5447.01</v>
      </c>
      <c r="V18" s="73" t="str">
        <f>IF(Range!$U18&gt;=6000,"Over","Normal")</f>
        <v>Normal</v>
      </c>
      <c r="W18" s="74">
        <f>VLOOKUP(Range!$U18,$Z$10:$AA$14,2)</f>
        <v>0.05</v>
      </c>
    </row>
    <row r="19" spans="1:23" ht="15.75" customHeight="1">
      <c r="A19" s="75">
        <v>1018</v>
      </c>
      <c r="B19" s="76" t="s">
        <v>120</v>
      </c>
      <c r="C19" s="76" t="s">
        <v>121</v>
      </c>
      <c r="D19" s="77" t="str">
        <f>PROPER(TRIM(Range!$C19&amp;" "&amp;Range!$C19))</f>
        <v>Husayn Husayn</v>
      </c>
      <c r="E19" s="76" t="s">
        <v>100</v>
      </c>
      <c r="F19" s="76" t="s">
        <v>50</v>
      </c>
      <c r="G19" s="76" t="s">
        <v>19</v>
      </c>
      <c r="H19" s="78" t="s">
        <v>11</v>
      </c>
      <c r="I19" s="78" t="s">
        <v>26</v>
      </c>
      <c r="J19" s="79" t="s">
        <v>12</v>
      </c>
      <c r="K19" s="76" t="s">
        <v>221</v>
      </c>
      <c r="L19" s="80">
        <v>12</v>
      </c>
      <c r="M19" s="81">
        <v>4</v>
      </c>
      <c r="N19" s="81">
        <v>2004</v>
      </c>
      <c r="O19" s="82">
        <f>DATE(Range!$N19,Range!$M19,Range!$L19)</f>
        <v>38089</v>
      </c>
      <c r="P19" s="82">
        <f t="shared" ca="1" si="0"/>
        <v>46071</v>
      </c>
      <c r="Q19" s="81">
        <f ca="1">DATEDIF(Range!$O19,Range!$P19,"Y")</f>
        <v>21</v>
      </c>
      <c r="R19" s="83">
        <v>5278</v>
      </c>
      <c r="S19" s="84">
        <f>Range!$R19*0.1</f>
        <v>527.80000000000007</v>
      </c>
      <c r="T19" s="85">
        <f>Range!$R19*0.03</f>
        <v>158.34</v>
      </c>
      <c r="U19" s="86">
        <f>Range!$R19-Range!$S19+Range!$T19</f>
        <v>4908.54</v>
      </c>
      <c r="V19" s="87" t="str">
        <f>IF(Range!$U19&gt;=6000,"Over","Normal")</f>
        <v>Normal</v>
      </c>
      <c r="W19" s="88">
        <f>VLOOKUP(Range!$U19,$Z$10:$AA$14,2)</f>
        <v>0.05</v>
      </c>
    </row>
    <row r="20" spans="1:23" ht="15.75" customHeight="1">
      <c r="A20" s="61">
        <v>1019</v>
      </c>
      <c r="B20" s="62" t="s">
        <v>122</v>
      </c>
      <c r="C20" s="62" t="s">
        <v>123</v>
      </c>
      <c r="D20" s="63" t="str">
        <f>PROPER(TRIM(Range!$C20&amp;" "&amp;Range!$C20))</f>
        <v>Salim Salim</v>
      </c>
      <c r="E20" s="62" t="s">
        <v>99</v>
      </c>
      <c r="F20" s="62" t="s">
        <v>51</v>
      </c>
      <c r="G20" s="62" t="s">
        <v>1100</v>
      </c>
      <c r="H20" s="64" t="s">
        <v>8</v>
      </c>
      <c r="I20" s="64" t="s">
        <v>26</v>
      </c>
      <c r="J20" s="65" t="s">
        <v>12</v>
      </c>
      <c r="K20" s="62" t="s">
        <v>222</v>
      </c>
      <c r="L20" s="66">
        <v>13</v>
      </c>
      <c r="M20" s="67">
        <v>4</v>
      </c>
      <c r="N20" s="67">
        <v>1999</v>
      </c>
      <c r="O20" s="68">
        <f>DATE(Range!$N20,Range!$M20,Range!$L20)</f>
        <v>36263</v>
      </c>
      <c r="P20" s="68">
        <f t="shared" ca="1" si="0"/>
        <v>46071</v>
      </c>
      <c r="Q20" s="67">
        <f ca="1">DATEDIF(Range!$O20,Range!$P20,"Y")</f>
        <v>26</v>
      </c>
      <c r="R20" s="69">
        <v>5710</v>
      </c>
      <c r="S20" s="70">
        <f>Range!$R20*0.1</f>
        <v>571</v>
      </c>
      <c r="T20" s="71">
        <f>Range!$R20*0.03</f>
        <v>171.29999999999998</v>
      </c>
      <c r="U20" s="72">
        <f>Range!$R20-Range!$S20+Range!$T20</f>
        <v>5310.3</v>
      </c>
      <c r="V20" s="73" t="str">
        <f>IF(Range!$U20&gt;=6000,"Over","Normal")</f>
        <v>Normal</v>
      </c>
      <c r="W20" s="74">
        <f>VLOOKUP(Range!$U20,$Z$10:$AA$14,2)</f>
        <v>0.05</v>
      </c>
    </row>
    <row r="21" spans="1:23" ht="15.75" customHeight="1">
      <c r="A21" s="75">
        <v>1020</v>
      </c>
      <c r="B21" s="76" t="s">
        <v>124</v>
      </c>
      <c r="C21" s="76" t="s">
        <v>125</v>
      </c>
      <c r="D21" s="77" t="str">
        <f>PROPER(TRIM(Range!$C21&amp;" "&amp;Range!$C21))</f>
        <v>Tutwnji Tutwnji</v>
      </c>
      <c r="E21" s="76" t="s">
        <v>100</v>
      </c>
      <c r="F21" s="76" t="s">
        <v>52</v>
      </c>
      <c r="G21" s="76" t="s">
        <v>13</v>
      </c>
      <c r="H21" s="78" t="s">
        <v>8</v>
      </c>
      <c r="I21" s="78" t="s">
        <v>15</v>
      </c>
      <c r="J21" s="79" t="s">
        <v>12</v>
      </c>
      <c r="K21" s="76" t="s">
        <v>223</v>
      </c>
      <c r="L21" s="80">
        <v>28</v>
      </c>
      <c r="M21" s="81">
        <v>4</v>
      </c>
      <c r="N21" s="81">
        <v>2020</v>
      </c>
      <c r="O21" s="82">
        <f>DATE(Range!$N21,Range!$M21,Range!$L21)</f>
        <v>43949</v>
      </c>
      <c r="P21" s="82">
        <f t="shared" ca="1" si="0"/>
        <v>46071</v>
      </c>
      <c r="Q21" s="81">
        <f ca="1">DATEDIF(Range!$O21,Range!$P21,"Y")</f>
        <v>5</v>
      </c>
      <c r="R21" s="83">
        <v>6145</v>
      </c>
      <c r="S21" s="84">
        <f>Range!$R21*0.1</f>
        <v>614.5</v>
      </c>
      <c r="T21" s="85">
        <f>Range!$R21*0.03</f>
        <v>184.35</v>
      </c>
      <c r="U21" s="86">
        <f>Range!$R21-Range!$S21+Range!$T21</f>
        <v>5714.85</v>
      </c>
      <c r="V21" s="87" t="str">
        <f>IF(Range!$U21&gt;=6000,"Over","Normal")</f>
        <v>Normal</v>
      </c>
      <c r="W21" s="88">
        <f>VLOOKUP(Range!$U21,$Z$10:$AA$14,2)</f>
        <v>0.05</v>
      </c>
    </row>
    <row r="22" spans="1:23" ht="15.75" customHeight="1">
      <c r="A22" s="61">
        <v>1021</v>
      </c>
      <c r="B22" s="62" t="s">
        <v>126</v>
      </c>
      <c r="C22" s="62" t="s">
        <v>127</v>
      </c>
      <c r="D22" s="63" t="str">
        <f>PROPER(TRIM(Range!$C22&amp;" "&amp;Range!$C22))</f>
        <v>Alsafdi Alsafdi</v>
      </c>
      <c r="E22" s="62" t="s">
        <v>100</v>
      </c>
      <c r="F22" s="62" t="s">
        <v>53</v>
      </c>
      <c r="G22" s="62" t="s">
        <v>17</v>
      </c>
      <c r="H22" s="64" t="s">
        <v>11</v>
      </c>
      <c r="I22" s="64" t="s">
        <v>26</v>
      </c>
      <c r="J22" s="65" t="s">
        <v>23</v>
      </c>
      <c r="K22" s="62" t="s">
        <v>224</v>
      </c>
      <c r="L22" s="66">
        <v>1</v>
      </c>
      <c r="M22" s="67">
        <v>5</v>
      </c>
      <c r="N22" s="67">
        <v>2012</v>
      </c>
      <c r="O22" s="68">
        <f>DATE(Range!$N22,Range!$M22,Range!$L22)</f>
        <v>41030</v>
      </c>
      <c r="P22" s="68">
        <f t="shared" ca="1" si="0"/>
        <v>46071</v>
      </c>
      <c r="Q22" s="67">
        <f ca="1">DATEDIF(Range!$O22,Range!$P22,"Y")</f>
        <v>13</v>
      </c>
      <c r="R22" s="69">
        <v>5278</v>
      </c>
      <c r="S22" s="70">
        <f>Range!$R22*0.1</f>
        <v>527.80000000000007</v>
      </c>
      <c r="T22" s="71">
        <f>Range!$R22*0.03</f>
        <v>158.34</v>
      </c>
      <c r="U22" s="72">
        <f>Range!$R22-Range!$S22+Range!$T22</f>
        <v>4908.54</v>
      </c>
      <c r="V22" s="73" t="str">
        <f>IF(Range!$U22&gt;=6000,"Over","Normal")</f>
        <v>Normal</v>
      </c>
      <c r="W22" s="74">
        <f>VLOOKUP(Range!$U22,$Z$10:$AA$14,2)</f>
        <v>0.05</v>
      </c>
    </row>
    <row r="23" spans="1:23" ht="15.75" customHeight="1">
      <c r="A23" s="75">
        <v>1022</v>
      </c>
      <c r="B23" s="76" t="s">
        <v>128</v>
      </c>
      <c r="C23" s="76" t="s">
        <v>129</v>
      </c>
      <c r="D23" s="77" t="str">
        <f>PROPER(TRIM(Range!$C23&amp;" "&amp;Range!$C23))</f>
        <v>Jalal Jalal</v>
      </c>
      <c r="E23" s="76" t="s">
        <v>100</v>
      </c>
      <c r="F23" s="76" t="s">
        <v>54</v>
      </c>
      <c r="G23" s="76" t="s">
        <v>17</v>
      </c>
      <c r="H23" s="78" t="s">
        <v>11</v>
      </c>
      <c r="I23" s="78" t="s">
        <v>9</v>
      </c>
      <c r="J23" s="79" t="s">
        <v>10</v>
      </c>
      <c r="K23" s="76" t="s">
        <v>225</v>
      </c>
      <c r="L23" s="80">
        <v>7</v>
      </c>
      <c r="M23" s="81">
        <v>5</v>
      </c>
      <c r="N23" s="81">
        <v>1996</v>
      </c>
      <c r="O23" s="82">
        <f>DATE(Range!$N23,Range!$M23,Range!$L23)</f>
        <v>35192</v>
      </c>
      <c r="P23" s="82">
        <f t="shared" ca="1" si="0"/>
        <v>46071</v>
      </c>
      <c r="Q23" s="81">
        <f ca="1">DATEDIF(Range!$O23,Range!$P23,"Y")</f>
        <v>29</v>
      </c>
      <c r="R23" s="83">
        <v>6409</v>
      </c>
      <c r="S23" s="84">
        <f>Range!$R23*0.1</f>
        <v>640.90000000000009</v>
      </c>
      <c r="T23" s="85">
        <f>Range!$R23*0.03</f>
        <v>192.26999999999998</v>
      </c>
      <c r="U23" s="86">
        <f>Range!$R23-Range!$S23+Range!$T23</f>
        <v>5960.3700000000008</v>
      </c>
      <c r="V23" s="87" t="str">
        <f>IF(Range!$U23&gt;=6000,"Over","Normal")</f>
        <v>Normal</v>
      </c>
      <c r="W23" s="88">
        <f>VLOOKUP(Range!$U23,$Z$10:$AA$14,2)</f>
        <v>0.05</v>
      </c>
    </row>
    <row r="24" spans="1:23" ht="15.75" customHeight="1">
      <c r="A24" s="61">
        <v>1023</v>
      </c>
      <c r="B24" s="62" t="s">
        <v>130</v>
      </c>
      <c r="C24" s="62" t="s">
        <v>131</v>
      </c>
      <c r="D24" s="63" t="str">
        <f>PROPER(TRIM(Range!$C24&amp;" "&amp;Range!$C24))</f>
        <v>Sahalul Sahalul</v>
      </c>
      <c r="E24" s="62" t="s">
        <v>100</v>
      </c>
      <c r="F24" s="62" t="s">
        <v>55</v>
      </c>
      <c r="G24" s="62" t="s">
        <v>13</v>
      </c>
      <c r="H24" s="64" t="s">
        <v>8</v>
      </c>
      <c r="I24" s="64" t="s">
        <v>9</v>
      </c>
      <c r="J24" s="65" t="s">
        <v>12</v>
      </c>
      <c r="K24" s="62" t="s">
        <v>226</v>
      </c>
      <c r="L24" s="66">
        <v>12</v>
      </c>
      <c r="M24" s="67">
        <v>5</v>
      </c>
      <c r="N24" s="67">
        <v>2007</v>
      </c>
      <c r="O24" s="68">
        <f>DATE(Range!$N24,Range!$M24,Range!$L24)</f>
        <v>39214</v>
      </c>
      <c r="P24" s="68">
        <f t="shared" ca="1" si="0"/>
        <v>46071</v>
      </c>
      <c r="Q24" s="67">
        <f ca="1">DATEDIF(Range!$O24,Range!$P24,"Y")</f>
        <v>18</v>
      </c>
      <c r="R24" s="69">
        <v>7478</v>
      </c>
      <c r="S24" s="70">
        <f>Range!$R24*0.1</f>
        <v>747.80000000000007</v>
      </c>
      <c r="T24" s="71">
        <f>Range!$R24*0.03</f>
        <v>224.34</v>
      </c>
      <c r="U24" s="72">
        <f>Range!$R24-Range!$S24+Range!$T24</f>
        <v>6954.54</v>
      </c>
      <c r="V24" s="73" t="str">
        <f>IF(Range!$U24&gt;=6000,"Over","Normal")</f>
        <v>Over</v>
      </c>
      <c r="W24" s="74">
        <f>VLOOKUP(Range!$U24,$Z$10:$AA$14,2)</f>
        <v>0.02</v>
      </c>
    </row>
    <row r="25" spans="1:23" ht="15.75" customHeight="1">
      <c r="A25" s="75">
        <v>1024</v>
      </c>
      <c r="B25" s="76" t="s">
        <v>102</v>
      </c>
      <c r="C25" s="76" t="s">
        <v>102</v>
      </c>
      <c r="D25" s="77" t="str">
        <f>PROPER(TRIM(Range!$C25&amp;" "&amp;Range!$C25))</f>
        <v>Ahmad Ahmad</v>
      </c>
      <c r="E25" s="76" t="s">
        <v>100</v>
      </c>
      <c r="F25" s="76" t="s">
        <v>56</v>
      </c>
      <c r="G25" s="76" t="s">
        <v>1100</v>
      </c>
      <c r="H25" s="78" t="s">
        <v>8</v>
      </c>
      <c r="I25" s="78" t="s">
        <v>9</v>
      </c>
      <c r="J25" s="79" t="s">
        <v>20</v>
      </c>
      <c r="K25" s="76" t="s">
        <v>227</v>
      </c>
      <c r="L25" s="80">
        <v>18</v>
      </c>
      <c r="M25" s="81">
        <v>5</v>
      </c>
      <c r="N25" s="81">
        <v>2002</v>
      </c>
      <c r="O25" s="82">
        <f>DATE(Range!$N25,Range!$M25,Range!$L25)</f>
        <v>37394</v>
      </c>
      <c r="P25" s="82">
        <f t="shared" ca="1" si="0"/>
        <v>46071</v>
      </c>
      <c r="Q25" s="81">
        <f ca="1">DATEDIF(Range!$O25,Range!$P25,"Y")</f>
        <v>23</v>
      </c>
      <c r="R25" s="83">
        <v>4621</v>
      </c>
      <c r="S25" s="84">
        <f>Range!$R25*0.1</f>
        <v>462.1</v>
      </c>
      <c r="T25" s="85">
        <f>Range!$R25*0.03</f>
        <v>138.63</v>
      </c>
      <c r="U25" s="86">
        <f>Range!$R25-Range!$S25+Range!$T25</f>
        <v>4297.53</v>
      </c>
      <c r="V25" s="87" t="str">
        <f>IF(Range!$U25&gt;=6000,"Over","Normal")</f>
        <v>Normal</v>
      </c>
      <c r="W25" s="88">
        <f>VLOOKUP(Range!$U25,$Z$10:$AA$14,2)</f>
        <v>0.05</v>
      </c>
    </row>
    <row r="26" spans="1:23" ht="15.75" customHeight="1">
      <c r="A26" s="61">
        <v>1025</v>
      </c>
      <c r="B26" s="62" t="s">
        <v>103</v>
      </c>
      <c r="C26" s="62" t="s">
        <v>132</v>
      </c>
      <c r="D26" s="63" t="str">
        <f>PROPER(TRIM(Range!$C26&amp;" "&amp;Range!$C26))</f>
        <v>Altarah Altarah</v>
      </c>
      <c r="E26" s="62" t="s">
        <v>100</v>
      </c>
      <c r="F26" s="62" t="s">
        <v>57</v>
      </c>
      <c r="G26" s="62" t="s">
        <v>17</v>
      </c>
      <c r="H26" s="64" t="s">
        <v>11</v>
      </c>
      <c r="I26" s="64" t="s">
        <v>27</v>
      </c>
      <c r="J26" s="65" t="s">
        <v>20</v>
      </c>
      <c r="K26" s="62" t="s">
        <v>228</v>
      </c>
      <c r="L26" s="66">
        <v>19</v>
      </c>
      <c r="M26" s="67">
        <v>5</v>
      </c>
      <c r="N26" s="67">
        <v>2002</v>
      </c>
      <c r="O26" s="68">
        <f>DATE(Range!$N26,Range!$M26,Range!$L26)</f>
        <v>37395</v>
      </c>
      <c r="P26" s="68">
        <f t="shared" ca="1" si="0"/>
        <v>46071</v>
      </c>
      <c r="Q26" s="67">
        <f ca="1">DATEDIF(Range!$O26,Range!$P26,"Y")</f>
        <v>23</v>
      </c>
      <c r="R26" s="69">
        <v>2093</v>
      </c>
      <c r="S26" s="70">
        <f>Range!$R26*0.1</f>
        <v>209.3</v>
      </c>
      <c r="T26" s="71">
        <f>Range!$R26*0.03</f>
        <v>62.79</v>
      </c>
      <c r="U26" s="72">
        <f>Range!$R26-Range!$S26+Range!$T26</f>
        <v>1946.49</v>
      </c>
      <c r="V26" s="73" t="str">
        <f>IF(Range!$U26&gt;=6000,"Over","Normal")</f>
        <v>Normal</v>
      </c>
      <c r="W26" s="74">
        <f>VLOOKUP(Range!$U26,$Z$10:$AA$14,2)</f>
        <v>0.08</v>
      </c>
    </row>
    <row r="27" spans="1:23" ht="15.75" customHeight="1">
      <c r="A27" s="75">
        <v>1026</v>
      </c>
      <c r="B27" s="76" t="s">
        <v>133</v>
      </c>
      <c r="C27" s="76" t="s">
        <v>134</v>
      </c>
      <c r="D27" s="77" t="str">
        <f>PROPER(TRIM(Range!$C27&amp;" "&amp;Range!$C27))</f>
        <v>Abu Abu</v>
      </c>
      <c r="E27" s="76" t="s">
        <v>99</v>
      </c>
      <c r="F27" s="76" t="s">
        <v>58</v>
      </c>
      <c r="G27" s="76" t="s">
        <v>1100</v>
      </c>
      <c r="H27" s="78" t="s">
        <v>11</v>
      </c>
      <c r="I27" s="78" t="s">
        <v>264</v>
      </c>
      <c r="J27" s="79" t="s">
        <v>12</v>
      </c>
      <c r="K27" s="76" t="s">
        <v>229</v>
      </c>
      <c r="L27" s="80">
        <v>20</v>
      </c>
      <c r="M27" s="81">
        <v>5</v>
      </c>
      <c r="N27" s="81">
        <v>2016</v>
      </c>
      <c r="O27" s="82">
        <f>DATE(Range!$N27,Range!$M27,Range!$L27)</f>
        <v>42510</v>
      </c>
      <c r="P27" s="82">
        <f t="shared" ca="1" si="0"/>
        <v>46071</v>
      </c>
      <c r="Q27" s="81">
        <f ca="1">DATEDIF(Range!$O27,Range!$P27,"Y")</f>
        <v>9</v>
      </c>
      <c r="R27" s="83">
        <v>7333</v>
      </c>
      <c r="S27" s="84">
        <f>Range!$R27*0.1</f>
        <v>733.30000000000007</v>
      </c>
      <c r="T27" s="85">
        <f>Range!$R27*0.03</f>
        <v>219.98999999999998</v>
      </c>
      <c r="U27" s="86">
        <f>Range!$R27-Range!$S27+Range!$T27</f>
        <v>6819.69</v>
      </c>
      <c r="V27" s="87" t="str">
        <f>IF(Range!$U27&gt;=6000,"Over","Normal")</f>
        <v>Over</v>
      </c>
      <c r="W27" s="88">
        <f>VLOOKUP(Range!$U27,$Z$10:$AA$14,2)</f>
        <v>0.02</v>
      </c>
    </row>
    <row r="28" spans="1:23" ht="15.75" customHeight="1">
      <c r="A28" s="61">
        <v>1027</v>
      </c>
      <c r="B28" s="62" t="s">
        <v>129</v>
      </c>
      <c r="C28" s="62" t="s">
        <v>135</v>
      </c>
      <c r="D28" s="63" t="str">
        <f>PROPER(TRIM(Range!$C28&amp;" "&amp;Range!$C28))</f>
        <v>Almuluhi Almuluhi</v>
      </c>
      <c r="E28" s="62" t="s">
        <v>100</v>
      </c>
      <c r="F28" s="62" t="s">
        <v>59</v>
      </c>
      <c r="G28" s="62" t="s">
        <v>17</v>
      </c>
      <c r="H28" s="64" t="s">
        <v>22</v>
      </c>
      <c r="I28" s="64" t="s">
        <v>15</v>
      </c>
      <c r="J28" s="65" t="s">
        <v>10</v>
      </c>
      <c r="K28" s="62" t="s">
        <v>230</v>
      </c>
      <c r="L28" s="66">
        <v>26</v>
      </c>
      <c r="M28" s="67">
        <v>5</v>
      </c>
      <c r="N28" s="67">
        <v>2000</v>
      </c>
      <c r="O28" s="68">
        <f>DATE(Range!$N28,Range!$M28,Range!$L28)</f>
        <v>36672</v>
      </c>
      <c r="P28" s="68">
        <f t="shared" ca="1" si="0"/>
        <v>46071</v>
      </c>
      <c r="Q28" s="67">
        <f ca="1">DATEDIF(Range!$O28,Range!$P28,"Y")</f>
        <v>25</v>
      </c>
      <c r="R28" s="69">
        <v>1194</v>
      </c>
      <c r="S28" s="70">
        <f>Range!$R28*0.1</f>
        <v>119.4</v>
      </c>
      <c r="T28" s="71">
        <f>Range!$R28*0.03</f>
        <v>35.82</v>
      </c>
      <c r="U28" s="72">
        <f>Range!$R28-Range!$S28+Range!$T28</f>
        <v>1110.4199999999998</v>
      </c>
      <c r="V28" s="73" t="str">
        <f>IF(Range!$U28&gt;=6000,"Over","Normal")</f>
        <v>Normal</v>
      </c>
      <c r="W28" s="74">
        <f>VLOOKUP(Range!$U28,$Z$10:$AA$14,2)</f>
        <v>0.08</v>
      </c>
    </row>
    <row r="29" spans="1:23" ht="15.75" customHeight="1">
      <c r="A29" s="75">
        <v>1028</v>
      </c>
      <c r="B29" s="76" t="s">
        <v>136</v>
      </c>
      <c r="C29" s="76" t="s">
        <v>137</v>
      </c>
      <c r="D29" s="77" t="str">
        <f>PROPER(TRIM(Range!$C29&amp;" "&amp;Range!$C29))</f>
        <v>Mius Mius</v>
      </c>
      <c r="E29" s="76" t="s">
        <v>99</v>
      </c>
      <c r="F29" s="76" t="s">
        <v>60</v>
      </c>
      <c r="G29" s="76" t="s">
        <v>7</v>
      </c>
      <c r="H29" s="78" t="s">
        <v>8</v>
      </c>
      <c r="I29" s="78" t="s">
        <v>15</v>
      </c>
      <c r="J29" s="79" t="s">
        <v>23</v>
      </c>
      <c r="K29" s="76" t="s">
        <v>231</v>
      </c>
      <c r="L29" s="80">
        <v>7</v>
      </c>
      <c r="M29" s="81">
        <v>6</v>
      </c>
      <c r="N29" s="81">
        <v>2000</v>
      </c>
      <c r="O29" s="82">
        <f>DATE(Range!$N29,Range!$M29,Range!$L29)</f>
        <v>36684</v>
      </c>
      <c r="P29" s="82">
        <f t="shared" ca="1" si="0"/>
        <v>46071</v>
      </c>
      <c r="Q29" s="81">
        <f ca="1">DATEDIF(Range!$O29,Range!$P29,"Y")</f>
        <v>25</v>
      </c>
      <c r="R29" s="83">
        <v>5118</v>
      </c>
      <c r="S29" s="84">
        <f>Range!$R29*0.1</f>
        <v>511.8</v>
      </c>
      <c r="T29" s="85">
        <f>Range!$R29*0.03</f>
        <v>153.54</v>
      </c>
      <c r="U29" s="86">
        <f>Range!$R29-Range!$S29+Range!$T29</f>
        <v>4759.74</v>
      </c>
      <c r="V29" s="87" t="str">
        <f>IF(Range!$U29&gt;=6000,"Over","Normal")</f>
        <v>Normal</v>
      </c>
      <c r="W29" s="88">
        <f>VLOOKUP(Range!$U29,$Z$10:$AA$14,2)</f>
        <v>0.05</v>
      </c>
    </row>
    <row r="30" spans="1:23" ht="15.75" customHeight="1">
      <c r="A30" s="61">
        <v>1029</v>
      </c>
      <c r="B30" s="62" t="s">
        <v>138</v>
      </c>
      <c r="C30" s="62" t="s">
        <v>139</v>
      </c>
      <c r="D30" s="63" t="str">
        <f>PROPER(TRIM(Range!$C30&amp;" "&amp;Range!$C30))</f>
        <v>Aljabaan Aljabaan</v>
      </c>
      <c r="E30" s="62" t="s">
        <v>99</v>
      </c>
      <c r="F30" s="62" t="s">
        <v>61</v>
      </c>
      <c r="G30" s="62" t="s">
        <v>17</v>
      </c>
      <c r="H30" s="64" t="s">
        <v>11</v>
      </c>
      <c r="I30" s="64" t="s">
        <v>28</v>
      </c>
      <c r="J30" s="65" t="s">
        <v>12</v>
      </c>
      <c r="K30" s="62" t="s">
        <v>232</v>
      </c>
      <c r="L30" s="66">
        <v>8</v>
      </c>
      <c r="M30" s="67">
        <v>6</v>
      </c>
      <c r="N30" s="67">
        <v>2015</v>
      </c>
      <c r="O30" s="68">
        <f>DATE(Range!$N30,Range!$M30,Range!$L30)</f>
        <v>42163</v>
      </c>
      <c r="P30" s="68">
        <f t="shared" ca="1" si="0"/>
        <v>46071</v>
      </c>
      <c r="Q30" s="67">
        <f ca="1">DATEDIF(Range!$O30,Range!$P30,"Y")</f>
        <v>10</v>
      </c>
      <c r="R30" s="69">
        <v>5373</v>
      </c>
      <c r="S30" s="70">
        <f>Range!$R30*0.1</f>
        <v>537.30000000000007</v>
      </c>
      <c r="T30" s="71">
        <f>Range!$R30*0.03</f>
        <v>161.19</v>
      </c>
      <c r="U30" s="72">
        <f>Range!$R30-Range!$S30+Range!$T30</f>
        <v>4996.8899999999994</v>
      </c>
      <c r="V30" s="73" t="str">
        <f>IF(Range!$U30&gt;=6000,"Over","Normal")</f>
        <v>Normal</v>
      </c>
      <c r="W30" s="74">
        <f>VLOOKUP(Range!$U30,$Z$10:$AA$14,2)</f>
        <v>0.05</v>
      </c>
    </row>
    <row r="31" spans="1:23" ht="15.75" customHeight="1">
      <c r="A31" s="75">
        <v>1030</v>
      </c>
      <c r="B31" s="76" t="s">
        <v>140</v>
      </c>
      <c r="C31" s="76" t="s">
        <v>141</v>
      </c>
      <c r="D31" s="77" t="str">
        <f>PROPER(TRIM(Range!$C31&amp;" "&amp;Range!$C31))</f>
        <v>Shanan Shanan</v>
      </c>
      <c r="E31" s="76" t="s">
        <v>100</v>
      </c>
      <c r="F31" s="76" t="s">
        <v>62</v>
      </c>
      <c r="G31" s="76" t="s">
        <v>17</v>
      </c>
      <c r="H31" s="78" t="s">
        <v>14</v>
      </c>
      <c r="I31" s="78" t="s">
        <v>29</v>
      </c>
      <c r="J31" s="79" t="s">
        <v>12</v>
      </c>
      <c r="K31" s="76" t="s">
        <v>233</v>
      </c>
      <c r="L31" s="80">
        <v>10</v>
      </c>
      <c r="M31" s="81">
        <v>6</v>
      </c>
      <c r="N31" s="81">
        <v>2020</v>
      </c>
      <c r="O31" s="82">
        <f>DATE(Range!$N31,Range!$M31,Range!$L31)</f>
        <v>43992</v>
      </c>
      <c r="P31" s="82">
        <f t="shared" ca="1" si="0"/>
        <v>46071</v>
      </c>
      <c r="Q31" s="81">
        <f ca="1">DATEDIF(Range!$O31,Range!$P31,"Y")</f>
        <v>5</v>
      </c>
      <c r="R31" s="83">
        <v>1708</v>
      </c>
      <c r="S31" s="84">
        <f>Range!$R31*0.1</f>
        <v>170.8</v>
      </c>
      <c r="T31" s="85">
        <f>Range!$R31*0.03</f>
        <v>51.239999999999995</v>
      </c>
      <c r="U31" s="86">
        <f>Range!$R31-Range!$S31+Range!$T31</f>
        <v>1588.44</v>
      </c>
      <c r="V31" s="87" t="str">
        <f>IF(Range!$U31&gt;=6000,"Over","Normal")</f>
        <v>Normal</v>
      </c>
      <c r="W31" s="88">
        <f>VLOOKUP(Range!$U31,$Z$10:$AA$14,2)</f>
        <v>0.08</v>
      </c>
    </row>
    <row r="32" spans="1:23" ht="15.75" customHeight="1">
      <c r="A32" s="61">
        <v>1031</v>
      </c>
      <c r="B32" s="62" t="s">
        <v>142</v>
      </c>
      <c r="C32" s="62" t="s">
        <v>143</v>
      </c>
      <c r="D32" s="63" t="str">
        <f>PROPER(TRIM(Range!$C32&amp;" "&amp;Range!$C32))</f>
        <v>Alhaj Alhaj</v>
      </c>
      <c r="E32" s="62" t="s">
        <v>99</v>
      </c>
      <c r="F32" s="62" t="s">
        <v>63</v>
      </c>
      <c r="G32" s="62" t="s">
        <v>19</v>
      </c>
      <c r="H32" s="64" t="s">
        <v>8</v>
      </c>
      <c r="I32" s="64" t="s">
        <v>264</v>
      </c>
      <c r="J32" s="65" t="s">
        <v>12</v>
      </c>
      <c r="K32" s="62" t="s">
        <v>234</v>
      </c>
      <c r="L32" s="66">
        <v>14</v>
      </c>
      <c r="M32" s="67">
        <v>6</v>
      </c>
      <c r="N32" s="67">
        <v>1993</v>
      </c>
      <c r="O32" s="68">
        <f>DATE(Range!$N32,Range!$M32,Range!$L32)</f>
        <v>34134</v>
      </c>
      <c r="P32" s="68">
        <f t="shared" ca="1" si="0"/>
        <v>46071</v>
      </c>
      <c r="Q32" s="67">
        <f ca="1">DATEDIF(Range!$O32,Range!$P32,"Y")</f>
        <v>32</v>
      </c>
      <c r="R32" s="69">
        <v>2898</v>
      </c>
      <c r="S32" s="70">
        <f>Range!$R32*0.1</f>
        <v>289.8</v>
      </c>
      <c r="T32" s="71">
        <f>Range!$R32*0.03</f>
        <v>86.94</v>
      </c>
      <c r="U32" s="72">
        <f>Range!$R32-Range!$S32+Range!$T32</f>
        <v>2695.14</v>
      </c>
      <c r="V32" s="73" t="str">
        <f>IF(Range!$U32&gt;=6000,"Over","Normal")</f>
        <v>Normal</v>
      </c>
      <c r="W32" s="74">
        <f>VLOOKUP(Range!$U32,$Z$10:$AA$14,2)</f>
        <v>0.08</v>
      </c>
    </row>
    <row r="33" spans="1:26" ht="15.75" customHeight="1">
      <c r="A33" s="75">
        <v>1032</v>
      </c>
      <c r="B33" s="76" t="s">
        <v>144</v>
      </c>
      <c r="C33" s="76" t="s">
        <v>145</v>
      </c>
      <c r="D33" s="77" t="str">
        <f>PROPER(TRIM(Range!$C33&amp;" "&amp;Range!$C33))</f>
        <v>Zakianiin Zakianiin</v>
      </c>
      <c r="E33" s="76" t="s">
        <v>100</v>
      </c>
      <c r="F33" s="76" t="s">
        <v>64</v>
      </c>
      <c r="G33" s="76" t="s">
        <v>7</v>
      </c>
      <c r="H33" s="78" t="s">
        <v>8</v>
      </c>
      <c r="I33" s="78" t="s">
        <v>26</v>
      </c>
      <c r="J33" s="79" t="s">
        <v>10</v>
      </c>
      <c r="K33" s="76" t="s">
        <v>235</v>
      </c>
      <c r="L33" s="80">
        <v>18</v>
      </c>
      <c r="M33" s="81">
        <v>6</v>
      </c>
      <c r="N33" s="81">
        <v>1999</v>
      </c>
      <c r="O33" s="82">
        <f>DATE(Range!$N33,Range!$M33,Range!$L33)</f>
        <v>36329</v>
      </c>
      <c r="P33" s="82">
        <f t="shared" ca="1" si="0"/>
        <v>46071</v>
      </c>
      <c r="Q33" s="81">
        <f ca="1">DATEDIF(Range!$O33,Range!$P33,"Y")</f>
        <v>26</v>
      </c>
      <c r="R33" s="83">
        <v>6211</v>
      </c>
      <c r="S33" s="84">
        <f>Range!$R33*0.1</f>
        <v>621.1</v>
      </c>
      <c r="T33" s="85">
        <f>Range!$R33*0.03</f>
        <v>186.32999999999998</v>
      </c>
      <c r="U33" s="86">
        <f>Range!$R33-Range!$S33+Range!$T33</f>
        <v>5776.23</v>
      </c>
      <c r="V33" s="87" t="str">
        <f>IF(Range!$U33&gt;=6000,"Over","Normal")</f>
        <v>Normal</v>
      </c>
      <c r="W33" s="88">
        <f>VLOOKUP(Range!$U33,$Z$10:$AA$14,2)</f>
        <v>0.05</v>
      </c>
    </row>
    <row r="34" spans="1:26" ht="15.75" customHeight="1">
      <c r="A34" s="61">
        <v>1033</v>
      </c>
      <c r="B34" s="62" t="s">
        <v>103</v>
      </c>
      <c r="C34" s="62" t="s">
        <v>146</v>
      </c>
      <c r="D34" s="63" t="str">
        <f>PROPER(TRIM(Range!$C34&amp;" "&amp;Range!$C34))</f>
        <v>Eurul Eurul</v>
      </c>
      <c r="E34" s="62" t="s">
        <v>100</v>
      </c>
      <c r="F34" s="62" t="s">
        <v>65</v>
      </c>
      <c r="G34" s="62" t="s">
        <v>19</v>
      </c>
      <c r="H34" s="64" t="s">
        <v>11</v>
      </c>
      <c r="I34" s="64" t="s">
        <v>9</v>
      </c>
      <c r="J34" s="65" t="s">
        <v>10</v>
      </c>
      <c r="K34" s="62" t="s">
        <v>236</v>
      </c>
      <c r="L34" s="66">
        <v>21</v>
      </c>
      <c r="M34" s="67">
        <v>6</v>
      </c>
      <c r="N34" s="67">
        <v>2011</v>
      </c>
      <c r="O34" s="68">
        <f>DATE(Range!$N34,Range!$M34,Range!$L34)</f>
        <v>40715</v>
      </c>
      <c r="P34" s="68">
        <f t="shared" ca="1" si="0"/>
        <v>46071</v>
      </c>
      <c r="Q34" s="67">
        <f ca="1">DATEDIF(Range!$O34,Range!$P34,"Y")</f>
        <v>14</v>
      </c>
      <c r="R34" s="69">
        <v>5976</v>
      </c>
      <c r="S34" s="70">
        <f>Range!$R34*0.1</f>
        <v>597.6</v>
      </c>
      <c r="T34" s="71">
        <f>Range!$R34*0.03</f>
        <v>179.28</v>
      </c>
      <c r="U34" s="72">
        <f>Range!$R34-Range!$S34+Range!$T34</f>
        <v>5557.6799999999994</v>
      </c>
      <c r="V34" s="73" t="str">
        <f>IF(Range!$U34&gt;=6000,"Over","Normal")</f>
        <v>Normal</v>
      </c>
      <c r="W34" s="74">
        <f>VLOOKUP(Range!$U34,$Z$10:$AA$14,2)</f>
        <v>0.05</v>
      </c>
    </row>
    <row r="35" spans="1:26" ht="15.75" customHeight="1">
      <c r="A35" s="75">
        <v>1034</v>
      </c>
      <c r="B35" s="76" t="s">
        <v>147</v>
      </c>
      <c r="C35" s="76" t="s">
        <v>148</v>
      </c>
      <c r="D35" s="77" t="str">
        <f>PROPER(TRIM(Range!$C35&amp;" "&amp;Range!$C35))</f>
        <v>Ghanim Ghanim</v>
      </c>
      <c r="E35" s="76" t="s">
        <v>100</v>
      </c>
      <c r="F35" s="76" t="s">
        <v>66</v>
      </c>
      <c r="G35" s="76" t="s">
        <v>19</v>
      </c>
      <c r="H35" s="78" t="s">
        <v>22</v>
      </c>
      <c r="I35" s="78" t="s">
        <v>9</v>
      </c>
      <c r="J35" s="79" t="s">
        <v>12</v>
      </c>
      <c r="K35" s="76" t="s">
        <v>237</v>
      </c>
      <c r="L35" s="80">
        <v>1</v>
      </c>
      <c r="M35" s="81">
        <v>7</v>
      </c>
      <c r="N35" s="81">
        <v>1997</v>
      </c>
      <c r="O35" s="82">
        <f>DATE(Range!$N35,Range!$M35,Range!$L35)</f>
        <v>35612</v>
      </c>
      <c r="P35" s="82">
        <f t="shared" ca="1" si="0"/>
        <v>46071</v>
      </c>
      <c r="Q35" s="81">
        <f ca="1">DATEDIF(Range!$O35,Range!$P35,"Y")</f>
        <v>28</v>
      </c>
      <c r="R35" s="83">
        <v>742</v>
      </c>
      <c r="S35" s="84">
        <f>Range!$R35*0.1</f>
        <v>74.2</v>
      </c>
      <c r="T35" s="85">
        <f>Range!$R35*0.03</f>
        <v>22.259999999999998</v>
      </c>
      <c r="U35" s="86">
        <f>Range!$R35-Range!$S35+Range!$T35</f>
        <v>690.06</v>
      </c>
      <c r="V35" s="87" t="str">
        <f>IF(Range!$U35&gt;=6000,"Over","Normal")</f>
        <v>Normal</v>
      </c>
      <c r="W35" s="88">
        <f>VLOOKUP(Range!$U35,$Z$10:$AA$14,2)</f>
        <v>0.1</v>
      </c>
      <c r="Z35" s="90"/>
    </row>
    <row r="36" spans="1:26" ht="15.75" customHeight="1">
      <c r="A36" s="61">
        <v>1035</v>
      </c>
      <c r="B36" s="62" t="s">
        <v>102</v>
      </c>
      <c r="C36" s="62" t="s">
        <v>149</v>
      </c>
      <c r="D36" s="63" t="str">
        <f>PROPER(TRIM(Range!$C36&amp;" "&amp;Range!$C36))</f>
        <v>Swyd Swyd</v>
      </c>
      <c r="E36" s="62" t="s">
        <v>100</v>
      </c>
      <c r="F36" s="62" t="s">
        <v>67</v>
      </c>
      <c r="G36" s="62" t="s">
        <v>13</v>
      </c>
      <c r="H36" s="64" t="s">
        <v>8</v>
      </c>
      <c r="I36" s="64" t="s">
        <v>27</v>
      </c>
      <c r="J36" s="65" t="s">
        <v>20</v>
      </c>
      <c r="K36" s="62" t="s">
        <v>238</v>
      </c>
      <c r="L36" s="66">
        <v>8</v>
      </c>
      <c r="M36" s="67">
        <v>7</v>
      </c>
      <c r="N36" s="67">
        <v>2008</v>
      </c>
      <c r="O36" s="68">
        <f>DATE(Range!$N36,Range!$M36,Range!$L36)</f>
        <v>39637</v>
      </c>
      <c r="P36" s="68">
        <f t="shared" ca="1" si="0"/>
        <v>46071</v>
      </c>
      <c r="Q36" s="67">
        <f ca="1">DATEDIF(Range!$O36,Range!$P36,"Y")</f>
        <v>17</v>
      </c>
      <c r="R36" s="69">
        <v>5918</v>
      </c>
      <c r="S36" s="70">
        <f>Range!$R36*0.1</f>
        <v>591.80000000000007</v>
      </c>
      <c r="T36" s="71">
        <f>Range!$R36*0.03</f>
        <v>177.54</v>
      </c>
      <c r="U36" s="72">
        <f>Range!$R36-Range!$S36+Range!$T36</f>
        <v>5503.74</v>
      </c>
      <c r="V36" s="73" t="str">
        <f>IF(Range!$U36&gt;=6000,"Over","Normal")</f>
        <v>Normal</v>
      </c>
      <c r="W36" s="74">
        <f>VLOOKUP(Range!$U36,$Z$10:$AA$14,2)</f>
        <v>0.05</v>
      </c>
      <c r="Z36" s="90"/>
    </row>
    <row r="37" spans="1:26" ht="15.75" customHeight="1">
      <c r="A37" s="75">
        <v>1036</v>
      </c>
      <c r="B37" s="76" t="s">
        <v>103</v>
      </c>
      <c r="C37" s="76" t="s">
        <v>150</v>
      </c>
      <c r="D37" s="77" t="str">
        <f>PROPER(TRIM(Range!$C37&amp;" "&amp;Range!$C37))</f>
        <v>Aleass Aleass</v>
      </c>
      <c r="E37" s="76" t="s">
        <v>100</v>
      </c>
      <c r="F37" s="76" t="s">
        <v>68</v>
      </c>
      <c r="G37" s="76" t="s">
        <v>13</v>
      </c>
      <c r="H37" s="78" t="s">
        <v>8</v>
      </c>
      <c r="I37" s="78" t="s">
        <v>15</v>
      </c>
      <c r="J37" s="79" t="s">
        <v>20</v>
      </c>
      <c r="K37" s="76" t="s">
        <v>239</v>
      </c>
      <c r="L37" s="80">
        <v>9</v>
      </c>
      <c r="M37" s="81">
        <v>7</v>
      </c>
      <c r="N37" s="81">
        <v>1994</v>
      </c>
      <c r="O37" s="82">
        <f>DATE(Range!$N37,Range!$M37,Range!$L37)</f>
        <v>34524</v>
      </c>
      <c r="P37" s="82">
        <f t="shared" ca="1" si="0"/>
        <v>46071</v>
      </c>
      <c r="Q37" s="81">
        <f ca="1">DATEDIF(Range!$O37,Range!$P37,"Y")</f>
        <v>31</v>
      </c>
      <c r="R37" s="83">
        <v>3074</v>
      </c>
      <c r="S37" s="84">
        <f>Range!$R37*0.1</f>
        <v>307.40000000000003</v>
      </c>
      <c r="T37" s="85">
        <f>Range!$R37*0.03</f>
        <v>92.22</v>
      </c>
      <c r="U37" s="86">
        <f>Range!$R37-Range!$S37+Range!$T37</f>
        <v>2858.8199999999997</v>
      </c>
      <c r="V37" s="87" t="str">
        <f>IF(Range!$U37&gt;=6000,"Over","Normal")</f>
        <v>Normal</v>
      </c>
      <c r="W37" s="88">
        <f>VLOOKUP(Range!$U37,$Z$10:$AA$14,2)</f>
        <v>0.08</v>
      </c>
      <c r="Z37" s="90"/>
    </row>
    <row r="38" spans="1:26" ht="15.75" customHeight="1">
      <c r="A38" s="61">
        <v>1037</v>
      </c>
      <c r="B38" s="62" t="s">
        <v>151</v>
      </c>
      <c r="C38" s="62" t="s">
        <v>152</v>
      </c>
      <c r="D38" s="63" t="str">
        <f>PROPER(TRIM(Range!$C38&amp;" "&amp;Range!$C38))</f>
        <v>Alasfar Alasfar</v>
      </c>
      <c r="E38" s="62" t="s">
        <v>99</v>
      </c>
      <c r="F38" s="62" t="s">
        <v>69</v>
      </c>
      <c r="G38" s="62" t="s">
        <v>19</v>
      </c>
      <c r="H38" s="64" t="s">
        <v>11</v>
      </c>
      <c r="I38" s="64" t="s">
        <v>29</v>
      </c>
      <c r="J38" s="65" t="s">
        <v>10</v>
      </c>
      <c r="K38" s="62" t="s">
        <v>240</v>
      </c>
      <c r="L38" s="66">
        <v>11</v>
      </c>
      <c r="M38" s="67">
        <v>7</v>
      </c>
      <c r="N38" s="67">
        <v>2014</v>
      </c>
      <c r="O38" s="68">
        <f>DATE(Range!$N38,Range!$M38,Range!$L38)</f>
        <v>41831</v>
      </c>
      <c r="P38" s="68">
        <f t="shared" ca="1" si="0"/>
        <v>46071</v>
      </c>
      <c r="Q38" s="67">
        <f ca="1">DATEDIF(Range!$O38,Range!$P38,"Y")</f>
        <v>11</v>
      </c>
      <c r="R38" s="69">
        <v>5688</v>
      </c>
      <c r="S38" s="70">
        <f>Range!$R38*0.1</f>
        <v>568.80000000000007</v>
      </c>
      <c r="T38" s="71">
        <f>Range!$R38*0.03</f>
        <v>170.64</v>
      </c>
      <c r="U38" s="72">
        <f>Range!$R38-Range!$S38+Range!$T38</f>
        <v>5289.84</v>
      </c>
      <c r="V38" s="73" t="str">
        <f>IF(Range!$U38&gt;=6000,"Over","Normal")</f>
        <v>Normal</v>
      </c>
      <c r="W38" s="74">
        <f>VLOOKUP(Range!$U38,$Z$10:$AA$14,2)</f>
        <v>0.05</v>
      </c>
      <c r="Z38" s="90"/>
    </row>
    <row r="39" spans="1:26" ht="15.75" customHeight="1">
      <c r="A39" s="75">
        <v>1038</v>
      </c>
      <c r="B39" s="76" t="s">
        <v>153</v>
      </c>
      <c r="C39" s="76" t="s">
        <v>274</v>
      </c>
      <c r="D39" s="77" t="str">
        <f>PROPER(TRIM(Range!$C39&amp;" "&amp;Range!$C39))</f>
        <v>Atef Atef</v>
      </c>
      <c r="E39" s="76" t="s">
        <v>99</v>
      </c>
      <c r="F39" s="76" t="s">
        <v>70</v>
      </c>
      <c r="G39" s="76" t="s">
        <v>13</v>
      </c>
      <c r="H39" s="78" t="s">
        <v>8</v>
      </c>
      <c r="I39" s="78" t="s">
        <v>29</v>
      </c>
      <c r="J39" s="79" t="s">
        <v>23</v>
      </c>
      <c r="K39" s="76" t="s">
        <v>275</v>
      </c>
      <c r="L39" s="80">
        <v>15</v>
      </c>
      <c r="M39" s="81">
        <v>7</v>
      </c>
      <c r="N39" s="81">
        <v>2013</v>
      </c>
      <c r="O39" s="82">
        <f>DATE(Range!$N39,Range!$M39,Range!$L39)</f>
        <v>41470</v>
      </c>
      <c r="P39" s="82">
        <f t="shared" ca="1" si="0"/>
        <v>46071</v>
      </c>
      <c r="Q39" s="81">
        <f ca="1">DATEDIF(Range!$O39,Range!$P39,"Y")</f>
        <v>12</v>
      </c>
      <c r="R39" s="83">
        <v>3362</v>
      </c>
      <c r="S39" s="84">
        <f>Range!$R39*0.1</f>
        <v>336.20000000000005</v>
      </c>
      <c r="T39" s="85">
        <f>Range!$R39*0.03</f>
        <v>100.86</v>
      </c>
      <c r="U39" s="86">
        <f>Range!$R39-Range!$S39+Range!$T39</f>
        <v>3126.6600000000003</v>
      </c>
      <c r="V39" s="87" t="str">
        <f>IF(Range!$U39&gt;=6000,"Over","Normal")</f>
        <v>Normal</v>
      </c>
      <c r="W39" s="88">
        <f>VLOOKUP(Range!$U39,$Z$10:$AA$14,2)</f>
        <v>0.05</v>
      </c>
      <c r="Z39" s="90"/>
    </row>
    <row r="40" spans="1:26" ht="15.75" customHeight="1">
      <c r="A40" s="61">
        <v>1039</v>
      </c>
      <c r="B40" s="62" t="s">
        <v>154</v>
      </c>
      <c r="C40" s="62" t="s">
        <v>155</v>
      </c>
      <c r="D40" s="63" t="str">
        <f>PROPER(TRIM(Range!$C40&amp;" "&amp;Range!$C40))</f>
        <v>Alshshatim Alshshatim</v>
      </c>
      <c r="E40" s="62" t="s">
        <v>100</v>
      </c>
      <c r="F40" s="62" t="s">
        <v>71</v>
      </c>
      <c r="G40" s="62" t="s">
        <v>17</v>
      </c>
      <c r="H40" s="64" t="s">
        <v>11</v>
      </c>
      <c r="I40" s="64" t="s">
        <v>29</v>
      </c>
      <c r="J40" s="65" t="s">
        <v>12</v>
      </c>
      <c r="K40" s="62" t="s">
        <v>241</v>
      </c>
      <c r="L40" s="66">
        <v>16</v>
      </c>
      <c r="M40" s="67">
        <v>7</v>
      </c>
      <c r="N40" s="67">
        <v>2008</v>
      </c>
      <c r="O40" s="68">
        <f>DATE(Range!$N40,Range!$M40,Range!$L40)</f>
        <v>39645</v>
      </c>
      <c r="P40" s="68">
        <f t="shared" ca="1" si="0"/>
        <v>46071</v>
      </c>
      <c r="Q40" s="67">
        <f ca="1">DATEDIF(Range!$O40,Range!$P40,"Y")</f>
        <v>17</v>
      </c>
      <c r="R40" s="69">
        <v>6043</v>
      </c>
      <c r="S40" s="70">
        <f>Range!$R40*0.1</f>
        <v>604.30000000000007</v>
      </c>
      <c r="T40" s="71">
        <f>Range!$R40*0.03</f>
        <v>181.29</v>
      </c>
      <c r="U40" s="72">
        <f>Range!$R40-Range!$S40+Range!$T40</f>
        <v>5619.99</v>
      </c>
      <c r="V40" s="73" t="str">
        <f>IF(Range!$U40&gt;=6000,"Over","Normal")</f>
        <v>Normal</v>
      </c>
      <c r="W40" s="74">
        <f>VLOOKUP(Range!$U40,$Z$10:$AA$14,2)</f>
        <v>0.05</v>
      </c>
      <c r="Z40" s="90"/>
    </row>
    <row r="41" spans="1:26" ht="15.75" customHeight="1">
      <c r="A41" s="75">
        <v>1040</v>
      </c>
      <c r="B41" s="76" t="s">
        <v>156</v>
      </c>
      <c r="C41" s="76" t="s">
        <v>157</v>
      </c>
      <c r="D41" s="77" t="str">
        <f>PROPER(TRIM(Range!$C41&amp;" "&amp;Range!$C41))</f>
        <v>Alshahf Alshahf</v>
      </c>
      <c r="E41" s="76" t="s">
        <v>100</v>
      </c>
      <c r="F41" s="76" t="s">
        <v>72</v>
      </c>
      <c r="G41" s="76" t="s">
        <v>17</v>
      </c>
      <c r="H41" s="78" t="s">
        <v>8</v>
      </c>
      <c r="I41" s="78" t="s">
        <v>29</v>
      </c>
      <c r="J41" s="79" t="s">
        <v>23</v>
      </c>
      <c r="K41" s="76" t="s">
        <v>242</v>
      </c>
      <c r="L41" s="80">
        <v>28</v>
      </c>
      <c r="M41" s="81">
        <v>7</v>
      </c>
      <c r="N41" s="81">
        <v>2005</v>
      </c>
      <c r="O41" s="82">
        <f>DATE(Range!$N41,Range!$M41,Range!$L41)</f>
        <v>38561</v>
      </c>
      <c r="P41" s="82">
        <f t="shared" ca="1" si="0"/>
        <v>46071</v>
      </c>
      <c r="Q41" s="81">
        <f ca="1">DATEDIF(Range!$O41,Range!$P41,"Y")</f>
        <v>20</v>
      </c>
      <c r="R41" s="83">
        <v>6260</v>
      </c>
      <c r="S41" s="84">
        <f>Range!$R41*0.1</f>
        <v>626</v>
      </c>
      <c r="T41" s="85">
        <f>Range!$R41*0.03</f>
        <v>187.79999999999998</v>
      </c>
      <c r="U41" s="86">
        <f>Range!$R41-Range!$S41+Range!$T41</f>
        <v>5821.8</v>
      </c>
      <c r="V41" s="87" t="str">
        <f>IF(Range!$U41&gt;=6000,"Over","Normal")</f>
        <v>Normal</v>
      </c>
      <c r="W41" s="88">
        <f>VLOOKUP(Range!$U41,$Z$10:$AA$14,2)</f>
        <v>0.05</v>
      </c>
      <c r="Z41" s="90"/>
    </row>
    <row r="42" spans="1:26" ht="15.75" customHeight="1">
      <c r="A42" s="61">
        <v>1041</v>
      </c>
      <c r="B42" s="62" t="s">
        <v>124</v>
      </c>
      <c r="C42" s="62" t="s">
        <v>158</v>
      </c>
      <c r="D42" s="63" t="str">
        <f>PROPER(TRIM(Range!$C42&amp;" "&amp;Range!$C42))</f>
        <v>Almusaa Almusaa</v>
      </c>
      <c r="E42" s="62" t="s">
        <v>100</v>
      </c>
      <c r="F42" s="62" t="s">
        <v>73</v>
      </c>
      <c r="G42" s="62" t="s">
        <v>17</v>
      </c>
      <c r="H42" s="64" t="s">
        <v>11</v>
      </c>
      <c r="I42" s="64" t="s">
        <v>9</v>
      </c>
      <c r="J42" s="65" t="s">
        <v>23</v>
      </c>
      <c r="K42" s="62" t="s">
        <v>243</v>
      </c>
      <c r="L42" s="66">
        <v>30</v>
      </c>
      <c r="M42" s="67">
        <v>7</v>
      </c>
      <c r="N42" s="67">
        <v>2005</v>
      </c>
      <c r="O42" s="68">
        <f>DATE(Range!$N42,Range!$M42,Range!$L42)</f>
        <v>38563</v>
      </c>
      <c r="P42" s="68">
        <f t="shared" ca="1" si="0"/>
        <v>46071</v>
      </c>
      <c r="Q42" s="67">
        <f ca="1">DATEDIF(Range!$O42,Range!$P42,"Y")</f>
        <v>20</v>
      </c>
      <c r="R42" s="69">
        <v>3754</v>
      </c>
      <c r="S42" s="70">
        <f>Range!$R42*0.1</f>
        <v>375.40000000000003</v>
      </c>
      <c r="T42" s="71">
        <f>Range!$R42*0.03</f>
        <v>112.61999999999999</v>
      </c>
      <c r="U42" s="72">
        <f>Range!$R42-Range!$S42+Range!$T42</f>
        <v>3491.22</v>
      </c>
      <c r="V42" s="73" t="str">
        <f>IF(Range!$U42&gt;=6000,"Over","Normal")</f>
        <v>Normal</v>
      </c>
      <c r="W42" s="74">
        <f>VLOOKUP(Range!$U42,$Z$10:$AA$14,2)</f>
        <v>0.05</v>
      </c>
      <c r="Z42" s="90"/>
    </row>
    <row r="43" spans="1:26" ht="15.75" customHeight="1">
      <c r="A43" s="75">
        <v>1042</v>
      </c>
      <c r="B43" s="76" t="s">
        <v>159</v>
      </c>
      <c r="C43" s="76" t="s">
        <v>160</v>
      </c>
      <c r="D43" s="77" t="str">
        <f>PROPER(TRIM(Range!$C43&amp;" "&amp;Range!$C43))</f>
        <v>Mabrukh Mabrukh</v>
      </c>
      <c r="E43" s="76" t="s">
        <v>100</v>
      </c>
      <c r="F43" s="76" t="s">
        <v>74</v>
      </c>
      <c r="G43" s="76" t="s">
        <v>13</v>
      </c>
      <c r="H43" s="78" t="s">
        <v>8</v>
      </c>
      <c r="I43" s="78" t="s">
        <v>25</v>
      </c>
      <c r="J43" s="79" t="s">
        <v>12</v>
      </c>
      <c r="K43" s="76" t="s">
        <v>244</v>
      </c>
      <c r="L43" s="80">
        <v>31</v>
      </c>
      <c r="M43" s="81">
        <v>7</v>
      </c>
      <c r="N43" s="81">
        <v>2017</v>
      </c>
      <c r="O43" s="82">
        <f>DATE(Range!$N43,Range!$M43,Range!$L43)</f>
        <v>42947</v>
      </c>
      <c r="P43" s="82">
        <f t="shared" ca="1" si="0"/>
        <v>46071</v>
      </c>
      <c r="Q43" s="81">
        <f ca="1">DATEDIF(Range!$O43,Range!$P43,"Y")</f>
        <v>8</v>
      </c>
      <c r="R43" s="83">
        <v>6579</v>
      </c>
      <c r="S43" s="84">
        <f>Range!$R43*0.1</f>
        <v>657.90000000000009</v>
      </c>
      <c r="T43" s="85">
        <f>Range!$R43*0.03</f>
        <v>197.37</v>
      </c>
      <c r="U43" s="86">
        <f>Range!$R43-Range!$S43+Range!$T43</f>
        <v>6118.47</v>
      </c>
      <c r="V43" s="87" t="str">
        <f>IF(Range!$U43&gt;=6000,"Over","Normal")</f>
        <v>Over</v>
      </c>
      <c r="W43" s="88">
        <f>VLOOKUP(Range!$U43,$Z$10:$AA$14,2)</f>
        <v>0.02</v>
      </c>
      <c r="Z43" s="90"/>
    </row>
    <row r="44" spans="1:26" ht="15.75" customHeight="1">
      <c r="A44" s="61">
        <v>1043</v>
      </c>
      <c r="B44" s="62" t="s">
        <v>123</v>
      </c>
      <c r="C44" s="62" t="s">
        <v>161</v>
      </c>
      <c r="D44" s="63" t="str">
        <f>PROPER(TRIM(Range!$C44&amp;" "&amp;Range!$C44))</f>
        <v>Abumaeun Abumaeun</v>
      </c>
      <c r="E44" s="62" t="s">
        <v>100</v>
      </c>
      <c r="F44" s="62" t="s">
        <v>75</v>
      </c>
      <c r="G44" s="62" t="s">
        <v>17</v>
      </c>
      <c r="H44" s="64" t="s">
        <v>8</v>
      </c>
      <c r="I44" s="64" t="s">
        <v>18</v>
      </c>
      <c r="J44" s="65" t="s">
        <v>10</v>
      </c>
      <c r="K44" s="62" t="s">
        <v>245</v>
      </c>
      <c r="L44" s="66">
        <v>13</v>
      </c>
      <c r="M44" s="67">
        <v>8</v>
      </c>
      <c r="N44" s="67">
        <v>1990</v>
      </c>
      <c r="O44" s="68">
        <f>DATE(Range!$N44,Range!$M44,Range!$L44)</f>
        <v>33098</v>
      </c>
      <c r="P44" s="68">
        <f t="shared" ca="1" si="0"/>
        <v>46071</v>
      </c>
      <c r="Q44" s="67">
        <f ca="1">DATEDIF(Range!$O44,Range!$P44,"Y")</f>
        <v>35</v>
      </c>
      <c r="R44" s="69">
        <v>5373</v>
      </c>
      <c r="S44" s="70">
        <f>Range!$R44*0.1</f>
        <v>537.30000000000007</v>
      </c>
      <c r="T44" s="71">
        <f>Range!$R44*0.03</f>
        <v>161.19</v>
      </c>
      <c r="U44" s="72">
        <f>Range!$R44-Range!$S44+Range!$T44</f>
        <v>4996.8899999999994</v>
      </c>
      <c r="V44" s="73" t="str">
        <f>IF(Range!$U44&gt;=6000,"Over","Normal")</f>
        <v>Normal</v>
      </c>
      <c r="W44" s="74">
        <f>VLOOKUP(Range!$U44,$Z$10:$AA$14,2)</f>
        <v>0.05</v>
      </c>
      <c r="Z44" s="90"/>
    </row>
    <row r="45" spans="1:26" ht="15.75" customHeight="1">
      <c r="A45" s="75">
        <v>1044</v>
      </c>
      <c r="B45" s="76" t="s">
        <v>162</v>
      </c>
      <c r="C45" s="76" t="s">
        <v>163</v>
      </c>
      <c r="D45" s="77" t="str">
        <f>PROPER(TRIM(Range!$C45&amp;" "&amp;Range!$C45))</f>
        <v>Hamza Hamza</v>
      </c>
      <c r="E45" s="76" t="s">
        <v>100</v>
      </c>
      <c r="F45" s="76" t="s">
        <v>76</v>
      </c>
      <c r="G45" s="76" t="s">
        <v>13</v>
      </c>
      <c r="H45" s="78" t="s">
        <v>22</v>
      </c>
      <c r="I45" s="78" t="s">
        <v>15</v>
      </c>
      <c r="J45" s="79" t="s">
        <v>10</v>
      </c>
      <c r="K45" s="76" t="s">
        <v>246</v>
      </c>
      <c r="L45" s="80">
        <v>16</v>
      </c>
      <c r="M45" s="81">
        <v>8</v>
      </c>
      <c r="N45" s="81">
        <v>2022</v>
      </c>
      <c r="O45" s="82">
        <f>DATE(Range!$N45,Range!$M45,Range!$L45)</f>
        <v>44789</v>
      </c>
      <c r="P45" s="82">
        <f t="shared" ca="1" si="0"/>
        <v>46071</v>
      </c>
      <c r="Q45" s="81">
        <f ca="1">DATEDIF(Range!$O45,Range!$P45,"Y")</f>
        <v>3</v>
      </c>
      <c r="R45" s="83">
        <v>1391</v>
      </c>
      <c r="S45" s="84">
        <f>Range!$R45*0.1</f>
        <v>139.1</v>
      </c>
      <c r="T45" s="85">
        <f>Range!$R45*0.03</f>
        <v>41.73</v>
      </c>
      <c r="U45" s="86">
        <f>Range!$R45-Range!$S45+Range!$T45</f>
        <v>1293.6300000000001</v>
      </c>
      <c r="V45" s="87" t="str">
        <f>IF(Range!$U45&gt;=6000,"Over","Normal")</f>
        <v>Normal</v>
      </c>
      <c r="W45" s="88">
        <f>VLOOKUP(Range!$U45,$Z$10:$AA$14,2)</f>
        <v>0.08</v>
      </c>
      <c r="Z45" s="90"/>
    </row>
    <row r="46" spans="1:26" ht="15.75" customHeight="1">
      <c r="A46" s="61">
        <v>1045</v>
      </c>
      <c r="B46" s="62" t="s">
        <v>102</v>
      </c>
      <c r="C46" s="62" t="s">
        <v>164</v>
      </c>
      <c r="D46" s="63" t="str">
        <f>PROPER(TRIM(Range!$C46&amp;" "&amp;Range!$C46))</f>
        <v>Laylana Laylana</v>
      </c>
      <c r="E46" s="62" t="s">
        <v>100</v>
      </c>
      <c r="F46" s="62" t="s">
        <v>77</v>
      </c>
      <c r="G46" s="62" t="s">
        <v>17</v>
      </c>
      <c r="H46" s="64" t="s">
        <v>11</v>
      </c>
      <c r="I46" s="64" t="s">
        <v>264</v>
      </c>
      <c r="J46" s="65" t="s">
        <v>12</v>
      </c>
      <c r="K46" s="62" t="s">
        <v>247</v>
      </c>
      <c r="L46" s="66">
        <v>26</v>
      </c>
      <c r="M46" s="67">
        <v>8</v>
      </c>
      <c r="N46" s="67">
        <v>2009</v>
      </c>
      <c r="O46" s="68">
        <f>DATE(Range!$N46,Range!$M46,Range!$L46)</f>
        <v>40051</v>
      </c>
      <c r="P46" s="68">
        <f t="shared" ca="1" si="0"/>
        <v>46071</v>
      </c>
      <c r="Q46" s="67">
        <f ca="1">DATEDIF(Range!$O46,Range!$P46,"Y")</f>
        <v>16</v>
      </c>
      <c r="R46" s="69">
        <v>2528</v>
      </c>
      <c r="S46" s="70">
        <f>Range!$R46*0.1</f>
        <v>252.8</v>
      </c>
      <c r="T46" s="71">
        <f>Range!$R46*0.03</f>
        <v>75.84</v>
      </c>
      <c r="U46" s="72">
        <f>Range!$R46-Range!$S46+Range!$T46</f>
        <v>2351.04</v>
      </c>
      <c r="V46" s="73" t="str">
        <f>IF(Range!$U46&gt;=6000,"Over","Normal")</f>
        <v>Normal</v>
      </c>
      <c r="W46" s="74">
        <f>VLOOKUP(Range!$U46,$Z$10:$AA$14,2)</f>
        <v>0.08</v>
      </c>
      <c r="Z46" s="90"/>
    </row>
    <row r="47" spans="1:26" ht="15.75" customHeight="1">
      <c r="A47" s="75">
        <v>1046</v>
      </c>
      <c r="B47" s="76" t="s">
        <v>165</v>
      </c>
      <c r="C47" s="76" t="s">
        <v>166</v>
      </c>
      <c r="D47" s="77" t="str">
        <f>PROPER(TRIM(Range!$C47&amp;" "&amp;Range!$C47))</f>
        <v>Khalifih Khalifih</v>
      </c>
      <c r="E47" s="76" t="s">
        <v>99</v>
      </c>
      <c r="F47" s="76" t="s">
        <v>78</v>
      </c>
      <c r="G47" s="76" t="s">
        <v>17</v>
      </c>
      <c r="H47" s="78" t="s">
        <v>11</v>
      </c>
      <c r="I47" s="78" t="s">
        <v>29</v>
      </c>
      <c r="J47" s="79" t="s">
        <v>20</v>
      </c>
      <c r="K47" s="76" t="s">
        <v>248</v>
      </c>
      <c r="L47" s="80">
        <v>4</v>
      </c>
      <c r="M47" s="81">
        <v>9</v>
      </c>
      <c r="N47" s="81">
        <v>2010</v>
      </c>
      <c r="O47" s="82">
        <f>DATE(Range!$N47,Range!$M47,Range!$L47)</f>
        <v>40425</v>
      </c>
      <c r="P47" s="82">
        <f t="shared" ca="1" si="0"/>
        <v>46071</v>
      </c>
      <c r="Q47" s="81">
        <f ca="1">DATEDIF(Range!$O47,Range!$P47,"Y")</f>
        <v>15</v>
      </c>
      <c r="R47" s="83">
        <v>6040</v>
      </c>
      <c r="S47" s="84">
        <f>Range!$R47*0.1</f>
        <v>604</v>
      </c>
      <c r="T47" s="85">
        <f>Range!$R47*0.03</f>
        <v>181.2</v>
      </c>
      <c r="U47" s="86">
        <f>Range!$R47-Range!$S47+Range!$T47</f>
        <v>5617.2</v>
      </c>
      <c r="V47" s="87" t="str">
        <f>IF(Range!$U47&gt;=6000,"Over","Normal")</f>
        <v>Normal</v>
      </c>
      <c r="W47" s="88">
        <f>VLOOKUP(Range!$U47,$Z$10:$AA$14,2)</f>
        <v>0.05</v>
      </c>
      <c r="Z47" s="90"/>
    </row>
    <row r="48" spans="1:26" ht="15.75" customHeight="1">
      <c r="A48" s="61">
        <v>1047</v>
      </c>
      <c r="B48" s="62" t="s">
        <v>167</v>
      </c>
      <c r="C48" s="62" t="s">
        <v>168</v>
      </c>
      <c r="D48" s="63" t="str">
        <f>PROPER(TRIM(Range!$C48&amp;" "&amp;Range!$C48))</f>
        <v>Alkhujih Alkhujih</v>
      </c>
      <c r="E48" s="62" t="s">
        <v>100</v>
      </c>
      <c r="F48" s="62" t="s">
        <v>79</v>
      </c>
      <c r="G48" s="62" t="s">
        <v>1100</v>
      </c>
      <c r="H48" s="64" t="s">
        <v>14</v>
      </c>
      <c r="I48" s="64" t="s">
        <v>18</v>
      </c>
      <c r="J48" s="65" t="s">
        <v>10</v>
      </c>
      <c r="K48" s="62" t="s">
        <v>249</v>
      </c>
      <c r="L48" s="66">
        <v>10</v>
      </c>
      <c r="M48" s="67">
        <v>9</v>
      </c>
      <c r="N48" s="67">
        <v>2004</v>
      </c>
      <c r="O48" s="68">
        <f>DATE(Range!$N48,Range!$M48,Range!$L48)</f>
        <v>38240</v>
      </c>
      <c r="P48" s="68">
        <f t="shared" ca="1" si="0"/>
        <v>46071</v>
      </c>
      <c r="Q48" s="67">
        <f ca="1">DATEDIF(Range!$O48,Range!$P48,"Y")</f>
        <v>21</v>
      </c>
      <c r="R48" s="69">
        <v>3842</v>
      </c>
      <c r="S48" s="70">
        <f>Range!$R48*0.1</f>
        <v>384.20000000000005</v>
      </c>
      <c r="T48" s="71">
        <f>Range!$R48*0.03</f>
        <v>115.25999999999999</v>
      </c>
      <c r="U48" s="72">
        <f>Range!$R48-Range!$S48+Range!$T48</f>
        <v>3573.0600000000004</v>
      </c>
      <c r="V48" s="73" t="str">
        <f>IF(Range!$U48&gt;=6000,"Over","Normal")</f>
        <v>Normal</v>
      </c>
      <c r="W48" s="74">
        <f>VLOOKUP(Range!$U48,$Z$10:$AA$14,2)</f>
        <v>0.05</v>
      </c>
      <c r="Z48" s="90"/>
    </row>
    <row r="49" spans="1:26" ht="15.75" customHeight="1">
      <c r="A49" s="75">
        <v>1048</v>
      </c>
      <c r="B49" s="76" t="s">
        <v>169</v>
      </c>
      <c r="C49" s="76" t="s">
        <v>170</v>
      </c>
      <c r="D49" s="77" t="str">
        <f>PROPER(TRIM(Range!$C49&amp;" "&amp;Range!$C49))</f>
        <v>Alealbi Alealbi</v>
      </c>
      <c r="E49" s="76" t="s">
        <v>99</v>
      </c>
      <c r="F49" s="76" t="s">
        <v>80</v>
      </c>
      <c r="G49" s="76" t="s">
        <v>17</v>
      </c>
      <c r="H49" s="78" t="s">
        <v>22</v>
      </c>
      <c r="I49" s="78" t="s">
        <v>264</v>
      </c>
      <c r="J49" s="79" t="s">
        <v>12</v>
      </c>
      <c r="K49" s="76" t="s">
        <v>250</v>
      </c>
      <c r="L49" s="80">
        <v>16</v>
      </c>
      <c r="M49" s="81">
        <v>9</v>
      </c>
      <c r="N49" s="81">
        <v>2005</v>
      </c>
      <c r="O49" s="82">
        <f>DATE(Range!$N49,Range!$M49,Range!$L49)</f>
        <v>38611</v>
      </c>
      <c r="P49" s="82">
        <f t="shared" ca="1" si="0"/>
        <v>46071</v>
      </c>
      <c r="Q49" s="81">
        <f ca="1">DATEDIF(Range!$O49,Range!$P49,"Y")</f>
        <v>20</v>
      </c>
      <c r="R49" s="83">
        <v>1542</v>
      </c>
      <c r="S49" s="84">
        <f>Range!$R49*0.1</f>
        <v>154.20000000000002</v>
      </c>
      <c r="T49" s="85">
        <f>Range!$R49*0.03</f>
        <v>46.26</v>
      </c>
      <c r="U49" s="86">
        <f>Range!$R49-Range!$S49+Range!$T49</f>
        <v>1434.06</v>
      </c>
      <c r="V49" s="87" t="str">
        <f>IF(Range!$U49&gt;=6000,"Over","Normal")</f>
        <v>Normal</v>
      </c>
      <c r="W49" s="88">
        <f>VLOOKUP(Range!$U49,$Z$10:$AA$14,2)</f>
        <v>0.08</v>
      </c>
      <c r="Z49" s="90"/>
    </row>
    <row r="50" spans="1:26" ht="15.75" customHeight="1">
      <c r="A50" s="61">
        <v>1049</v>
      </c>
      <c r="B50" s="62" t="s">
        <v>171</v>
      </c>
      <c r="C50" s="62" t="s">
        <v>158</v>
      </c>
      <c r="D50" s="63" t="str">
        <f>PROPER(TRIM(Range!$C50&amp;" "&amp;Range!$C50))</f>
        <v>Almusaa Almusaa</v>
      </c>
      <c r="E50" s="62" t="s">
        <v>99</v>
      </c>
      <c r="F50" s="62" t="s">
        <v>81</v>
      </c>
      <c r="G50" s="62" t="s">
        <v>17</v>
      </c>
      <c r="H50" s="64" t="s">
        <v>22</v>
      </c>
      <c r="I50" s="64" t="s">
        <v>9</v>
      </c>
      <c r="J50" s="65" t="s">
        <v>12</v>
      </c>
      <c r="K50" s="62" t="s">
        <v>251</v>
      </c>
      <c r="L50" s="66">
        <v>24</v>
      </c>
      <c r="M50" s="67">
        <v>9</v>
      </c>
      <c r="N50" s="67">
        <v>1997</v>
      </c>
      <c r="O50" s="68">
        <f>DATE(Range!$N50,Range!$M50,Range!$L50)</f>
        <v>35697</v>
      </c>
      <c r="P50" s="68">
        <f t="shared" ca="1" si="0"/>
        <v>46071</v>
      </c>
      <c r="Q50" s="67">
        <f ca="1">DATEDIF(Range!$O50,Range!$P50,"Y")</f>
        <v>28</v>
      </c>
      <c r="R50" s="69">
        <v>3134</v>
      </c>
      <c r="S50" s="70">
        <f>Range!$R50*0.1</f>
        <v>313.40000000000003</v>
      </c>
      <c r="T50" s="71">
        <f>Range!$R50*0.03</f>
        <v>94.02</v>
      </c>
      <c r="U50" s="72">
        <f>Range!$R50-Range!$S50+Range!$T50</f>
        <v>2914.62</v>
      </c>
      <c r="V50" s="73" t="str">
        <f>IF(Range!$U50&gt;=6000,"Over","Normal")</f>
        <v>Normal</v>
      </c>
      <c r="W50" s="74">
        <f>VLOOKUP(Range!$U50,$Z$10:$AA$14,2)</f>
        <v>0.08</v>
      </c>
      <c r="Z50" s="90"/>
    </row>
    <row r="51" spans="1:26" ht="15.75" customHeight="1">
      <c r="A51" s="75">
        <v>1050</v>
      </c>
      <c r="B51" s="76" t="s">
        <v>172</v>
      </c>
      <c r="C51" s="76" t="s">
        <v>173</v>
      </c>
      <c r="D51" s="77" t="str">
        <f>PROPER(TRIM(Range!$C51&amp;" "&amp;Range!$C51))</f>
        <v>Aleasimii Aleasimii</v>
      </c>
      <c r="E51" s="76" t="s">
        <v>99</v>
      </c>
      <c r="F51" s="76" t="s">
        <v>82</v>
      </c>
      <c r="G51" s="76" t="s">
        <v>17</v>
      </c>
      <c r="H51" s="78" t="s">
        <v>11</v>
      </c>
      <c r="I51" s="78" t="s">
        <v>25</v>
      </c>
      <c r="J51" s="79" t="s">
        <v>10</v>
      </c>
      <c r="K51" s="76" t="s">
        <v>252</v>
      </c>
      <c r="L51" s="80">
        <v>27</v>
      </c>
      <c r="M51" s="81">
        <v>9</v>
      </c>
      <c r="N51" s="81">
        <v>1993</v>
      </c>
      <c r="O51" s="82">
        <f>DATE(Range!$N51,Range!$M51,Range!$L51)</f>
        <v>34239</v>
      </c>
      <c r="P51" s="82">
        <f t="shared" ca="1" si="0"/>
        <v>46071</v>
      </c>
      <c r="Q51" s="81">
        <f ca="1">DATEDIF(Range!$O51,Range!$P51,"Y")</f>
        <v>32</v>
      </c>
      <c r="R51" s="83">
        <v>4921</v>
      </c>
      <c r="S51" s="84">
        <f>Range!$R51*0.1</f>
        <v>492.1</v>
      </c>
      <c r="T51" s="85">
        <f>Range!$R51*0.03</f>
        <v>147.63</v>
      </c>
      <c r="U51" s="86">
        <f>Range!$R51-Range!$S51+Range!$T51</f>
        <v>4576.53</v>
      </c>
      <c r="V51" s="87" t="str">
        <f>IF(Range!$U51&gt;=6000,"Over","Normal")</f>
        <v>Normal</v>
      </c>
      <c r="W51" s="88">
        <f>VLOOKUP(Range!$U51,$Z$10:$AA$14,2)</f>
        <v>0.05</v>
      </c>
      <c r="Z51" s="90"/>
    </row>
    <row r="52" spans="1:26" ht="15.75" customHeight="1">
      <c r="A52" s="61">
        <v>1051</v>
      </c>
      <c r="B52" s="62" t="s">
        <v>174</v>
      </c>
      <c r="C52" s="62" t="s">
        <v>103</v>
      </c>
      <c r="D52" s="63" t="str">
        <f>PROPER(TRIM(Range!$C52&amp;" "&amp;Range!$C52))</f>
        <v>Muhamad Muhamad</v>
      </c>
      <c r="E52" s="62" t="s">
        <v>100</v>
      </c>
      <c r="F52" s="62" t="s">
        <v>83</v>
      </c>
      <c r="G52" s="62" t="s">
        <v>17</v>
      </c>
      <c r="H52" s="64" t="s">
        <v>14</v>
      </c>
      <c r="I52" s="64" t="s">
        <v>264</v>
      </c>
      <c r="J52" s="65" t="s">
        <v>12</v>
      </c>
      <c r="K52" s="62" t="s">
        <v>220</v>
      </c>
      <c r="L52" s="66">
        <v>11</v>
      </c>
      <c r="M52" s="67">
        <v>2</v>
      </c>
      <c r="N52" s="67">
        <v>2004</v>
      </c>
      <c r="O52" s="68">
        <f>DATE(Range!$N52,Range!$M52,Range!$L52)</f>
        <v>38028</v>
      </c>
      <c r="P52" s="68">
        <f t="shared" ca="1" si="0"/>
        <v>46071</v>
      </c>
      <c r="Q52" s="67">
        <f ca="1">DATEDIF(Range!$O52,Range!$P52,"Y")</f>
        <v>22</v>
      </c>
      <c r="R52" s="69">
        <v>1948</v>
      </c>
      <c r="S52" s="70">
        <f>Range!$R52*0.1</f>
        <v>194.8</v>
      </c>
      <c r="T52" s="71">
        <f>Range!$R52*0.03</f>
        <v>58.44</v>
      </c>
      <c r="U52" s="72">
        <f>Range!$R52-Range!$S52+Range!$T52</f>
        <v>1811.64</v>
      </c>
      <c r="V52" s="73" t="str">
        <f>IF(Range!$U52&gt;=6000,"Over","Normal")</f>
        <v>Normal</v>
      </c>
      <c r="W52" s="74">
        <f>VLOOKUP(Range!$U52,$Z$10:$AA$14,2)</f>
        <v>0.08</v>
      </c>
      <c r="Z52" s="90"/>
    </row>
    <row r="53" spans="1:26" ht="15.75" customHeight="1">
      <c r="A53" s="75">
        <v>1052</v>
      </c>
      <c r="B53" s="76" t="s">
        <v>175</v>
      </c>
      <c r="C53" s="76" t="s">
        <v>176</v>
      </c>
      <c r="D53" s="77" t="str">
        <f>PROPER(TRIM(Range!$C53&amp;" "&amp;Range!$C53))</f>
        <v>Eubayd Eubayd</v>
      </c>
      <c r="E53" s="76" t="s">
        <v>100</v>
      </c>
      <c r="F53" s="76" t="s">
        <v>84</v>
      </c>
      <c r="G53" s="76" t="s">
        <v>19</v>
      </c>
      <c r="H53" s="78" t="s">
        <v>14</v>
      </c>
      <c r="I53" s="78" t="s">
        <v>25</v>
      </c>
      <c r="J53" s="79" t="s">
        <v>23</v>
      </c>
      <c r="K53" s="76" t="s">
        <v>253</v>
      </c>
      <c r="L53" s="80">
        <v>11</v>
      </c>
      <c r="M53" s="81">
        <v>2</v>
      </c>
      <c r="N53" s="81">
        <v>2001</v>
      </c>
      <c r="O53" s="82">
        <f>DATE(Range!$N53,Range!$M53,Range!$L53)</f>
        <v>36933</v>
      </c>
      <c r="P53" s="82">
        <f t="shared" ca="1" si="0"/>
        <v>46071</v>
      </c>
      <c r="Q53" s="81">
        <f ca="1">DATEDIF(Range!$O53,Range!$P53,"Y")</f>
        <v>25</v>
      </c>
      <c r="R53" s="83">
        <v>3294</v>
      </c>
      <c r="S53" s="84">
        <f>Range!$R53*0.1</f>
        <v>329.40000000000003</v>
      </c>
      <c r="T53" s="85">
        <f>Range!$R53*0.03</f>
        <v>98.82</v>
      </c>
      <c r="U53" s="86">
        <f>Range!$R53-Range!$S53+Range!$T53</f>
        <v>3063.42</v>
      </c>
      <c r="V53" s="87" t="str">
        <f>IF(Range!$U53&gt;=6000,"Over","Normal")</f>
        <v>Normal</v>
      </c>
      <c r="W53" s="88">
        <f>VLOOKUP(Range!$U53,$Z$10:$AA$14,2)</f>
        <v>0.05</v>
      </c>
      <c r="Z53" s="90"/>
    </row>
    <row r="54" spans="1:26" ht="15.75" customHeight="1">
      <c r="A54" s="61">
        <v>1053</v>
      </c>
      <c r="B54" s="62" t="s">
        <v>177</v>
      </c>
      <c r="C54" s="62" t="s">
        <v>178</v>
      </c>
      <c r="D54" s="63" t="str">
        <f>PROPER(TRIM(Range!$C54&amp;" "&amp;Range!$C54))</f>
        <v>Karim Karim</v>
      </c>
      <c r="E54" s="62" t="s">
        <v>100</v>
      </c>
      <c r="F54" s="62" t="s">
        <v>85</v>
      </c>
      <c r="G54" s="62" t="s">
        <v>1100</v>
      </c>
      <c r="H54" s="64" t="s">
        <v>11</v>
      </c>
      <c r="I54" s="64" t="s">
        <v>264</v>
      </c>
      <c r="J54" s="65" t="s">
        <v>10</v>
      </c>
      <c r="K54" s="62" t="s">
        <v>254</v>
      </c>
      <c r="L54" s="66">
        <v>17</v>
      </c>
      <c r="M54" s="67">
        <v>2</v>
      </c>
      <c r="N54" s="67">
        <v>1999</v>
      </c>
      <c r="O54" s="68">
        <f>DATE(Range!$N54,Range!$M54,Range!$L54)</f>
        <v>36208</v>
      </c>
      <c r="P54" s="68">
        <f t="shared" ca="1" si="0"/>
        <v>46071</v>
      </c>
      <c r="Q54" s="67">
        <f ca="1">DATEDIF(Range!$O54,Range!$P54,"Y")</f>
        <v>27</v>
      </c>
      <c r="R54" s="69">
        <v>7123</v>
      </c>
      <c r="S54" s="70">
        <f>Range!$R54*0.1</f>
        <v>712.30000000000007</v>
      </c>
      <c r="T54" s="71">
        <f>Range!$R54*0.03</f>
        <v>213.69</v>
      </c>
      <c r="U54" s="72">
        <f>Range!$R54-Range!$S54+Range!$T54</f>
        <v>6624.3899999999994</v>
      </c>
      <c r="V54" s="73" t="str">
        <f>IF(Range!$U54&gt;=6000,"Over","Normal")</f>
        <v>Over</v>
      </c>
      <c r="W54" s="74">
        <f>VLOOKUP(Range!$U54,$Z$10:$AA$14,2)</f>
        <v>0.02</v>
      </c>
      <c r="Z54" s="90"/>
    </row>
    <row r="55" spans="1:26" ht="15.75" customHeight="1">
      <c r="A55" s="75">
        <v>1054</v>
      </c>
      <c r="B55" s="76" t="s">
        <v>179</v>
      </c>
      <c r="C55" s="76" t="s">
        <v>180</v>
      </c>
      <c r="D55" s="77" t="str">
        <f>PROPER(TRIM(Range!$C55&amp;" "&amp;Range!$C55))</f>
        <v>Salayk Salayk</v>
      </c>
      <c r="E55" s="76" t="s">
        <v>100</v>
      </c>
      <c r="F55" s="76" t="s">
        <v>86</v>
      </c>
      <c r="G55" s="76" t="s">
        <v>13</v>
      </c>
      <c r="H55" s="78" t="s">
        <v>8</v>
      </c>
      <c r="I55" s="78" t="s">
        <v>25</v>
      </c>
      <c r="J55" s="79" t="s">
        <v>10</v>
      </c>
      <c r="K55" s="76" t="s">
        <v>255</v>
      </c>
      <c r="L55" s="80">
        <v>25</v>
      </c>
      <c r="M55" s="81">
        <v>2</v>
      </c>
      <c r="N55" s="81">
        <v>2006</v>
      </c>
      <c r="O55" s="82">
        <f>DATE(Range!$N55,Range!$M55,Range!$L55)</f>
        <v>38773</v>
      </c>
      <c r="P55" s="82">
        <f t="shared" ca="1" si="0"/>
        <v>46071</v>
      </c>
      <c r="Q55" s="81">
        <f ca="1">DATEDIF(Range!$O55,Range!$P55,"Y")</f>
        <v>19</v>
      </c>
      <c r="R55" s="83">
        <v>7236</v>
      </c>
      <c r="S55" s="84">
        <f>Range!$R55*0.1</f>
        <v>723.6</v>
      </c>
      <c r="T55" s="85">
        <f>Range!$R55*0.03</f>
        <v>217.07999999999998</v>
      </c>
      <c r="U55" s="86">
        <f>Range!$R55-Range!$S55+Range!$T55</f>
        <v>6729.48</v>
      </c>
      <c r="V55" s="87" t="str">
        <f>IF(Range!$U55&gt;=6000,"Over","Normal")</f>
        <v>Over</v>
      </c>
      <c r="W55" s="88">
        <f>VLOOKUP(Range!$U55,$Z$10:$AA$14,2)</f>
        <v>0.02</v>
      </c>
      <c r="Z55" s="90"/>
    </row>
    <row r="56" spans="1:26" ht="15.75" customHeight="1">
      <c r="A56" s="61">
        <v>1055</v>
      </c>
      <c r="B56" s="62" t="s">
        <v>181</v>
      </c>
      <c r="C56" s="62" t="s">
        <v>182</v>
      </c>
      <c r="D56" s="63" t="str">
        <f>PROPER(TRIM(Range!$C56&amp;" "&amp;Range!$C56))</f>
        <v>Alttahir Alttahir</v>
      </c>
      <c r="E56" s="62" t="s">
        <v>100</v>
      </c>
      <c r="F56" s="62" t="s">
        <v>87</v>
      </c>
      <c r="G56" s="62" t="s">
        <v>1100</v>
      </c>
      <c r="H56" s="64" t="s">
        <v>8</v>
      </c>
      <c r="I56" s="64" t="s">
        <v>29</v>
      </c>
      <c r="J56" s="65" t="s">
        <v>12</v>
      </c>
      <c r="K56" s="62" t="s">
        <v>256</v>
      </c>
      <c r="L56" s="66">
        <v>26</v>
      </c>
      <c r="M56" s="67">
        <v>2</v>
      </c>
      <c r="N56" s="67">
        <v>1998</v>
      </c>
      <c r="O56" s="68">
        <f>DATE(Range!$N56,Range!$M56,Range!$L56)</f>
        <v>35852</v>
      </c>
      <c r="P56" s="68">
        <f t="shared" ca="1" si="0"/>
        <v>46071</v>
      </c>
      <c r="Q56" s="67">
        <f ca="1">DATEDIF(Range!$O56,Range!$P56,"Y")</f>
        <v>27</v>
      </c>
      <c r="R56" s="69">
        <v>6843</v>
      </c>
      <c r="S56" s="70">
        <f>Range!$R56*0.1</f>
        <v>684.30000000000007</v>
      </c>
      <c r="T56" s="71">
        <f>Range!$R56*0.03</f>
        <v>205.29</v>
      </c>
      <c r="U56" s="72">
        <f>Range!$R56-Range!$S56+Range!$T56</f>
        <v>6363.99</v>
      </c>
      <c r="V56" s="73" t="str">
        <f>IF(Range!$U56&gt;=6000,"Over","Normal")</f>
        <v>Over</v>
      </c>
      <c r="W56" s="74">
        <f>VLOOKUP(Range!$U56,$Z$10:$AA$14,2)</f>
        <v>0.02</v>
      </c>
      <c r="Z56" s="90"/>
    </row>
    <row r="57" spans="1:26" ht="15.75" customHeight="1">
      <c r="A57" s="75">
        <v>1056</v>
      </c>
      <c r="B57" s="76" t="s">
        <v>183</v>
      </c>
      <c r="C57" s="76" t="s">
        <v>184</v>
      </c>
      <c r="D57" s="77" t="str">
        <f>PROPER(TRIM(Range!$C57&amp;" "&amp;Range!$C57))</f>
        <v>Alzzahir Alzzahir</v>
      </c>
      <c r="E57" s="76" t="s">
        <v>100</v>
      </c>
      <c r="F57" s="76" t="s">
        <v>88</v>
      </c>
      <c r="G57" s="76" t="s">
        <v>1100</v>
      </c>
      <c r="H57" s="78" t="s">
        <v>22</v>
      </c>
      <c r="I57" s="78" t="s">
        <v>29</v>
      </c>
      <c r="J57" s="79" t="s">
        <v>12</v>
      </c>
      <c r="K57" s="76" t="s">
        <v>257</v>
      </c>
      <c r="L57" s="80">
        <v>2</v>
      </c>
      <c r="M57" s="81">
        <v>3</v>
      </c>
      <c r="N57" s="81">
        <v>2020</v>
      </c>
      <c r="O57" s="82">
        <f>DATE(Range!$N57,Range!$M57,Range!$L57)</f>
        <v>43892</v>
      </c>
      <c r="P57" s="82">
        <f t="shared" ca="1" si="0"/>
        <v>46071</v>
      </c>
      <c r="Q57" s="81">
        <f ca="1">DATEDIF(Range!$O57,Range!$P57,"Y")</f>
        <v>5</v>
      </c>
      <c r="R57" s="83">
        <v>1070</v>
      </c>
      <c r="S57" s="84">
        <f>Range!$R57*0.1</f>
        <v>107</v>
      </c>
      <c r="T57" s="85">
        <f>Range!$R57*0.03</f>
        <v>32.1</v>
      </c>
      <c r="U57" s="86">
        <f>Range!$R57-Range!$S57+Range!$T57</f>
        <v>995.1</v>
      </c>
      <c r="V57" s="87" t="str">
        <f>IF(Range!$U57&gt;=6000,"Over","Normal")</f>
        <v>Normal</v>
      </c>
      <c r="W57" s="88">
        <f>VLOOKUP(Range!$U57,$Z$10:$AA$14,2)</f>
        <v>0.1</v>
      </c>
      <c r="Z57" s="90"/>
    </row>
    <row r="58" spans="1:26" ht="15.75" customHeight="1">
      <c r="A58" s="61">
        <v>1057</v>
      </c>
      <c r="B58" s="62" t="s">
        <v>185</v>
      </c>
      <c r="C58" s="62" t="s">
        <v>186</v>
      </c>
      <c r="D58" s="63" t="str">
        <f>PROPER(TRIM(Range!$C58&amp;" "&amp;Range!$C58))</f>
        <v>Ashbrh Ashbrh</v>
      </c>
      <c r="E58" s="62" t="s">
        <v>99</v>
      </c>
      <c r="F58" s="62" t="s">
        <v>89</v>
      </c>
      <c r="G58" s="62" t="s">
        <v>13</v>
      </c>
      <c r="H58" s="64" t="s">
        <v>22</v>
      </c>
      <c r="I58" s="64" t="s">
        <v>25</v>
      </c>
      <c r="J58" s="65" t="s">
        <v>10</v>
      </c>
      <c r="K58" s="62" t="s">
        <v>258</v>
      </c>
      <c r="L58" s="66">
        <v>10</v>
      </c>
      <c r="M58" s="67">
        <v>3</v>
      </c>
      <c r="N58" s="67">
        <v>1996</v>
      </c>
      <c r="O58" s="68">
        <f>DATE(Range!$N58,Range!$M58,Range!$L58)</f>
        <v>35134</v>
      </c>
      <c r="P58" s="68">
        <f t="shared" ca="1" si="0"/>
        <v>46071</v>
      </c>
      <c r="Q58" s="67">
        <f ca="1">DATEDIF(Range!$O58,Range!$P58,"Y")</f>
        <v>29</v>
      </c>
      <c r="R58" s="69">
        <v>1493</v>
      </c>
      <c r="S58" s="70">
        <f>Range!$R58*0.1</f>
        <v>149.30000000000001</v>
      </c>
      <c r="T58" s="71">
        <f>Range!$R58*0.03</f>
        <v>44.79</v>
      </c>
      <c r="U58" s="72">
        <f>Range!$R58-Range!$S58+Range!$T58</f>
        <v>1388.49</v>
      </c>
      <c r="V58" s="73" t="str">
        <f>IF(Range!$U58&gt;=6000,"Over","Normal")</f>
        <v>Normal</v>
      </c>
      <c r="W58" s="74">
        <f>VLOOKUP(Range!$U58,$Z$10:$AA$14,2)</f>
        <v>0.08</v>
      </c>
      <c r="Z58" s="90"/>
    </row>
    <row r="59" spans="1:26" ht="15.75" customHeight="1">
      <c r="A59" s="75">
        <v>1058</v>
      </c>
      <c r="B59" s="76" t="s">
        <v>187</v>
      </c>
      <c r="C59" s="76" t="s">
        <v>188</v>
      </c>
      <c r="D59" s="77" t="str">
        <f>PROPER(TRIM(Range!$C59&amp;" "&amp;Range!$C59))</f>
        <v>Dahadal Dahadal</v>
      </c>
      <c r="E59" s="76" t="s">
        <v>99</v>
      </c>
      <c r="F59" s="76" t="s">
        <v>90</v>
      </c>
      <c r="G59" s="76" t="s">
        <v>19</v>
      </c>
      <c r="H59" s="78" t="s">
        <v>8</v>
      </c>
      <c r="I59" s="78" t="s">
        <v>25</v>
      </c>
      <c r="J59" s="79" t="s">
        <v>12</v>
      </c>
      <c r="K59" s="76" t="s">
        <v>259</v>
      </c>
      <c r="L59" s="80">
        <v>6</v>
      </c>
      <c r="M59" s="81">
        <v>4</v>
      </c>
      <c r="N59" s="81">
        <v>2011</v>
      </c>
      <c r="O59" s="82">
        <f>DATE(Range!$N59,Range!$M59,Range!$L59)</f>
        <v>40639</v>
      </c>
      <c r="P59" s="82">
        <f t="shared" ca="1" si="0"/>
        <v>46071</v>
      </c>
      <c r="Q59" s="81">
        <f ca="1">DATEDIF(Range!$O59,Range!$P59,"Y")</f>
        <v>14</v>
      </c>
      <c r="R59" s="83">
        <v>5857</v>
      </c>
      <c r="S59" s="84">
        <f>Range!$R59*0.1</f>
        <v>585.70000000000005</v>
      </c>
      <c r="T59" s="85">
        <f>Range!$R59*0.03</f>
        <v>175.70999999999998</v>
      </c>
      <c r="U59" s="86">
        <f>Range!$R59-Range!$S59+Range!$T59</f>
        <v>5447.01</v>
      </c>
      <c r="V59" s="87" t="str">
        <f>IF(Range!$U59&gt;=6000,"Over","Normal")</f>
        <v>Normal</v>
      </c>
      <c r="W59" s="88">
        <f>VLOOKUP(Range!$U59,$Z$10:$AA$14,2)</f>
        <v>0.05</v>
      </c>
      <c r="Z59" s="90"/>
    </row>
    <row r="60" spans="1:26" ht="15.75" customHeight="1">
      <c r="A60" s="61">
        <v>1059</v>
      </c>
      <c r="B60" s="62" t="s">
        <v>189</v>
      </c>
      <c r="C60" s="62" t="s">
        <v>190</v>
      </c>
      <c r="D60" s="63" t="str">
        <f>PROPER(TRIM(Range!$C60&amp;" "&amp;Range!$C60))</f>
        <v>Tuish Tuish</v>
      </c>
      <c r="E60" s="62" t="s">
        <v>99</v>
      </c>
      <c r="F60" s="62" t="s">
        <v>91</v>
      </c>
      <c r="G60" s="62" t="s">
        <v>19</v>
      </c>
      <c r="H60" s="64" t="s">
        <v>11</v>
      </c>
      <c r="I60" s="64" t="s">
        <v>264</v>
      </c>
      <c r="J60" s="65" t="s">
        <v>12</v>
      </c>
      <c r="K60" s="62" t="s">
        <v>260</v>
      </c>
      <c r="L60" s="66">
        <v>12</v>
      </c>
      <c r="M60" s="67">
        <v>4</v>
      </c>
      <c r="N60" s="67">
        <v>2011</v>
      </c>
      <c r="O60" s="68">
        <f>DATE(Range!$N60,Range!$M60,Range!$L60)</f>
        <v>40645</v>
      </c>
      <c r="P60" s="68">
        <f t="shared" ca="1" si="0"/>
        <v>46071</v>
      </c>
      <c r="Q60" s="67">
        <f ca="1">DATEDIF(Range!$O60,Range!$P60,"Y")</f>
        <v>14</v>
      </c>
      <c r="R60" s="69">
        <v>5278</v>
      </c>
      <c r="S60" s="70">
        <f>Range!$R60*0.1</f>
        <v>527.80000000000007</v>
      </c>
      <c r="T60" s="71">
        <f>Range!$R60*0.03</f>
        <v>158.34</v>
      </c>
      <c r="U60" s="72">
        <f>Range!$R60-Range!$S60+Range!$T60</f>
        <v>4908.54</v>
      </c>
      <c r="V60" s="73" t="str">
        <f>IF(Range!$U60&gt;=6000,"Over","Normal")</f>
        <v>Normal</v>
      </c>
      <c r="W60" s="74">
        <f>VLOOKUP(Range!$U60,$Z$10:$AA$14,2)</f>
        <v>0.05</v>
      </c>
      <c r="Z60" s="90"/>
    </row>
    <row r="61" spans="1:26" ht="15.75" customHeight="1">
      <c r="A61" s="75">
        <v>1060</v>
      </c>
      <c r="B61" s="76" t="s">
        <v>103</v>
      </c>
      <c r="C61" s="76" t="s">
        <v>191</v>
      </c>
      <c r="D61" s="77" t="str">
        <f>PROPER(TRIM(Range!$C61&amp;" "&amp;Range!$C61))</f>
        <v>Qarh Qarh</v>
      </c>
      <c r="E61" s="76" t="s">
        <v>100</v>
      </c>
      <c r="F61" s="76" t="s">
        <v>92</v>
      </c>
      <c r="G61" s="76" t="s">
        <v>1100</v>
      </c>
      <c r="H61" s="78" t="s">
        <v>8</v>
      </c>
      <c r="I61" s="78" t="s">
        <v>26</v>
      </c>
      <c r="J61" s="79" t="s">
        <v>12</v>
      </c>
      <c r="K61" s="76" t="s">
        <v>261</v>
      </c>
      <c r="L61" s="80">
        <v>13</v>
      </c>
      <c r="M61" s="81">
        <v>4</v>
      </c>
      <c r="N61" s="81">
        <v>2021</v>
      </c>
      <c r="O61" s="82">
        <f>DATE(Range!$N61,Range!$M61,Range!$L61)</f>
        <v>44299</v>
      </c>
      <c r="P61" s="82">
        <f t="shared" ca="1" si="0"/>
        <v>46071</v>
      </c>
      <c r="Q61" s="81">
        <f ca="1">DATEDIF(Range!$O61,Range!$P61,"Y")</f>
        <v>4</v>
      </c>
      <c r="R61" s="83">
        <v>5710</v>
      </c>
      <c r="S61" s="84">
        <f>Range!$R61*0.1</f>
        <v>571</v>
      </c>
      <c r="T61" s="85">
        <f>Range!$R61*0.03</f>
        <v>171.29999999999998</v>
      </c>
      <c r="U61" s="86">
        <f>Range!$R61-Range!$S61+Range!$T61</f>
        <v>5310.3</v>
      </c>
      <c r="V61" s="87" t="str">
        <f>IF(Range!$U61&gt;=6000,"Over","Normal")</f>
        <v>Normal</v>
      </c>
      <c r="W61" s="88">
        <f>VLOOKUP(Range!$U61,$Z$10:$AA$14,2)</f>
        <v>0.05</v>
      </c>
      <c r="Z61" s="90"/>
    </row>
    <row r="62" spans="1:26" ht="15.75" customHeight="1">
      <c r="A62" s="61">
        <v>1061</v>
      </c>
      <c r="B62" s="62" t="s">
        <v>142</v>
      </c>
      <c r="C62" s="62" t="s">
        <v>192</v>
      </c>
      <c r="D62" s="63" t="str">
        <f>PROPER(TRIM(Range!$C62&amp;" "&amp;Range!$C62))</f>
        <v>Almisri Almisri</v>
      </c>
      <c r="E62" s="62" t="s">
        <v>99</v>
      </c>
      <c r="F62" s="62" t="s">
        <v>93</v>
      </c>
      <c r="G62" s="62" t="s">
        <v>13</v>
      </c>
      <c r="H62" s="64" t="s">
        <v>8</v>
      </c>
      <c r="I62" s="64" t="s">
        <v>15</v>
      </c>
      <c r="J62" s="65" t="s">
        <v>12</v>
      </c>
      <c r="K62" s="62" t="s">
        <v>262</v>
      </c>
      <c r="L62" s="66">
        <v>28</v>
      </c>
      <c r="M62" s="67">
        <v>4</v>
      </c>
      <c r="N62" s="67">
        <v>2013</v>
      </c>
      <c r="O62" s="68">
        <f>DATE(Range!$N62,Range!$M62,Range!$L62)</f>
        <v>41392</v>
      </c>
      <c r="P62" s="68">
        <f t="shared" ca="1" si="0"/>
        <v>46071</v>
      </c>
      <c r="Q62" s="67">
        <f ca="1">DATEDIF(Range!$O62,Range!$P62,"Y")</f>
        <v>12</v>
      </c>
      <c r="R62" s="69">
        <v>6145</v>
      </c>
      <c r="S62" s="70">
        <f>Range!$R62*0.1</f>
        <v>614.5</v>
      </c>
      <c r="T62" s="71">
        <f>Range!$R62*0.03</f>
        <v>184.35</v>
      </c>
      <c r="U62" s="72">
        <f>Range!$R62-Range!$S62+Range!$T62</f>
        <v>5714.85</v>
      </c>
      <c r="V62" s="73" t="str">
        <f>IF(Range!$U62&gt;=6000,"Over","Normal")</f>
        <v>Normal</v>
      </c>
      <c r="W62" s="74">
        <f>VLOOKUP(Range!$U62,$Z$10:$AA$14,2)</f>
        <v>0.05</v>
      </c>
      <c r="Z62" s="90"/>
    </row>
    <row r="63" spans="1:26" ht="15.75" customHeight="1">
      <c r="A63" s="75">
        <v>1062</v>
      </c>
      <c r="B63" s="76" t="s">
        <v>103</v>
      </c>
      <c r="C63" s="76" t="s">
        <v>193</v>
      </c>
      <c r="D63" s="77" t="str">
        <f>PROPER(TRIM(Range!$C63&amp;" "&amp;Range!$C63))</f>
        <v>Alzaybq Alzaybq</v>
      </c>
      <c r="E63" s="76" t="s">
        <v>100</v>
      </c>
      <c r="F63" s="76" t="s">
        <v>94</v>
      </c>
      <c r="G63" s="76" t="s">
        <v>17</v>
      </c>
      <c r="H63" s="78" t="s">
        <v>11</v>
      </c>
      <c r="I63" s="78" t="s">
        <v>26</v>
      </c>
      <c r="J63" s="79" t="s">
        <v>23</v>
      </c>
      <c r="K63" s="76" t="s">
        <v>263</v>
      </c>
      <c r="L63" s="80">
        <v>1</v>
      </c>
      <c r="M63" s="81">
        <v>5</v>
      </c>
      <c r="N63" s="81">
        <v>1993</v>
      </c>
      <c r="O63" s="82">
        <f>DATE(Range!$N63,Range!$M63,Range!$L63)</f>
        <v>34090</v>
      </c>
      <c r="P63" s="82">
        <f t="shared" ca="1" si="0"/>
        <v>46071</v>
      </c>
      <c r="Q63" s="81">
        <f ca="1">DATEDIF(Range!$O63,Range!$P63,"Y")</f>
        <v>32</v>
      </c>
      <c r="R63" s="83">
        <v>5278</v>
      </c>
      <c r="S63" s="84">
        <f>Range!$R63*0.1</f>
        <v>527.80000000000007</v>
      </c>
      <c r="T63" s="85">
        <f>Range!$R63*0.03</f>
        <v>158.34</v>
      </c>
      <c r="U63" s="86">
        <f>Range!$R63-Range!$S63+Range!$T63</f>
        <v>4908.54</v>
      </c>
      <c r="V63" s="87" t="str">
        <f>IF(Range!$U63&gt;=6000,"Over","Normal")</f>
        <v>Normal</v>
      </c>
      <c r="W63" s="88">
        <f>VLOOKUP(Range!$U63,$Z$10:$AA$14,2)</f>
        <v>0.05</v>
      </c>
      <c r="Z63" s="90"/>
    </row>
    <row r="64" spans="1:26" ht="15.75" customHeight="1">
      <c r="A64" s="61">
        <v>1063</v>
      </c>
      <c r="B64" s="62" t="s">
        <v>103</v>
      </c>
      <c r="C64" s="62" t="s">
        <v>278</v>
      </c>
      <c r="D64" s="63" t="str">
        <f>PROPER(TRIM(Range!$C64&amp;" "&amp;Range!$C64))</f>
        <v>Rajab Rajab</v>
      </c>
      <c r="E64" s="62" t="s">
        <v>100</v>
      </c>
      <c r="F64" s="62" t="s">
        <v>621</v>
      </c>
      <c r="G64" s="62" t="s">
        <v>1100</v>
      </c>
      <c r="H64" s="64" t="s">
        <v>11</v>
      </c>
      <c r="I64" s="64" t="s">
        <v>9</v>
      </c>
      <c r="J64" s="65" t="s">
        <v>12</v>
      </c>
      <c r="K64" s="62" t="s">
        <v>859</v>
      </c>
      <c r="L64" s="66">
        <v>12</v>
      </c>
      <c r="M64" s="67">
        <v>2</v>
      </c>
      <c r="N64" s="67">
        <v>1999</v>
      </c>
      <c r="O64" s="68">
        <f>DATE(Range!$N64,Range!$M64,Range!$L64)</f>
        <v>36203</v>
      </c>
      <c r="P64" s="68">
        <f t="shared" ca="1" si="0"/>
        <v>46071</v>
      </c>
      <c r="Q64" s="67">
        <f ca="1">DATEDIF(Range!$O64,Range!$P64,"Y")</f>
        <v>27</v>
      </c>
      <c r="R64" s="69">
        <v>6548</v>
      </c>
      <c r="S64" s="70">
        <f>Range!$R64*0.1</f>
        <v>654.80000000000007</v>
      </c>
      <c r="T64" s="71">
        <f>Range!$R64*0.03</f>
        <v>196.44</v>
      </c>
      <c r="U64" s="72">
        <f>Range!$R64-Range!$S64+Range!$T64</f>
        <v>6089.6399999999994</v>
      </c>
      <c r="V64" s="73" t="str">
        <f>IF(Range!$U64&gt;=6000,"Over","Normal")</f>
        <v>Over</v>
      </c>
      <c r="W64" s="74">
        <f>VLOOKUP(Range!$U64,$Z$10:$AA$14,2)</f>
        <v>0.02</v>
      </c>
    </row>
    <row r="65" spans="1:23" ht="15.75" customHeight="1">
      <c r="A65" s="75">
        <v>1064</v>
      </c>
      <c r="B65" s="76" t="s">
        <v>279</v>
      </c>
      <c r="C65" s="76" t="s">
        <v>280</v>
      </c>
      <c r="D65" s="77" t="str">
        <f>PROPER(TRIM(Range!$C65&amp;" "&amp;Range!$C65))</f>
        <v>Hmshw Hmshw</v>
      </c>
      <c r="E65" s="76" t="s">
        <v>99</v>
      </c>
      <c r="F65" s="76" t="s">
        <v>622</v>
      </c>
      <c r="G65" s="76" t="s">
        <v>7</v>
      </c>
      <c r="H65" s="78" t="s">
        <v>11</v>
      </c>
      <c r="I65" s="78" t="s">
        <v>25</v>
      </c>
      <c r="J65" s="79" t="s">
        <v>12</v>
      </c>
      <c r="K65" s="76" t="s">
        <v>860</v>
      </c>
      <c r="L65" s="80">
        <v>21</v>
      </c>
      <c r="M65" s="81">
        <v>1</v>
      </c>
      <c r="N65" s="81">
        <v>2006</v>
      </c>
      <c r="O65" s="82">
        <f>DATE(Range!$N65,Range!$M65,Range!$L65)</f>
        <v>38738</v>
      </c>
      <c r="P65" s="82">
        <f t="shared" ca="1" si="0"/>
        <v>46071</v>
      </c>
      <c r="Q65" s="81">
        <f ca="1">DATEDIF(Range!$O65,Range!$P65,"Y")</f>
        <v>20</v>
      </c>
      <c r="R65" s="83">
        <v>7175</v>
      </c>
      <c r="S65" s="84">
        <f>Range!$R65*0.1</f>
        <v>717.5</v>
      </c>
      <c r="T65" s="85">
        <f>Range!$R65*0.03</f>
        <v>215.25</v>
      </c>
      <c r="U65" s="86">
        <f>Range!$R65-Range!$S65+Range!$T65</f>
        <v>6672.75</v>
      </c>
      <c r="V65" s="87" t="str">
        <f>IF(Range!$U65&gt;=6000,"Over","Normal")</f>
        <v>Over</v>
      </c>
      <c r="W65" s="88">
        <f>VLOOKUP(Range!$U65,$Z$10:$AA$14,2)</f>
        <v>0.02</v>
      </c>
    </row>
    <row r="66" spans="1:23" ht="15.75" customHeight="1">
      <c r="A66" s="61">
        <v>1065</v>
      </c>
      <c r="B66" s="62" t="s">
        <v>281</v>
      </c>
      <c r="C66" s="62" t="s">
        <v>282</v>
      </c>
      <c r="D66" s="63" t="str">
        <f>PROPER(TRIM(Range!$C66&amp;" "&amp;Range!$C66))</f>
        <v>Sharaf Sharaf</v>
      </c>
      <c r="E66" s="62" t="s">
        <v>99</v>
      </c>
      <c r="F66" s="62" t="s">
        <v>623</v>
      </c>
      <c r="G66" s="62" t="s">
        <v>13</v>
      </c>
      <c r="H66" s="64" t="s">
        <v>8</v>
      </c>
      <c r="I66" s="64" t="s">
        <v>9</v>
      </c>
      <c r="J66" s="65" t="s">
        <v>10</v>
      </c>
      <c r="K66" s="62" t="s">
        <v>207</v>
      </c>
      <c r="L66" s="66">
        <v>9</v>
      </c>
      <c r="M66" s="67">
        <v>3</v>
      </c>
      <c r="N66" s="67">
        <v>1996</v>
      </c>
      <c r="O66" s="68">
        <f>DATE(Range!$N66,Range!$M66,Range!$L66)</f>
        <v>35133</v>
      </c>
      <c r="P66" s="68">
        <f t="shared" ref="P66:P129" ca="1" si="1">TODAY()</f>
        <v>46071</v>
      </c>
      <c r="Q66" s="67">
        <f ca="1">DATEDIF(Range!$O66,Range!$P66,"Y")</f>
        <v>29</v>
      </c>
      <c r="R66" s="69">
        <v>4070</v>
      </c>
      <c r="S66" s="70">
        <f>Range!$R66*0.1</f>
        <v>407</v>
      </c>
      <c r="T66" s="71">
        <f>Range!$R66*0.03</f>
        <v>122.1</v>
      </c>
      <c r="U66" s="72">
        <f>Range!$R66-Range!$S66+Range!$T66</f>
        <v>3785.1</v>
      </c>
      <c r="V66" s="73" t="str">
        <f>IF(Range!$U66&gt;=6000,"Over","Normal")</f>
        <v>Normal</v>
      </c>
      <c r="W66" s="74">
        <f>VLOOKUP(Range!$U66,$Z$10:$AA$14,2)</f>
        <v>0.05</v>
      </c>
    </row>
    <row r="67" spans="1:23" ht="15.75" customHeight="1">
      <c r="A67" s="75">
        <v>1066</v>
      </c>
      <c r="B67" s="76" t="s">
        <v>102</v>
      </c>
      <c r="C67" s="76" t="s">
        <v>283</v>
      </c>
      <c r="D67" s="77" t="str">
        <f>PROPER(TRIM(Range!$C67&amp;" "&amp;Range!$C67))</f>
        <v>Bikri Bikri</v>
      </c>
      <c r="E67" s="76" t="s">
        <v>100</v>
      </c>
      <c r="F67" s="76" t="s">
        <v>624</v>
      </c>
      <c r="G67" s="76" t="s">
        <v>1100</v>
      </c>
      <c r="H67" s="78" t="s">
        <v>11</v>
      </c>
      <c r="I67" s="78" t="s">
        <v>15</v>
      </c>
      <c r="J67" s="79" t="s">
        <v>10</v>
      </c>
      <c r="K67" s="76" t="s">
        <v>209</v>
      </c>
      <c r="L67" s="80">
        <v>4</v>
      </c>
      <c r="M67" s="81">
        <v>11</v>
      </c>
      <c r="N67" s="81">
        <v>2006</v>
      </c>
      <c r="O67" s="82">
        <f>DATE(Range!$N67,Range!$M67,Range!$L67)</f>
        <v>39025</v>
      </c>
      <c r="P67" s="82">
        <f t="shared" ca="1" si="1"/>
        <v>46071</v>
      </c>
      <c r="Q67" s="81">
        <f ca="1">DATEDIF(Range!$O67,Range!$P67,"Y")</f>
        <v>19</v>
      </c>
      <c r="R67" s="83">
        <v>1906</v>
      </c>
      <c r="S67" s="84">
        <f>Range!$R67*0.1</f>
        <v>190.60000000000002</v>
      </c>
      <c r="T67" s="85">
        <f>Range!$R67*0.03</f>
        <v>57.18</v>
      </c>
      <c r="U67" s="86">
        <f>Range!$R67-Range!$S67+Range!$T67</f>
        <v>1772.5800000000002</v>
      </c>
      <c r="V67" s="87" t="str">
        <f>IF(Range!$U67&gt;=6000,"Over","Normal")</f>
        <v>Normal</v>
      </c>
      <c r="W67" s="88">
        <f>VLOOKUP(Range!$U67,$Z$10:$AA$14,2)</f>
        <v>0.08</v>
      </c>
    </row>
    <row r="68" spans="1:23" ht="15.75" customHeight="1">
      <c r="A68" s="61">
        <v>1067</v>
      </c>
      <c r="B68" s="62" t="s">
        <v>284</v>
      </c>
      <c r="C68" s="62" t="s">
        <v>285</v>
      </c>
      <c r="D68" s="63" t="str">
        <f>PROPER(TRIM(Range!$C68&amp;" "&amp;Range!$C68))</f>
        <v>Alkhalifa Alkhalifa</v>
      </c>
      <c r="E68" s="62" t="s">
        <v>100</v>
      </c>
      <c r="F68" s="62" t="s">
        <v>625</v>
      </c>
      <c r="G68" s="62" t="s">
        <v>17</v>
      </c>
      <c r="H68" s="64" t="s">
        <v>8</v>
      </c>
      <c r="I68" s="64" t="s">
        <v>15</v>
      </c>
      <c r="J68" s="65" t="s">
        <v>10</v>
      </c>
      <c r="K68" s="62" t="s">
        <v>861</v>
      </c>
      <c r="L68" s="66">
        <v>20</v>
      </c>
      <c r="M68" s="67">
        <v>12</v>
      </c>
      <c r="N68" s="67">
        <v>2021</v>
      </c>
      <c r="O68" s="68">
        <f>DATE(Range!$N68,Range!$M68,Range!$L68)</f>
        <v>44550</v>
      </c>
      <c r="P68" s="68">
        <f t="shared" ca="1" si="1"/>
        <v>46071</v>
      </c>
      <c r="Q68" s="67">
        <f ca="1">DATEDIF(Range!$O68,Range!$P68,"Y")</f>
        <v>4</v>
      </c>
      <c r="R68" s="69">
        <v>2600</v>
      </c>
      <c r="S68" s="70">
        <f>Range!$R68*0.1</f>
        <v>260</v>
      </c>
      <c r="T68" s="71">
        <f>Range!$R68*0.03</f>
        <v>78</v>
      </c>
      <c r="U68" s="72">
        <f>Range!$R68-Range!$S68+Range!$T68</f>
        <v>2418</v>
      </c>
      <c r="V68" s="73" t="str">
        <f>IF(Range!$U68&gt;=6000,"Over","Normal")</f>
        <v>Normal</v>
      </c>
      <c r="W68" s="74">
        <f>VLOOKUP(Range!$U68,$Z$10:$AA$14,2)</f>
        <v>0.08</v>
      </c>
    </row>
    <row r="69" spans="1:23" ht="15.75" customHeight="1">
      <c r="A69" s="75">
        <v>1068</v>
      </c>
      <c r="B69" s="76" t="s">
        <v>277</v>
      </c>
      <c r="C69" s="76" t="s">
        <v>286</v>
      </c>
      <c r="D69" s="77" t="str">
        <f>PROPER(TRIM(Range!$C69&amp;" "&amp;Range!$C69))</f>
        <v>Ramadan Ramadan</v>
      </c>
      <c r="E69" s="76" t="s">
        <v>100</v>
      </c>
      <c r="F69" s="76" t="s">
        <v>626</v>
      </c>
      <c r="G69" s="76" t="s">
        <v>13</v>
      </c>
      <c r="H69" s="78" t="s">
        <v>11</v>
      </c>
      <c r="I69" s="78" t="s">
        <v>18</v>
      </c>
      <c r="J69" s="79" t="s">
        <v>20</v>
      </c>
      <c r="K69" s="76" t="s">
        <v>862</v>
      </c>
      <c r="L69" s="80">
        <v>18</v>
      </c>
      <c r="M69" s="81">
        <v>12</v>
      </c>
      <c r="N69" s="81">
        <v>2011</v>
      </c>
      <c r="O69" s="82">
        <f>DATE(Range!$N69,Range!$M69,Range!$L69)</f>
        <v>40895</v>
      </c>
      <c r="P69" s="82">
        <f t="shared" ca="1" si="1"/>
        <v>46071</v>
      </c>
      <c r="Q69" s="81">
        <f ca="1">DATEDIF(Range!$O69,Range!$P69,"Y")</f>
        <v>14</v>
      </c>
      <c r="R69" s="83">
        <v>3753</v>
      </c>
      <c r="S69" s="84">
        <f>Range!$R69*0.1</f>
        <v>375.3</v>
      </c>
      <c r="T69" s="85">
        <f>Range!$R69*0.03</f>
        <v>112.58999999999999</v>
      </c>
      <c r="U69" s="86">
        <f>Range!$R69-Range!$S69+Range!$T69</f>
        <v>3490.29</v>
      </c>
      <c r="V69" s="87" t="str">
        <f>IF(Range!$U69&gt;=6000,"Over","Normal")</f>
        <v>Normal</v>
      </c>
      <c r="W69" s="88">
        <f>VLOOKUP(Range!$U69,$Z$10:$AA$14,2)</f>
        <v>0.05</v>
      </c>
    </row>
    <row r="70" spans="1:23" ht="15.75" customHeight="1">
      <c r="A70" s="61">
        <v>1069</v>
      </c>
      <c r="B70" s="62" t="s">
        <v>169</v>
      </c>
      <c r="C70" s="62" t="s">
        <v>276</v>
      </c>
      <c r="D70" s="63" t="str">
        <f>PROPER(TRIM(Range!$C70&amp;" "&amp;Range!$C70))</f>
        <v>Alkhatib Alkhatib</v>
      </c>
      <c r="E70" s="62" t="s">
        <v>100</v>
      </c>
      <c r="F70" s="62" t="s">
        <v>627</v>
      </c>
      <c r="G70" s="62" t="s">
        <v>19</v>
      </c>
      <c r="H70" s="64" t="s">
        <v>8</v>
      </c>
      <c r="I70" s="64" t="s">
        <v>264</v>
      </c>
      <c r="J70" s="65" t="s">
        <v>23</v>
      </c>
      <c r="K70" s="62" t="s">
        <v>863</v>
      </c>
      <c r="L70" s="66">
        <v>8</v>
      </c>
      <c r="M70" s="67">
        <v>3</v>
      </c>
      <c r="N70" s="67">
        <v>1994</v>
      </c>
      <c r="O70" s="68">
        <f>DATE(Range!$N70,Range!$M70,Range!$L70)</f>
        <v>34401</v>
      </c>
      <c r="P70" s="68">
        <f t="shared" ca="1" si="1"/>
        <v>46071</v>
      </c>
      <c r="Q70" s="67">
        <f ca="1">DATEDIF(Range!$O70,Range!$P70,"Y")</f>
        <v>31</v>
      </c>
      <c r="R70" s="69">
        <v>5086</v>
      </c>
      <c r="S70" s="70">
        <f>Range!$R70*0.1</f>
        <v>508.6</v>
      </c>
      <c r="T70" s="71">
        <f>Range!$R70*0.03</f>
        <v>152.57999999999998</v>
      </c>
      <c r="U70" s="72">
        <f>Range!$R70-Range!$S70+Range!$T70</f>
        <v>4729.9799999999996</v>
      </c>
      <c r="V70" s="73" t="str">
        <f>IF(Range!$U70&gt;=6000,"Over","Normal")</f>
        <v>Normal</v>
      </c>
      <c r="W70" s="74">
        <f>VLOOKUP(Range!$U70,$Z$10:$AA$14,2)</f>
        <v>0.05</v>
      </c>
    </row>
    <row r="71" spans="1:23" ht="15.75" customHeight="1">
      <c r="A71" s="75">
        <v>1070</v>
      </c>
      <c r="B71" s="76" t="s">
        <v>287</v>
      </c>
      <c r="C71" s="76" t="s">
        <v>288</v>
      </c>
      <c r="D71" s="77" t="str">
        <f>PROPER(TRIM(Range!$C71&amp;" "&amp;Range!$C71))</f>
        <v>Akrym Akrym</v>
      </c>
      <c r="E71" s="76" t="s">
        <v>99</v>
      </c>
      <c r="F71" s="76" t="s">
        <v>628</v>
      </c>
      <c r="G71" s="76" t="s">
        <v>13</v>
      </c>
      <c r="H71" s="78" t="s">
        <v>8</v>
      </c>
      <c r="I71" s="78" t="s">
        <v>9</v>
      </c>
      <c r="J71" s="79" t="s">
        <v>20</v>
      </c>
      <c r="K71" s="76" t="s">
        <v>864</v>
      </c>
      <c r="L71" s="80">
        <v>24</v>
      </c>
      <c r="M71" s="81">
        <v>3</v>
      </c>
      <c r="N71" s="81">
        <v>2000</v>
      </c>
      <c r="O71" s="82">
        <f>DATE(Range!$N71,Range!$M71,Range!$L71)</f>
        <v>36609</v>
      </c>
      <c r="P71" s="82">
        <f t="shared" ca="1" si="1"/>
        <v>46071</v>
      </c>
      <c r="Q71" s="81">
        <f ca="1">DATEDIF(Range!$O71,Range!$P71,"Y")</f>
        <v>25</v>
      </c>
      <c r="R71" s="83">
        <v>2431</v>
      </c>
      <c r="S71" s="84">
        <f>Range!$R71*0.1</f>
        <v>243.10000000000002</v>
      </c>
      <c r="T71" s="85">
        <f>Range!$R71*0.03</f>
        <v>72.929999999999993</v>
      </c>
      <c r="U71" s="86">
        <f>Range!$R71-Range!$S71+Range!$T71</f>
        <v>2260.83</v>
      </c>
      <c r="V71" s="87" t="str">
        <f>IF(Range!$U71&gt;=6000,"Over","Normal")</f>
        <v>Normal</v>
      </c>
      <c r="W71" s="88">
        <f>VLOOKUP(Range!$U71,$Z$10:$AA$14,2)</f>
        <v>0.08</v>
      </c>
    </row>
    <row r="72" spans="1:23" ht="15.75" customHeight="1">
      <c r="A72" s="61">
        <v>1071</v>
      </c>
      <c r="B72" s="62" t="s">
        <v>289</v>
      </c>
      <c r="C72" s="62" t="s">
        <v>290</v>
      </c>
      <c r="D72" s="63" t="str">
        <f>PROPER(TRIM(Range!$C72&amp;" "&amp;Range!$C72))</f>
        <v>Almaydanii Almaydanii</v>
      </c>
      <c r="E72" s="62" t="s">
        <v>99</v>
      </c>
      <c r="F72" s="62" t="s">
        <v>629</v>
      </c>
      <c r="G72" s="62" t="s">
        <v>17</v>
      </c>
      <c r="H72" s="64" t="s">
        <v>8</v>
      </c>
      <c r="I72" s="64" t="s">
        <v>9</v>
      </c>
      <c r="J72" s="65" t="s">
        <v>10</v>
      </c>
      <c r="K72" s="62" t="s">
        <v>865</v>
      </c>
      <c r="L72" s="66">
        <v>4</v>
      </c>
      <c r="M72" s="67">
        <v>10</v>
      </c>
      <c r="N72" s="67">
        <v>2016</v>
      </c>
      <c r="O72" s="68">
        <f>DATE(Range!$N72,Range!$M72,Range!$L72)</f>
        <v>42647</v>
      </c>
      <c r="P72" s="68">
        <f t="shared" ca="1" si="1"/>
        <v>46071</v>
      </c>
      <c r="Q72" s="67">
        <f ca="1">DATEDIF(Range!$O72,Range!$P72,"Y")</f>
        <v>9</v>
      </c>
      <c r="R72" s="69">
        <v>2955</v>
      </c>
      <c r="S72" s="70">
        <f>Range!$R72*0.1</f>
        <v>295.5</v>
      </c>
      <c r="T72" s="71">
        <f>Range!$R72*0.03</f>
        <v>88.649999999999991</v>
      </c>
      <c r="U72" s="72">
        <f>Range!$R72-Range!$S72+Range!$T72</f>
        <v>2748.15</v>
      </c>
      <c r="V72" s="73" t="str">
        <f>IF(Range!$U72&gt;=6000,"Over","Normal")</f>
        <v>Normal</v>
      </c>
      <c r="W72" s="74">
        <f>VLOOKUP(Range!$U72,$Z$10:$AA$14,2)</f>
        <v>0.08</v>
      </c>
    </row>
    <row r="73" spans="1:23" ht="15.75" customHeight="1">
      <c r="A73" s="75">
        <v>1072</v>
      </c>
      <c r="B73" s="76" t="s">
        <v>97</v>
      </c>
      <c r="C73" s="76" t="s">
        <v>291</v>
      </c>
      <c r="D73" s="77" t="str">
        <f>PROPER(TRIM(Range!$C73&amp;" "&amp;Range!$C73))</f>
        <v>Alhamid Alhamid</v>
      </c>
      <c r="E73" s="76" t="s">
        <v>100</v>
      </c>
      <c r="F73" s="76" t="s">
        <v>630</v>
      </c>
      <c r="G73" s="76" t="s">
        <v>17</v>
      </c>
      <c r="H73" s="78" t="s">
        <v>22</v>
      </c>
      <c r="I73" s="78" t="s">
        <v>264</v>
      </c>
      <c r="J73" s="79" t="s">
        <v>23</v>
      </c>
      <c r="K73" s="76" t="s">
        <v>866</v>
      </c>
      <c r="L73" s="80">
        <v>11</v>
      </c>
      <c r="M73" s="81">
        <v>8</v>
      </c>
      <c r="N73" s="81">
        <v>2018</v>
      </c>
      <c r="O73" s="82">
        <f>DATE(Range!$N73,Range!$M73,Range!$L73)</f>
        <v>43323</v>
      </c>
      <c r="P73" s="82">
        <f t="shared" ca="1" si="1"/>
        <v>46071</v>
      </c>
      <c r="Q73" s="81">
        <f ca="1">DATEDIF(Range!$O73,Range!$P73,"Y")</f>
        <v>7</v>
      </c>
      <c r="R73" s="83">
        <v>1948</v>
      </c>
      <c r="S73" s="84">
        <f>Range!$R73*0.1</f>
        <v>194.8</v>
      </c>
      <c r="T73" s="85">
        <f>Range!$R73*0.03</f>
        <v>58.44</v>
      </c>
      <c r="U73" s="86">
        <f>Range!$R73-Range!$S73+Range!$T73</f>
        <v>1811.64</v>
      </c>
      <c r="V73" s="87" t="str">
        <f>IF(Range!$U73&gt;=6000,"Over","Normal")</f>
        <v>Normal</v>
      </c>
      <c r="W73" s="88">
        <f>VLOOKUP(Range!$U73,$Z$10:$AA$14,2)</f>
        <v>0.08</v>
      </c>
    </row>
    <row r="74" spans="1:23" ht="15.75" customHeight="1">
      <c r="A74" s="61">
        <v>1073</v>
      </c>
      <c r="B74" s="62" t="s">
        <v>292</v>
      </c>
      <c r="C74" s="62" t="s">
        <v>293</v>
      </c>
      <c r="D74" s="63" t="str">
        <f>PROPER(TRIM(Range!$C74&amp;" "&amp;Range!$C74))</f>
        <v>Jabir Jabir</v>
      </c>
      <c r="E74" s="62" t="s">
        <v>100</v>
      </c>
      <c r="F74" s="62" t="s">
        <v>631</v>
      </c>
      <c r="G74" s="62" t="s">
        <v>19</v>
      </c>
      <c r="H74" s="64" t="s">
        <v>22</v>
      </c>
      <c r="I74" s="64" t="s">
        <v>25</v>
      </c>
      <c r="J74" s="65" t="s">
        <v>23</v>
      </c>
      <c r="K74" s="62" t="s">
        <v>867</v>
      </c>
      <c r="L74" s="66">
        <v>10</v>
      </c>
      <c r="M74" s="67">
        <v>11</v>
      </c>
      <c r="N74" s="67">
        <v>1993</v>
      </c>
      <c r="O74" s="68">
        <f>DATE(Range!$N74,Range!$M74,Range!$L74)</f>
        <v>34283</v>
      </c>
      <c r="P74" s="68">
        <f t="shared" ca="1" si="1"/>
        <v>46071</v>
      </c>
      <c r="Q74" s="67">
        <f ca="1">DATEDIF(Range!$O74,Range!$P74,"Y")</f>
        <v>32</v>
      </c>
      <c r="R74" s="69">
        <v>3294</v>
      </c>
      <c r="S74" s="70">
        <f>Range!$R74*0.1</f>
        <v>329.40000000000003</v>
      </c>
      <c r="T74" s="71">
        <f>Range!$R74*0.03</f>
        <v>98.82</v>
      </c>
      <c r="U74" s="72">
        <f>Range!$R74-Range!$S74+Range!$T74</f>
        <v>3063.42</v>
      </c>
      <c r="V74" s="73" t="str">
        <f>IF(Range!$U74&gt;=6000,"Over","Normal")</f>
        <v>Normal</v>
      </c>
      <c r="W74" s="74">
        <f>VLOOKUP(Range!$U74,$Z$10:$AA$14,2)</f>
        <v>0.05</v>
      </c>
    </row>
    <row r="75" spans="1:23" ht="15.75" customHeight="1">
      <c r="A75" s="75">
        <v>1074</v>
      </c>
      <c r="B75" s="76" t="s">
        <v>294</v>
      </c>
      <c r="C75" s="76" t="s">
        <v>295</v>
      </c>
      <c r="D75" s="77" t="str">
        <f>PROPER(TRIM(Range!$C75&amp;" "&amp;Range!$C75))</f>
        <v>Alhamadii Alhamadii</v>
      </c>
      <c r="E75" s="76" t="s">
        <v>99</v>
      </c>
      <c r="F75" s="76" t="s">
        <v>632</v>
      </c>
      <c r="G75" s="76" t="s">
        <v>1100</v>
      </c>
      <c r="H75" s="78" t="s">
        <v>11</v>
      </c>
      <c r="I75" s="78" t="s">
        <v>264</v>
      </c>
      <c r="J75" s="79" t="s">
        <v>20</v>
      </c>
      <c r="K75" s="76" t="s">
        <v>868</v>
      </c>
      <c r="L75" s="80">
        <v>13</v>
      </c>
      <c r="M75" s="81">
        <v>2</v>
      </c>
      <c r="N75" s="81">
        <v>2002</v>
      </c>
      <c r="O75" s="82">
        <f>DATE(Range!$N75,Range!$M75,Range!$L75)</f>
        <v>37300</v>
      </c>
      <c r="P75" s="82">
        <f t="shared" ca="1" si="1"/>
        <v>46071</v>
      </c>
      <c r="Q75" s="81">
        <f ca="1">DATEDIF(Range!$O75,Range!$P75,"Y")</f>
        <v>24</v>
      </c>
      <c r="R75" s="83">
        <v>7123</v>
      </c>
      <c r="S75" s="84">
        <f>Range!$R75*0.1</f>
        <v>712.30000000000007</v>
      </c>
      <c r="T75" s="85">
        <f>Range!$R75*0.03</f>
        <v>213.69</v>
      </c>
      <c r="U75" s="86">
        <f>Range!$R75-Range!$S75+Range!$T75</f>
        <v>6624.3899999999994</v>
      </c>
      <c r="V75" s="87" t="str">
        <f>IF(Range!$U75&gt;=6000,"Over","Normal")</f>
        <v>Over</v>
      </c>
      <c r="W75" s="88">
        <f>VLOOKUP(Range!$U75,$Z$10:$AA$14,2)</f>
        <v>0.02</v>
      </c>
    </row>
    <row r="76" spans="1:23" ht="15.75" customHeight="1">
      <c r="A76" s="61">
        <v>1075</v>
      </c>
      <c r="B76" s="62" t="s">
        <v>296</v>
      </c>
      <c r="C76" s="62" t="s">
        <v>297</v>
      </c>
      <c r="D76" s="63" t="str">
        <f>PROPER(TRIM(Range!$C76&amp;" "&amp;Range!$C76))</f>
        <v>Kiali Kiali</v>
      </c>
      <c r="E76" s="62" t="s">
        <v>100</v>
      </c>
      <c r="F76" s="62" t="s">
        <v>633</v>
      </c>
      <c r="G76" s="62" t="s">
        <v>13</v>
      </c>
      <c r="H76" s="64" t="s">
        <v>8</v>
      </c>
      <c r="I76" s="64" t="s">
        <v>25</v>
      </c>
      <c r="J76" s="65" t="s">
        <v>10</v>
      </c>
      <c r="K76" s="62" t="s">
        <v>869</v>
      </c>
      <c r="L76" s="66">
        <v>20</v>
      </c>
      <c r="M76" s="67">
        <v>2</v>
      </c>
      <c r="N76" s="67">
        <v>2012</v>
      </c>
      <c r="O76" s="68">
        <f>DATE(Range!$N76,Range!$M76,Range!$L76)</f>
        <v>40959</v>
      </c>
      <c r="P76" s="68">
        <f t="shared" ca="1" si="1"/>
        <v>46071</v>
      </c>
      <c r="Q76" s="67">
        <f ca="1">DATEDIF(Range!$O76,Range!$P76,"Y")</f>
        <v>13</v>
      </c>
      <c r="R76" s="69">
        <v>7236</v>
      </c>
      <c r="S76" s="70">
        <f>Range!$R76*0.1</f>
        <v>723.6</v>
      </c>
      <c r="T76" s="71">
        <f>Range!$R76*0.03</f>
        <v>217.07999999999998</v>
      </c>
      <c r="U76" s="72">
        <f>Range!$R76-Range!$S76+Range!$T76</f>
        <v>6729.48</v>
      </c>
      <c r="V76" s="73" t="str">
        <f>IF(Range!$U76&gt;=6000,"Over","Normal")</f>
        <v>Over</v>
      </c>
      <c r="W76" s="74">
        <f>VLOOKUP(Range!$U76,$Z$10:$AA$14,2)</f>
        <v>0.02</v>
      </c>
    </row>
    <row r="77" spans="1:23" ht="15.75" customHeight="1">
      <c r="A77" s="75">
        <v>1076</v>
      </c>
      <c r="B77" s="76" t="s">
        <v>298</v>
      </c>
      <c r="C77" s="76" t="s">
        <v>188</v>
      </c>
      <c r="D77" s="77" t="str">
        <f>PROPER(TRIM(Range!$C77&amp;" "&amp;Range!$C77))</f>
        <v>Dahadal Dahadal</v>
      </c>
      <c r="E77" s="76" t="s">
        <v>99</v>
      </c>
      <c r="F77" s="76" t="s">
        <v>634</v>
      </c>
      <c r="G77" s="76" t="s">
        <v>1100</v>
      </c>
      <c r="H77" s="78" t="s">
        <v>11</v>
      </c>
      <c r="I77" s="78" t="s">
        <v>25</v>
      </c>
      <c r="J77" s="79" t="s">
        <v>23</v>
      </c>
      <c r="K77" s="76" t="s">
        <v>870</v>
      </c>
      <c r="L77" s="80">
        <v>20</v>
      </c>
      <c r="M77" s="81">
        <v>3</v>
      </c>
      <c r="N77" s="81">
        <v>1994</v>
      </c>
      <c r="O77" s="82">
        <f>DATE(Range!$N77,Range!$M77,Range!$L77)</f>
        <v>34413</v>
      </c>
      <c r="P77" s="82">
        <f t="shared" ca="1" si="1"/>
        <v>46071</v>
      </c>
      <c r="Q77" s="81">
        <f ca="1">DATEDIF(Range!$O77,Range!$P77,"Y")</f>
        <v>31</v>
      </c>
      <c r="R77" s="83">
        <v>6843</v>
      </c>
      <c r="S77" s="84">
        <f>Range!$R77*0.1</f>
        <v>684.30000000000007</v>
      </c>
      <c r="T77" s="85">
        <f>Range!$R77*0.03</f>
        <v>205.29</v>
      </c>
      <c r="U77" s="86">
        <f>Range!$R77-Range!$S77+Range!$T77</f>
        <v>6363.99</v>
      </c>
      <c r="V77" s="87" t="str">
        <f>IF(Range!$U77&gt;=6000,"Over","Normal")</f>
        <v>Over</v>
      </c>
      <c r="W77" s="88">
        <f>VLOOKUP(Range!$U77,$Z$10:$AA$14,2)</f>
        <v>0.02</v>
      </c>
    </row>
    <row r="78" spans="1:23" ht="15.75" customHeight="1">
      <c r="A78" s="61">
        <v>1077</v>
      </c>
      <c r="B78" s="62" t="s">
        <v>105</v>
      </c>
      <c r="C78" s="62" t="s">
        <v>299</v>
      </c>
      <c r="D78" s="63" t="str">
        <f>PROPER(TRIM(Range!$C78&amp;" "&amp;Range!$C78))</f>
        <v>Qisi Qisi</v>
      </c>
      <c r="E78" s="62" t="s">
        <v>99</v>
      </c>
      <c r="F78" s="62" t="s">
        <v>635</v>
      </c>
      <c r="G78" s="62" t="s">
        <v>1100</v>
      </c>
      <c r="H78" s="64" t="s">
        <v>22</v>
      </c>
      <c r="I78" s="64" t="s">
        <v>25</v>
      </c>
      <c r="J78" s="65" t="s">
        <v>23</v>
      </c>
      <c r="K78" s="62" t="s">
        <v>871</v>
      </c>
      <c r="L78" s="66">
        <v>7</v>
      </c>
      <c r="M78" s="67">
        <v>1</v>
      </c>
      <c r="N78" s="67">
        <v>2006</v>
      </c>
      <c r="O78" s="68">
        <f>DATE(Range!$N78,Range!$M78,Range!$L78)</f>
        <v>38724</v>
      </c>
      <c r="P78" s="68">
        <f t="shared" ca="1" si="1"/>
        <v>46071</v>
      </c>
      <c r="Q78" s="67">
        <f ca="1">DATEDIF(Range!$O78,Range!$P78,"Y")</f>
        <v>20</v>
      </c>
      <c r="R78" s="69">
        <v>1070</v>
      </c>
      <c r="S78" s="70">
        <f>Range!$R78*0.1</f>
        <v>107</v>
      </c>
      <c r="T78" s="71">
        <f>Range!$R78*0.03</f>
        <v>32.1</v>
      </c>
      <c r="U78" s="72">
        <f>Range!$R78-Range!$S78+Range!$T78</f>
        <v>995.1</v>
      </c>
      <c r="V78" s="73" t="str">
        <f>IF(Range!$U78&gt;=6000,"Over","Normal")</f>
        <v>Normal</v>
      </c>
      <c r="W78" s="74">
        <f>VLOOKUP(Range!$U78,$Z$10:$AA$14,2)</f>
        <v>0.1</v>
      </c>
    </row>
    <row r="79" spans="1:23" ht="15.75" customHeight="1">
      <c r="A79" s="75">
        <v>1078</v>
      </c>
      <c r="B79" s="76" t="s">
        <v>142</v>
      </c>
      <c r="C79" s="76" t="s">
        <v>300</v>
      </c>
      <c r="D79" s="77" t="str">
        <f>PROPER(TRIM(Range!$C79&amp;" "&amp;Range!$C79))</f>
        <v>Dahbur Dahbur</v>
      </c>
      <c r="E79" s="76" t="s">
        <v>99</v>
      </c>
      <c r="F79" s="76" t="s">
        <v>636</v>
      </c>
      <c r="G79" s="76" t="s">
        <v>13</v>
      </c>
      <c r="H79" s="78" t="s">
        <v>8</v>
      </c>
      <c r="I79" s="78" t="s">
        <v>25</v>
      </c>
      <c r="J79" s="79" t="s">
        <v>10</v>
      </c>
      <c r="K79" s="76" t="s">
        <v>872</v>
      </c>
      <c r="L79" s="80">
        <v>13</v>
      </c>
      <c r="M79" s="81">
        <v>6</v>
      </c>
      <c r="N79" s="81">
        <v>2001</v>
      </c>
      <c r="O79" s="82">
        <f>DATE(Range!$N79,Range!$M79,Range!$L79)</f>
        <v>37055</v>
      </c>
      <c r="P79" s="82">
        <f t="shared" ca="1" si="1"/>
        <v>46071</v>
      </c>
      <c r="Q79" s="81">
        <f ca="1">DATEDIF(Range!$O79,Range!$P79,"Y")</f>
        <v>24</v>
      </c>
      <c r="R79" s="83">
        <v>1493</v>
      </c>
      <c r="S79" s="84">
        <f>Range!$R79*0.1</f>
        <v>149.30000000000001</v>
      </c>
      <c r="T79" s="85">
        <f>Range!$R79*0.03</f>
        <v>44.79</v>
      </c>
      <c r="U79" s="86">
        <f>Range!$R79-Range!$S79+Range!$T79</f>
        <v>1388.49</v>
      </c>
      <c r="V79" s="87" t="str">
        <f>IF(Range!$U79&gt;=6000,"Over","Normal")</f>
        <v>Normal</v>
      </c>
      <c r="W79" s="88">
        <f>VLOOKUP(Range!$U79,$Z$10:$AA$14,2)</f>
        <v>0.08</v>
      </c>
    </row>
    <row r="80" spans="1:23" ht="15.75" customHeight="1">
      <c r="A80" s="61">
        <v>1079</v>
      </c>
      <c r="B80" s="62" t="s">
        <v>301</v>
      </c>
      <c r="C80" s="62" t="s">
        <v>302</v>
      </c>
      <c r="D80" s="63" t="str">
        <f>PROPER(TRIM(Range!$C80&amp;" "&amp;Range!$C80))</f>
        <v>Alzaebii Alzaebii</v>
      </c>
      <c r="E80" s="62" t="s">
        <v>100</v>
      </c>
      <c r="F80" s="62" t="s">
        <v>637</v>
      </c>
      <c r="G80" s="62" t="s">
        <v>19</v>
      </c>
      <c r="H80" s="64" t="s">
        <v>11</v>
      </c>
      <c r="I80" s="64" t="s">
        <v>25</v>
      </c>
      <c r="J80" s="65" t="s">
        <v>23</v>
      </c>
      <c r="K80" s="62" t="s">
        <v>873</v>
      </c>
      <c r="L80" s="66">
        <v>28</v>
      </c>
      <c r="M80" s="67">
        <v>6</v>
      </c>
      <c r="N80" s="67">
        <v>2017</v>
      </c>
      <c r="O80" s="68">
        <f>DATE(Range!$N80,Range!$M80,Range!$L80)</f>
        <v>42914</v>
      </c>
      <c r="P80" s="68">
        <f t="shared" ca="1" si="1"/>
        <v>46071</v>
      </c>
      <c r="Q80" s="67">
        <f ca="1">DATEDIF(Range!$O80,Range!$P80,"Y")</f>
        <v>8</v>
      </c>
      <c r="R80" s="69">
        <v>5857</v>
      </c>
      <c r="S80" s="70">
        <f>Range!$R80*0.1</f>
        <v>585.70000000000005</v>
      </c>
      <c r="T80" s="71">
        <f>Range!$R80*0.03</f>
        <v>175.70999999999998</v>
      </c>
      <c r="U80" s="72">
        <f>Range!$R80-Range!$S80+Range!$T80</f>
        <v>5447.01</v>
      </c>
      <c r="V80" s="73" t="str">
        <f>IF(Range!$U80&gt;=6000,"Over","Normal")</f>
        <v>Normal</v>
      </c>
      <c r="W80" s="74">
        <f>VLOOKUP(Range!$U80,$Z$10:$AA$14,2)</f>
        <v>0.05</v>
      </c>
    </row>
    <row r="81" spans="1:23" ht="15.75" customHeight="1">
      <c r="A81" s="75">
        <v>1080</v>
      </c>
      <c r="B81" s="76" t="s">
        <v>303</v>
      </c>
      <c r="C81" s="76" t="s">
        <v>304</v>
      </c>
      <c r="D81" s="77" t="str">
        <f>PROPER(TRIM(Range!$C81&amp;" "&amp;Range!$C81))</f>
        <v>Alaleppoy Alaleppoy</v>
      </c>
      <c r="E81" s="76" t="s">
        <v>99</v>
      </c>
      <c r="F81" s="76" t="s">
        <v>638</v>
      </c>
      <c r="G81" s="76" t="s">
        <v>19</v>
      </c>
      <c r="H81" s="78" t="s">
        <v>11</v>
      </c>
      <c r="I81" s="78" t="s">
        <v>264</v>
      </c>
      <c r="J81" s="79" t="s">
        <v>20</v>
      </c>
      <c r="K81" s="76" t="s">
        <v>874</v>
      </c>
      <c r="L81" s="80">
        <v>22</v>
      </c>
      <c r="M81" s="81">
        <v>10</v>
      </c>
      <c r="N81" s="81">
        <v>2019</v>
      </c>
      <c r="O81" s="82">
        <f>DATE(Range!$N81,Range!$M81,Range!$L81)</f>
        <v>43760</v>
      </c>
      <c r="P81" s="82">
        <f t="shared" ca="1" si="1"/>
        <v>46071</v>
      </c>
      <c r="Q81" s="81">
        <f ca="1">DATEDIF(Range!$O81,Range!$P81,"Y")</f>
        <v>6</v>
      </c>
      <c r="R81" s="83">
        <v>5278</v>
      </c>
      <c r="S81" s="84">
        <f>Range!$R81*0.1</f>
        <v>527.80000000000007</v>
      </c>
      <c r="T81" s="85">
        <f>Range!$R81*0.03</f>
        <v>158.34</v>
      </c>
      <c r="U81" s="86">
        <f>Range!$R81-Range!$S81+Range!$T81</f>
        <v>4908.54</v>
      </c>
      <c r="V81" s="87" t="str">
        <f>IF(Range!$U81&gt;=6000,"Over","Normal")</f>
        <v>Normal</v>
      </c>
      <c r="W81" s="88">
        <f>VLOOKUP(Range!$U81,$Z$10:$AA$14,2)</f>
        <v>0.05</v>
      </c>
    </row>
    <row r="82" spans="1:23" ht="15.75" customHeight="1">
      <c r="A82" s="61">
        <v>1081</v>
      </c>
      <c r="B82" s="62" t="s">
        <v>305</v>
      </c>
      <c r="C82" s="62" t="s">
        <v>306</v>
      </c>
      <c r="D82" s="63" t="str">
        <f>PROPER(TRIM(Range!$C82&amp;" "&amp;Range!$C82))</f>
        <v>Jadid Jadid</v>
      </c>
      <c r="E82" s="62" t="s">
        <v>100</v>
      </c>
      <c r="F82" s="62" t="s">
        <v>639</v>
      </c>
      <c r="G82" s="62" t="s">
        <v>1100</v>
      </c>
      <c r="H82" s="64" t="s">
        <v>11</v>
      </c>
      <c r="I82" s="64" t="s">
        <v>26</v>
      </c>
      <c r="J82" s="65" t="s">
        <v>10</v>
      </c>
      <c r="K82" s="62" t="s">
        <v>875</v>
      </c>
      <c r="L82" s="66">
        <v>2</v>
      </c>
      <c r="M82" s="67">
        <v>9</v>
      </c>
      <c r="N82" s="67">
        <v>2011</v>
      </c>
      <c r="O82" s="68">
        <f>DATE(Range!$N82,Range!$M82,Range!$L82)</f>
        <v>40788</v>
      </c>
      <c r="P82" s="68">
        <f t="shared" ca="1" si="1"/>
        <v>46071</v>
      </c>
      <c r="Q82" s="67">
        <f ca="1">DATEDIF(Range!$O82,Range!$P82,"Y")</f>
        <v>14</v>
      </c>
      <c r="R82" s="69">
        <v>5710</v>
      </c>
      <c r="S82" s="70">
        <f>Range!$R82*0.1</f>
        <v>571</v>
      </c>
      <c r="T82" s="71">
        <f>Range!$R82*0.03</f>
        <v>171.29999999999998</v>
      </c>
      <c r="U82" s="72">
        <f>Range!$R82-Range!$S82+Range!$T82</f>
        <v>5310.3</v>
      </c>
      <c r="V82" s="73" t="str">
        <f>IF(Range!$U82&gt;=6000,"Over","Normal")</f>
        <v>Normal</v>
      </c>
      <c r="W82" s="74">
        <f>VLOOKUP(Range!$U82,$Z$10:$AA$14,2)</f>
        <v>0.05</v>
      </c>
    </row>
    <row r="83" spans="1:23" ht="15.75" customHeight="1">
      <c r="A83" s="75">
        <v>1082</v>
      </c>
      <c r="B83" s="76" t="s">
        <v>307</v>
      </c>
      <c r="C83" s="76" t="s">
        <v>308</v>
      </c>
      <c r="D83" s="77" t="str">
        <f>PROPER(TRIM(Range!$C83&amp;" "&amp;Range!$C83))</f>
        <v>Sabagh Sabagh</v>
      </c>
      <c r="E83" s="76" t="s">
        <v>100</v>
      </c>
      <c r="F83" s="76" t="s">
        <v>640</v>
      </c>
      <c r="G83" s="76" t="s">
        <v>13</v>
      </c>
      <c r="H83" s="78" t="s">
        <v>8</v>
      </c>
      <c r="I83" s="78" t="s">
        <v>15</v>
      </c>
      <c r="J83" s="79" t="s">
        <v>20</v>
      </c>
      <c r="K83" s="76" t="s">
        <v>876</v>
      </c>
      <c r="L83" s="80">
        <v>15</v>
      </c>
      <c r="M83" s="81">
        <v>10</v>
      </c>
      <c r="N83" s="81">
        <v>2002</v>
      </c>
      <c r="O83" s="82">
        <f>DATE(Range!$N83,Range!$M83,Range!$L83)</f>
        <v>37544</v>
      </c>
      <c r="P83" s="82">
        <f t="shared" ca="1" si="1"/>
        <v>46071</v>
      </c>
      <c r="Q83" s="81">
        <f ca="1">DATEDIF(Range!$O83,Range!$P83,"Y")</f>
        <v>23</v>
      </c>
      <c r="R83" s="83">
        <v>6145</v>
      </c>
      <c r="S83" s="84">
        <f>Range!$R83*0.1</f>
        <v>614.5</v>
      </c>
      <c r="T83" s="85">
        <f>Range!$R83*0.03</f>
        <v>184.35</v>
      </c>
      <c r="U83" s="86">
        <f>Range!$R83-Range!$S83+Range!$T83</f>
        <v>5714.85</v>
      </c>
      <c r="V83" s="87" t="str">
        <f>IF(Range!$U83&gt;=6000,"Over","Normal")</f>
        <v>Normal</v>
      </c>
      <c r="W83" s="88">
        <f>VLOOKUP(Range!$U83,$Z$10:$AA$14,2)</f>
        <v>0.05</v>
      </c>
    </row>
    <row r="84" spans="1:23" ht="15.75" customHeight="1">
      <c r="A84" s="61">
        <v>1083</v>
      </c>
      <c r="B84" s="62" t="s">
        <v>309</v>
      </c>
      <c r="C84" s="62" t="s">
        <v>310</v>
      </c>
      <c r="D84" s="63" t="str">
        <f>PROPER(TRIM(Range!$C84&amp;" "&amp;Range!$C84))</f>
        <v>Eazu Eazu</v>
      </c>
      <c r="E84" s="62" t="s">
        <v>100</v>
      </c>
      <c r="F84" s="62" t="s">
        <v>641</v>
      </c>
      <c r="G84" s="62" t="s">
        <v>17</v>
      </c>
      <c r="H84" s="64" t="s">
        <v>11</v>
      </c>
      <c r="I84" s="64" t="s">
        <v>26</v>
      </c>
      <c r="J84" s="65" t="s">
        <v>20</v>
      </c>
      <c r="K84" s="62" t="s">
        <v>877</v>
      </c>
      <c r="L84" s="66">
        <v>22</v>
      </c>
      <c r="M84" s="67">
        <v>5</v>
      </c>
      <c r="N84" s="67">
        <v>1995</v>
      </c>
      <c r="O84" s="68">
        <f>DATE(Range!$N84,Range!$M84,Range!$L84)</f>
        <v>34841</v>
      </c>
      <c r="P84" s="68">
        <f t="shared" ca="1" si="1"/>
        <v>46071</v>
      </c>
      <c r="Q84" s="67">
        <f ca="1">DATEDIF(Range!$O84,Range!$P84,"Y")</f>
        <v>30</v>
      </c>
      <c r="R84" s="69">
        <v>5278</v>
      </c>
      <c r="S84" s="70">
        <f>Range!$R84*0.1</f>
        <v>527.80000000000007</v>
      </c>
      <c r="T84" s="71">
        <f>Range!$R84*0.03</f>
        <v>158.34</v>
      </c>
      <c r="U84" s="72">
        <f>Range!$R84-Range!$S84+Range!$T84</f>
        <v>4908.54</v>
      </c>
      <c r="V84" s="73" t="str">
        <f>IF(Range!$U84&gt;=6000,"Over","Normal")</f>
        <v>Normal</v>
      </c>
      <c r="W84" s="74">
        <f>VLOOKUP(Range!$U84,$Z$10:$AA$14,2)</f>
        <v>0.05</v>
      </c>
    </row>
    <row r="85" spans="1:23" ht="15.75" customHeight="1">
      <c r="A85" s="75">
        <v>1084</v>
      </c>
      <c r="B85" s="76" t="s">
        <v>311</v>
      </c>
      <c r="C85" s="76" t="s">
        <v>312</v>
      </c>
      <c r="D85" s="77" t="str">
        <f>PROPER(TRIM(Range!$C85&amp;" "&amp;Range!$C85))</f>
        <v>Turkmany Turkmany</v>
      </c>
      <c r="E85" s="76" t="s">
        <v>100</v>
      </c>
      <c r="F85" s="76" t="s">
        <v>642</v>
      </c>
      <c r="G85" s="76" t="s">
        <v>17</v>
      </c>
      <c r="H85" s="78" t="s">
        <v>8</v>
      </c>
      <c r="I85" s="78" t="s">
        <v>9</v>
      </c>
      <c r="J85" s="79" t="s">
        <v>10</v>
      </c>
      <c r="K85" s="76" t="s">
        <v>878</v>
      </c>
      <c r="L85" s="80">
        <v>17</v>
      </c>
      <c r="M85" s="81">
        <v>1</v>
      </c>
      <c r="N85" s="81">
        <v>2019</v>
      </c>
      <c r="O85" s="82">
        <f>DATE(Range!$N85,Range!$M85,Range!$L85)</f>
        <v>43482</v>
      </c>
      <c r="P85" s="82">
        <f t="shared" ca="1" si="1"/>
        <v>46071</v>
      </c>
      <c r="Q85" s="81">
        <f ca="1">DATEDIF(Range!$O85,Range!$P85,"Y")</f>
        <v>7</v>
      </c>
      <c r="R85" s="83">
        <v>6409</v>
      </c>
      <c r="S85" s="84">
        <f>Range!$R85*0.1</f>
        <v>640.90000000000009</v>
      </c>
      <c r="T85" s="85">
        <f>Range!$R85*0.03</f>
        <v>192.26999999999998</v>
      </c>
      <c r="U85" s="86">
        <f>Range!$R85-Range!$S85+Range!$T85</f>
        <v>5960.3700000000008</v>
      </c>
      <c r="V85" s="87" t="str">
        <f>IF(Range!$U85&gt;=6000,"Over","Normal")</f>
        <v>Normal</v>
      </c>
      <c r="W85" s="88">
        <f>VLOOKUP(Range!$U85,$Z$10:$AA$14,2)</f>
        <v>0.05</v>
      </c>
    </row>
    <row r="86" spans="1:23" ht="15.75" customHeight="1">
      <c r="A86" s="61">
        <v>1085</v>
      </c>
      <c r="B86" s="62" t="s">
        <v>313</v>
      </c>
      <c r="C86" s="62" t="s">
        <v>314</v>
      </c>
      <c r="D86" s="63" t="str">
        <f>PROPER(TRIM(Range!$C86&amp;" "&amp;Range!$C86))</f>
        <v>Sabiq Sabiq</v>
      </c>
      <c r="E86" s="62" t="s">
        <v>99</v>
      </c>
      <c r="F86" s="62" t="s">
        <v>643</v>
      </c>
      <c r="G86" s="62" t="s">
        <v>13</v>
      </c>
      <c r="H86" s="64" t="s">
        <v>22</v>
      </c>
      <c r="I86" s="64" t="s">
        <v>9</v>
      </c>
      <c r="J86" s="65" t="s">
        <v>23</v>
      </c>
      <c r="K86" s="62" t="s">
        <v>879</v>
      </c>
      <c r="L86" s="66">
        <v>4</v>
      </c>
      <c r="M86" s="67">
        <v>12</v>
      </c>
      <c r="N86" s="67">
        <v>2015</v>
      </c>
      <c r="O86" s="68">
        <f>DATE(Range!$N86,Range!$M86,Range!$L86)</f>
        <v>42342</v>
      </c>
      <c r="P86" s="68">
        <f t="shared" ca="1" si="1"/>
        <v>46071</v>
      </c>
      <c r="Q86" s="67">
        <f ca="1">DATEDIF(Range!$O86,Range!$P86,"Y")</f>
        <v>10</v>
      </c>
      <c r="R86" s="69">
        <v>7478</v>
      </c>
      <c r="S86" s="70">
        <f>Range!$R86*0.1</f>
        <v>747.80000000000007</v>
      </c>
      <c r="T86" s="71">
        <f>Range!$R86*0.03</f>
        <v>224.34</v>
      </c>
      <c r="U86" s="72">
        <f>Range!$R86-Range!$S86+Range!$T86</f>
        <v>6954.54</v>
      </c>
      <c r="V86" s="73" t="str">
        <f>IF(Range!$U86&gt;=6000,"Over","Normal")</f>
        <v>Over</v>
      </c>
      <c r="W86" s="74">
        <f>VLOOKUP(Range!$U86,$Z$10:$AA$14,2)</f>
        <v>0.02</v>
      </c>
    </row>
    <row r="87" spans="1:23" ht="15.75" customHeight="1">
      <c r="A87" s="75">
        <v>1086</v>
      </c>
      <c r="B87" s="76" t="s">
        <v>177</v>
      </c>
      <c r="C87" s="76" t="s">
        <v>315</v>
      </c>
      <c r="D87" s="77" t="str">
        <f>PROPER(TRIM(Range!$C87&amp;" "&amp;Range!$C87))</f>
        <v>Shaykh Shaykh</v>
      </c>
      <c r="E87" s="76" t="s">
        <v>100</v>
      </c>
      <c r="F87" s="76" t="s">
        <v>644</v>
      </c>
      <c r="G87" s="76" t="s">
        <v>1100</v>
      </c>
      <c r="H87" s="78" t="s">
        <v>11</v>
      </c>
      <c r="I87" s="78" t="s">
        <v>9</v>
      </c>
      <c r="J87" s="79" t="s">
        <v>10</v>
      </c>
      <c r="K87" s="76" t="s">
        <v>880</v>
      </c>
      <c r="L87" s="80">
        <v>14</v>
      </c>
      <c r="M87" s="81">
        <v>12</v>
      </c>
      <c r="N87" s="81">
        <v>2018</v>
      </c>
      <c r="O87" s="82">
        <f>DATE(Range!$N87,Range!$M87,Range!$L87)</f>
        <v>43448</v>
      </c>
      <c r="P87" s="82">
        <f t="shared" ca="1" si="1"/>
        <v>46071</v>
      </c>
      <c r="Q87" s="81">
        <f ca="1">DATEDIF(Range!$O87,Range!$P87,"Y")</f>
        <v>7</v>
      </c>
      <c r="R87" s="83">
        <v>4621</v>
      </c>
      <c r="S87" s="84">
        <f>Range!$R87*0.1</f>
        <v>462.1</v>
      </c>
      <c r="T87" s="85">
        <f>Range!$R87*0.03</f>
        <v>138.63</v>
      </c>
      <c r="U87" s="86">
        <f>Range!$R87-Range!$S87+Range!$T87</f>
        <v>4297.53</v>
      </c>
      <c r="V87" s="87" t="str">
        <f>IF(Range!$U87&gt;=6000,"Over","Normal")</f>
        <v>Normal</v>
      </c>
      <c r="W87" s="88">
        <f>VLOOKUP(Range!$U87,$Z$10:$AA$14,2)</f>
        <v>0.05</v>
      </c>
    </row>
    <row r="88" spans="1:23" ht="15.75" customHeight="1">
      <c r="A88" s="61">
        <v>1087</v>
      </c>
      <c r="B88" s="62" t="s">
        <v>316</v>
      </c>
      <c r="C88" s="62" t="s">
        <v>317</v>
      </c>
      <c r="D88" s="63" t="str">
        <f>PROPER(TRIM(Range!$C88&amp;" "&amp;Range!$C88))</f>
        <v>Suqbani Suqbani</v>
      </c>
      <c r="E88" s="62" t="s">
        <v>100</v>
      </c>
      <c r="F88" s="62" t="s">
        <v>645</v>
      </c>
      <c r="G88" s="62" t="s">
        <v>17</v>
      </c>
      <c r="H88" s="64" t="s">
        <v>8</v>
      </c>
      <c r="I88" s="64" t="s">
        <v>27</v>
      </c>
      <c r="J88" s="65" t="s">
        <v>10</v>
      </c>
      <c r="K88" s="62" t="s">
        <v>881</v>
      </c>
      <c r="L88" s="66">
        <v>14</v>
      </c>
      <c r="M88" s="67">
        <v>12</v>
      </c>
      <c r="N88" s="67">
        <v>1993</v>
      </c>
      <c r="O88" s="68">
        <f>DATE(Range!$N88,Range!$M88,Range!$L88)</f>
        <v>34317</v>
      </c>
      <c r="P88" s="68">
        <f t="shared" ca="1" si="1"/>
        <v>46071</v>
      </c>
      <c r="Q88" s="67">
        <f ca="1">DATEDIF(Range!$O88,Range!$P88,"Y")</f>
        <v>32</v>
      </c>
      <c r="R88" s="69">
        <v>2093</v>
      </c>
      <c r="S88" s="70">
        <f>Range!$R88*0.1</f>
        <v>209.3</v>
      </c>
      <c r="T88" s="71">
        <f>Range!$R88*0.03</f>
        <v>62.79</v>
      </c>
      <c r="U88" s="72">
        <f>Range!$R88-Range!$S88+Range!$T88</f>
        <v>1946.49</v>
      </c>
      <c r="V88" s="73" t="str">
        <f>IF(Range!$U88&gt;=6000,"Over","Normal")</f>
        <v>Normal</v>
      </c>
      <c r="W88" s="74">
        <f>VLOOKUP(Range!$U88,$Z$10:$AA$14,2)</f>
        <v>0.08</v>
      </c>
    </row>
    <row r="89" spans="1:23" ht="15.75" customHeight="1">
      <c r="A89" s="75">
        <v>1088</v>
      </c>
      <c r="B89" s="76" t="s">
        <v>318</v>
      </c>
      <c r="C89" s="76" t="s">
        <v>319</v>
      </c>
      <c r="D89" s="77" t="str">
        <f>PROPER(TRIM(Range!$C89&amp;" "&amp;Range!$C89))</f>
        <v>Qarqazan Qarqazan</v>
      </c>
      <c r="E89" s="76" t="s">
        <v>99</v>
      </c>
      <c r="F89" s="76" t="s">
        <v>646</v>
      </c>
      <c r="G89" s="76" t="s">
        <v>1100</v>
      </c>
      <c r="H89" s="78" t="s">
        <v>8</v>
      </c>
      <c r="I89" s="78" t="s">
        <v>264</v>
      </c>
      <c r="J89" s="79" t="s">
        <v>20</v>
      </c>
      <c r="K89" s="76" t="s">
        <v>882</v>
      </c>
      <c r="L89" s="80">
        <v>20</v>
      </c>
      <c r="M89" s="81">
        <v>5</v>
      </c>
      <c r="N89" s="81">
        <v>2002</v>
      </c>
      <c r="O89" s="82">
        <f>DATE(Range!$N89,Range!$M89,Range!$L89)</f>
        <v>37396</v>
      </c>
      <c r="P89" s="82">
        <f t="shared" ca="1" si="1"/>
        <v>46071</v>
      </c>
      <c r="Q89" s="81">
        <f ca="1">DATEDIF(Range!$O89,Range!$P89,"Y")</f>
        <v>23</v>
      </c>
      <c r="R89" s="83">
        <v>7333</v>
      </c>
      <c r="S89" s="84">
        <f>Range!$R89*0.1</f>
        <v>733.30000000000007</v>
      </c>
      <c r="T89" s="85">
        <f>Range!$R89*0.03</f>
        <v>219.98999999999998</v>
      </c>
      <c r="U89" s="86">
        <f>Range!$R89-Range!$S89+Range!$T89</f>
        <v>6819.69</v>
      </c>
      <c r="V89" s="87" t="str">
        <f>IF(Range!$U89&gt;=6000,"Over","Normal")</f>
        <v>Over</v>
      </c>
      <c r="W89" s="88">
        <f>VLOOKUP(Range!$U89,$Z$10:$AA$14,2)</f>
        <v>0.02</v>
      </c>
    </row>
    <row r="90" spans="1:23" ht="15.75" customHeight="1">
      <c r="A90" s="61">
        <v>1089</v>
      </c>
      <c r="B90" s="62" t="s">
        <v>126</v>
      </c>
      <c r="C90" s="62" t="s">
        <v>320</v>
      </c>
      <c r="D90" s="63" t="str">
        <f>PROPER(TRIM(Range!$C90&amp;" "&amp;Range!$C90))</f>
        <v>Alsaeid Alsaeid</v>
      </c>
      <c r="E90" s="62" t="s">
        <v>100</v>
      </c>
      <c r="F90" s="62" t="s">
        <v>647</v>
      </c>
      <c r="G90" s="62" t="s">
        <v>17</v>
      </c>
      <c r="H90" s="64" t="s">
        <v>11</v>
      </c>
      <c r="I90" s="64" t="s">
        <v>15</v>
      </c>
      <c r="J90" s="65" t="s">
        <v>20</v>
      </c>
      <c r="K90" s="62" t="s">
        <v>883</v>
      </c>
      <c r="L90" s="66">
        <v>16</v>
      </c>
      <c r="M90" s="67">
        <v>9</v>
      </c>
      <c r="N90" s="67">
        <v>2008</v>
      </c>
      <c r="O90" s="68">
        <f>DATE(Range!$N90,Range!$M90,Range!$L90)</f>
        <v>39707</v>
      </c>
      <c r="P90" s="68">
        <f t="shared" ca="1" si="1"/>
        <v>46071</v>
      </c>
      <c r="Q90" s="67">
        <f ca="1">DATEDIF(Range!$O90,Range!$P90,"Y")</f>
        <v>17</v>
      </c>
      <c r="R90" s="69">
        <v>1194</v>
      </c>
      <c r="S90" s="70">
        <f>Range!$R90*0.1</f>
        <v>119.4</v>
      </c>
      <c r="T90" s="71">
        <f>Range!$R90*0.03</f>
        <v>35.82</v>
      </c>
      <c r="U90" s="72">
        <f>Range!$R90-Range!$S90+Range!$T90</f>
        <v>1110.4199999999998</v>
      </c>
      <c r="V90" s="73" t="str">
        <f>IF(Range!$U90&gt;=6000,"Over","Normal")</f>
        <v>Normal</v>
      </c>
      <c r="W90" s="74">
        <f>VLOOKUP(Range!$U90,$Z$10:$AA$14,2)</f>
        <v>0.08</v>
      </c>
    </row>
    <row r="91" spans="1:23" ht="15.75" customHeight="1">
      <c r="A91" s="75">
        <v>1090</v>
      </c>
      <c r="B91" s="76" t="s">
        <v>321</v>
      </c>
      <c r="C91" s="76" t="s">
        <v>322</v>
      </c>
      <c r="D91" s="77" t="str">
        <f>PROPER(TRIM(Range!$C91&amp;" "&amp;Range!$C91))</f>
        <v>Alhifar Alhifar</v>
      </c>
      <c r="E91" s="76" t="s">
        <v>100</v>
      </c>
      <c r="F91" s="76" t="s">
        <v>648</v>
      </c>
      <c r="G91" s="76" t="s">
        <v>7</v>
      </c>
      <c r="H91" s="78" t="s">
        <v>8</v>
      </c>
      <c r="I91" s="78" t="s">
        <v>15</v>
      </c>
      <c r="J91" s="79" t="s">
        <v>23</v>
      </c>
      <c r="K91" s="76" t="s">
        <v>884</v>
      </c>
      <c r="L91" s="80">
        <v>6</v>
      </c>
      <c r="M91" s="81">
        <v>11</v>
      </c>
      <c r="N91" s="81">
        <v>2015</v>
      </c>
      <c r="O91" s="82">
        <f>DATE(Range!$N91,Range!$M91,Range!$L91)</f>
        <v>42314</v>
      </c>
      <c r="P91" s="82">
        <f t="shared" ca="1" si="1"/>
        <v>46071</v>
      </c>
      <c r="Q91" s="81">
        <f ca="1">DATEDIF(Range!$O91,Range!$P91,"Y")</f>
        <v>10</v>
      </c>
      <c r="R91" s="83">
        <v>5118</v>
      </c>
      <c r="S91" s="84">
        <f>Range!$R91*0.1</f>
        <v>511.8</v>
      </c>
      <c r="T91" s="85">
        <f>Range!$R91*0.03</f>
        <v>153.54</v>
      </c>
      <c r="U91" s="86">
        <f>Range!$R91-Range!$S91+Range!$T91</f>
        <v>4759.74</v>
      </c>
      <c r="V91" s="87" t="str">
        <f>IF(Range!$U91&gt;=6000,"Over","Normal")</f>
        <v>Normal</v>
      </c>
      <c r="W91" s="88">
        <f>VLOOKUP(Range!$U91,$Z$10:$AA$14,2)</f>
        <v>0.05</v>
      </c>
    </row>
    <row r="92" spans="1:23" ht="15.75" customHeight="1">
      <c r="A92" s="61">
        <v>1091</v>
      </c>
      <c r="B92" s="62" t="s">
        <v>323</v>
      </c>
      <c r="C92" s="62" t="s">
        <v>324</v>
      </c>
      <c r="D92" s="63" t="str">
        <f>PROPER(TRIM(Range!$C92&amp;" "&amp;Range!$C92))</f>
        <v>Alrz Alrz</v>
      </c>
      <c r="E92" s="62" t="s">
        <v>100</v>
      </c>
      <c r="F92" s="62" t="s">
        <v>649</v>
      </c>
      <c r="G92" s="62" t="s">
        <v>17</v>
      </c>
      <c r="H92" s="64" t="s">
        <v>8</v>
      </c>
      <c r="I92" s="64" t="s">
        <v>28</v>
      </c>
      <c r="J92" s="65" t="s">
        <v>20</v>
      </c>
      <c r="K92" s="62" t="s">
        <v>885</v>
      </c>
      <c r="L92" s="66">
        <v>28</v>
      </c>
      <c r="M92" s="67">
        <v>5</v>
      </c>
      <c r="N92" s="67">
        <v>2004</v>
      </c>
      <c r="O92" s="68">
        <f>DATE(Range!$N92,Range!$M92,Range!$L92)</f>
        <v>38135</v>
      </c>
      <c r="P92" s="68">
        <f t="shared" ca="1" si="1"/>
        <v>46071</v>
      </c>
      <c r="Q92" s="67">
        <f ca="1">DATEDIF(Range!$O92,Range!$P92,"Y")</f>
        <v>21</v>
      </c>
      <c r="R92" s="69">
        <v>5373</v>
      </c>
      <c r="S92" s="70">
        <f>Range!$R92*0.1</f>
        <v>537.30000000000007</v>
      </c>
      <c r="T92" s="71">
        <f>Range!$R92*0.03</f>
        <v>161.19</v>
      </c>
      <c r="U92" s="72">
        <f>Range!$R92-Range!$S92+Range!$T92</f>
        <v>4996.8899999999994</v>
      </c>
      <c r="V92" s="73" t="str">
        <f>IF(Range!$U92&gt;=6000,"Over","Normal")</f>
        <v>Normal</v>
      </c>
      <c r="W92" s="74">
        <f>VLOOKUP(Range!$U92,$Z$10:$AA$14,2)</f>
        <v>0.05</v>
      </c>
    </row>
    <row r="93" spans="1:23" ht="15.75" customHeight="1">
      <c r="A93" s="75">
        <v>1092</v>
      </c>
      <c r="B93" s="76" t="s">
        <v>325</v>
      </c>
      <c r="C93" s="76" t="s">
        <v>326</v>
      </c>
      <c r="D93" s="77" t="str">
        <f>PROPER(TRIM(Range!$C93&amp;" "&amp;Range!$C93))</f>
        <v>Alhariri Alhariri</v>
      </c>
      <c r="E93" s="76" t="s">
        <v>99</v>
      </c>
      <c r="F93" s="76" t="s">
        <v>650</v>
      </c>
      <c r="G93" s="76" t="s">
        <v>17</v>
      </c>
      <c r="H93" s="78" t="s">
        <v>14</v>
      </c>
      <c r="I93" s="78" t="s">
        <v>29</v>
      </c>
      <c r="J93" s="79" t="s">
        <v>10</v>
      </c>
      <c r="K93" s="76" t="s">
        <v>886</v>
      </c>
      <c r="L93" s="80">
        <v>27</v>
      </c>
      <c r="M93" s="81">
        <v>7</v>
      </c>
      <c r="N93" s="81">
        <v>2011</v>
      </c>
      <c r="O93" s="82">
        <f>DATE(Range!$N93,Range!$M93,Range!$L93)</f>
        <v>40751</v>
      </c>
      <c r="P93" s="82">
        <f t="shared" ca="1" si="1"/>
        <v>46071</v>
      </c>
      <c r="Q93" s="81">
        <f ca="1">DATEDIF(Range!$O93,Range!$P93,"Y")</f>
        <v>14</v>
      </c>
      <c r="R93" s="83">
        <v>1708</v>
      </c>
      <c r="S93" s="84">
        <f>Range!$R93*0.1</f>
        <v>170.8</v>
      </c>
      <c r="T93" s="85">
        <f>Range!$R93*0.03</f>
        <v>51.239999999999995</v>
      </c>
      <c r="U93" s="86">
        <f>Range!$R93-Range!$S93+Range!$T93</f>
        <v>1588.44</v>
      </c>
      <c r="V93" s="87" t="str">
        <f>IF(Range!$U93&gt;=6000,"Over","Normal")</f>
        <v>Normal</v>
      </c>
      <c r="W93" s="88">
        <f>VLOOKUP(Range!$U93,$Z$10:$AA$14,2)</f>
        <v>0.08</v>
      </c>
    </row>
    <row r="94" spans="1:23" ht="15.75" customHeight="1">
      <c r="A94" s="61">
        <v>1093</v>
      </c>
      <c r="B94" s="62" t="s">
        <v>327</v>
      </c>
      <c r="C94" s="62" t="s">
        <v>328</v>
      </c>
      <c r="D94" s="63" t="str">
        <f>PROPER(TRIM(Range!$C94&amp;" "&amp;Range!$C94))</f>
        <v>Alhusayn Alhusayn</v>
      </c>
      <c r="E94" s="62" t="s">
        <v>99</v>
      </c>
      <c r="F94" s="62" t="s">
        <v>651</v>
      </c>
      <c r="G94" s="62" t="s">
        <v>19</v>
      </c>
      <c r="H94" s="64" t="s">
        <v>8</v>
      </c>
      <c r="I94" s="64" t="s">
        <v>264</v>
      </c>
      <c r="J94" s="65" t="s">
        <v>23</v>
      </c>
      <c r="K94" s="62" t="s">
        <v>887</v>
      </c>
      <c r="L94" s="66">
        <v>11</v>
      </c>
      <c r="M94" s="67">
        <v>8</v>
      </c>
      <c r="N94" s="67">
        <v>2019</v>
      </c>
      <c r="O94" s="68">
        <f>DATE(Range!$N94,Range!$M94,Range!$L94)</f>
        <v>43688</v>
      </c>
      <c r="P94" s="68">
        <f t="shared" ca="1" si="1"/>
        <v>46071</v>
      </c>
      <c r="Q94" s="67">
        <f ca="1">DATEDIF(Range!$O94,Range!$P94,"Y")</f>
        <v>6</v>
      </c>
      <c r="R94" s="69">
        <v>2898</v>
      </c>
      <c r="S94" s="70">
        <f>Range!$R94*0.1</f>
        <v>289.8</v>
      </c>
      <c r="T94" s="71">
        <f>Range!$R94*0.03</f>
        <v>86.94</v>
      </c>
      <c r="U94" s="72">
        <f>Range!$R94-Range!$S94+Range!$T94</f>
        <v>2695.14</v>
      </c>
      <c r="V94" s="73" t="str">
        <f>IF(Range!$U94&gt;=6000,"Over","Normal")</f>
        <v>Normal</v>
      </c>
      <c r="W94" s="74">
        <f>VLOOKUP(Range!$U94,$Z$10:$AA$14,2)</f>
        <v>0.08</v>
      </c>
    </row>
    <row r="95" spans="1:23" ht="15.75" customHeight="1">
      <c r="A95" s="75">
        <v>1094</v>
      </c>
      <c r="B95" s="76" t="s">
        <v>118</v>
      </c>
      <c r="C95" s="76" t="s">
        <v>329</v>
      </c>
      <c r="D95" s="77" t="str">
        <f>PROPER(TRIM(Range!$C95&amp;" "&amp;Range!$C95))</f>
        <v>Alqasir Alqasir</v>
      </c>
      <c r="E95" s="76" t="s">
        <v>100</v>
      </c>
      <c r="F95" s="76" t="s">
        <v>652</v>
      </c>
      <c r="G95" s="76" t="s">
        <v>7</v>
      </c>
      <c r="H95" s="78" t="s">
        <v>11</v>
      </c>
      <c r="I95" s="78" t="s">
        <v>26</v>
      </c>
      <c r="J95" s="79" t="s">
        <v>10</v>
      </c>
      <c r="K95" s="76" t="s">
        <v>888</v>
      </c>
      <c r="L95" s="80">
        <v>16</v>
      </c>
      <c r="M95" s="81">
        <v>10</v>
      </c>
      <c r="N95" s="81">
        <v>2007</v>
      </c>
      <c r="O95" s="82">
        <f>DATE(Range!$N95,Range!$M95,Range!$L95)</f>
        <v>39371</v>
      </c>
      <c r="P95" s="82">
        <f t="shared" ca="1" si="1"/>
        <v>46071</v>
      </c>
      <c r="Q95" s="81">
        <f ca="1">DATEDIF(Range!$O95,Range!$P95,"Y")</f>
        <v>18</v>
      </c>
      <c r="R95" s="83">
        <v>6211</v>
      </c>
      <c r="S95" s="84">
        <f>Range!$R95*0.1</f>
        <v>621.1</v>
      </c>
      <c r="T95" s="85">
        <f>Range!$R95*0.03</f>
        <v>186.32999999999998</v>
      </c>
      <c r="U95" s="86">
        <f>Range!$R95-Range!$S95+Range!$T95</f>
        <v>5776.23</v>
      </c>
      <c r="V95" s="87" t="str">
        <f>IF(Range!$U95&gt;=6000,"Over","Normal")</f>
        <v>Normal</v>
      </c>
      <c r="W95" s="88">
        <f>VLOOKUP(Range!$U95,$Z$10:$AA$14,2)</f>
        <v>0.05</v>
      </c>
    </row>
    <row r="96" spans="1:23" ht="15.75" customHeight="1">
      <c r="A96" s="61">
        <v>1095</v>
      </c>
      <c r="B96" s="62" t="s">
        <v>330</v>
      </c>
      <c r="C96" s="62" t="s">
        <v>331</v>
      </c>
      <c r="D96" s="63" t="str">
        <f>PROPER(TRIM(Range!$C96&amp;" "&amp;Range!$C96))</f>
        <v>Salih Salih</v>
      </c>
      <c r="E96" s="62" t="s">
        <v>100</v>
      </c>
      <c r="F96" s="62" t="s">
        <v>653</v>
      </c>
      <c r="G96" s="62" t="s">
        <v>19</v>
      </c>
      <c r="H96" s="64" t="s">
        <v>8</v>
      </c>
      <c r="I96" s="64" t="s">
        <v>9</v>
      </c>
      <c r="J96" s="65" t="s">
        <v>10</v>
      </c>
      <c r="K96" s="62" t="s">
        <v>889</v>
      </c>
      <c r="L96" s="66">
        <v>25</v>
      </c>
      <c r="M96" s="67">
        <v>12</v>
      </c>
      <c r="N96" s="67">
        <v>2020</v>
      </c>
      <c r="O96" s="68">
        <f>DATE(Range!$N96,Range!$M96,Range!$L96)</f>
        <v>44190</v>
      </c>
      <c r="P96" s="68">
        <f t="shared" ca="1" si="1"/>
        <v>46071</v>
      </c>
      <c r="Q96" s="67">
        <f ca="1">DATEDIF(Range!$O96,Range!$P96,"Y")</f>
        <v>5</v>
      </c>
      <c r="R96" s="69">
        <v>5976</v>
      </c>
      <c r="S96" s="70">
        <f>Range!$R96*0.1</f>
        <v>597.6</v>
      </c>
      <c r="T96" s="71">
        <f>Range!$R96*0.03</f>
        <v>179.28</v>
      </c>
      <c r="U96" s="72">
        <f>Range!$R96-Range!$S96+Range!$T96</f>
        <v>5557.6799999999994</v>
      </c>
      <c r="V96" s="73" t="str">
        <f>IF(Range!$U96&gt;=6000,"Over","Normal")</f>
        <v>Normal</v>
      </c>
      <c r="W96" s="74">
        <f>VLOOKUP(Range!$U96,$Z$10:$AA$14,2)</f>
        <v>0.05</v>
      </c>
    </row>
    <row r="97" spans="1:23" ht="15.75" customHeight="1">
      <c r="A97" s="75">
        <v>1096</v>
      </c>
      <c r="B97" s="76" t="s">
        <v>105</v>
      </c>
      <c r="C97" s="76" t="s">
        <v>332</v>
      </c>
      <c r="D97" s="77" t="str">
        <f>PROPER(TRIM(Range!$C97&amp;" "&amp;Range!$C97))</f>
        <v>Alhumwi Alhumwi</v>
      </c>
      <c r="E97" s="76" t="s">
        <v>99</v>
      </c>
      <c r="F97" s="76" t="s">
        <v>654</v>
      </c>
      <c r="G97" s="76" t="s">
        <v>19</v>
      </c>
      <c r="H97" s="78" t="s">
        <v>11</v>
      </c>
      <c r="I97" s="78" t="s">
        <v>9</v>
      </c>
      <c r="J97" s="79" t="s">
        <v>20</v>
      </c>
      <c r="K97" s="76" t="s">
        <v>890</v>
      </c>
      <c r="L97" s="80">
        <v>28</v>
      </c>
      <c r="M97" s="81">
        <v>10</v>
      </c>
      <c r="N97" s="81">
        <v>1997</v>
      </c>
      <c r="O97" s="82">
        <f>DATE(Range!$N97,Range!$M97,Range!$L97)</f>
        <v>35731</v>
      </c>
      <c r="P97" s="82">
        <f t="shared" ca="1" si="1"/>
        <v>46071</v>
      </c>
      <c r="Q97" s="81">
        <f ca="1">DATEDIF(Range!$O97,Range!$P97,"Y")</f>
        <v>28</v>
      </c>
      <c r="R97" s="83">
        <v>742</v>
      </c>
      <c r="S97" s="84">
        <f>Range!$R97*0.1</f>
        <v>74.2</v>
      </c>
      <c r="T97" s="85">
        <f>Range!$R97*0.03</f>
        <v>22.259999999999998</v>
      </c>
      <c r="U97" s="86">
        <f>Range!$R97-Range!$S97+Range!$T97</f>
        <v>690.06</v>
      </c>
      <c r="V97" s="87" t="str">
        <f>IF(Range!$U97&gt;=6000,"Over","Normal")</f>
        <v>Normal</v>
      </c>
      <c r="W97" s="88">
        <f>VLOOKUP(Range!$U97,$Z$10:$AA$14,2)</f>
        <v>0.1</v>
      </c>
    </row>
    <row r="98" spans="1:23" ht="15.75" customHeight="1">
      <c r="A98" s="61">
        <v>1097</v>
      </c>
      <c r="B98" s="62" t="s">
        <v>118</v>
      </c>
      <c r="C98" s="62" t="s">
        <v>333</v>
      </c>
      <c r="D98" s="63" t="str">
        <f>PROPER(TRIM(Range!$C98&amp;" "&amp;Range!$C98))</f>
        <v>Saed Saed</v>
      </c>
      <c r="E98" s="62" t="s">
        <v>99</v>
      </c>
      <c r="F98" s="62" t="s">
        <v>655</v>
      </c>
      <c r="G98" s="62" t="s">
        <v>13</v>
      </c>
      <c r="H98" s="64" t="s">
        <v>11</v>
      </c>
      <c r="I98" s="64" t="s">
        <v>27</v>
      </c>
      <c r="J98" s="65" t="s">
        <v>10</v>
      </c>
      <c r="K98" s="62" t="s">
        <v>891</v>
      </c>
      <c r="L98" s="66">
        <v>3</v>
      </c>
      <c r="M98" s="67">
        <v>4</v>
      </c>
      <c r="N98" s="67">
        <v>2008</v>
      </c>
      <c r="O98" s="68">
        <f>DATE(Range!$N98,Range!$M98,Range!$L98)</f>
        <v>39541</v>
      </c>
      <c r="P98" s="68">
        <f t="shared" ca="1" si="1"/>
        <v>46071</v>
      </c>
      <c r="Q98" s="67">
        <f ca="1">DATEDIF(Range!$O98,Range!$P98,"Y")</f>
        <v>17</v>
      </c>
      <c r="R98" s="69">
        <v>5918</v>
      </c>
      <c r="S98" s="70">
        <f>Range!$R98*0.1</f>
        <v>591.80000000000007</v>
      </c>
      <c r="T98" s="71">
        <f>Range!$R98*0.03</f>
        <v>177.54</v>
      </c>
      <c r="U98" s="72">
        <f>Range!$R98-Range!$S98+Range!$T98</f>
        <v>5503.74</v>
      </c>
      <c r="V98" s="73" t="str">
        <f>IF(Range!$U98&gt;=6000,"Over","Normal")</f>
        <v>Normal</v>
      </c>
      <c r="W98" s="74">
        <f>VLOOKUP(Range!$U98,$Z$10:$AA$14,2)</f>
        <v>0.05</v>
      </c>
    </row>
    <row r="99" spans="1:23" ht="15.75" customHeight="1">
      <c r="A99" s="75">
        <v>1098</v>
      </c>
      <c r="B99" s="76" t="s">
        <v>334</v>
      </c>
      <c r="C99" s="76" t="s">
        <v>335</v>
      </c>
      <c r="D99" s="77" t="str">
        <f>PROPER(TRIM(Range!$C99&amp;" "&amp;Range!$C99))</f>
        <v>Alahmar Alahmar</v>
      </c>
      <c r="E99" s="76" t="s">
        <v>99</v>
      </c>
      <c r="F99" s="76" t="s">
        <v>656</v>
      </c>
      <c r="G99" s="76" t="s">
        <v>13</v>
      </c>
      <c r="H99" s="78" t="s">
        <v>11</v>
      </c>
      <c r="I99" s="78" t="s">
        <v>15</v>
      </c>
      <c r="J99" s="79" t="s">
        <v>23</v>
      </c>
      <c r="K99" s="76" t="s">
        <v>892</v>
      </c>
      <c r="L99" s="80">
        <v>3</v>
      </c>
      <c r="M99" s="81">
        <v>1</v>
      </c>
      <c r="N99" s="81">
        <v>1998</v>
      </c>
      <c r="O99" s="82">
        <f>DATE(Range!$N99,Range!$M99,Range!$L99)</f>
        <v>35798</v>
      </c>
      <c r="P99" s="82">
        <f t="shared" ca="1" si="1"/>
        <v>46071</v>
      </c>
      <c r="Q99" s="81">
        <f ca="1">DATEDIF(Range!$O99,Range!$P99,"Y")</f>
        <v>28</v>
      </c>
      <c r="R99" s="83">
        <v>3074</v>
      </c>
      <c r="S99" s="84">
        <f>Range!$R99*0.1</f>
        <v>307.40000000000003</v>
      </c>
      <c r="T99" s="85">
        <f>Range!$R99*0.03</f>
        <v>92.22</v>
      </c>
      <c r="U99" s="86">
        <f>Range!$R99-Range!$S99+Range!$T99</f>
        <v>2858.8199999999997</v>
      </c>
      <c r="V99" s="87" t="str">
        <f>IF(Range!$U99&gt;=6000,"Over","Normal")</f>
        <v>Normal</v>
      </c>
      <c r="W99" s="88">
        <f>VLOOKUP(Range!$U99,$Z$10:$AA$14,2)</f>
        <v>0.08</v>
      </c>
    </row>
    <row r="100" spans="1:23" ht="15.75" customHeight="1">
      <c r="A100" s="61">
        <v>1099</v>
      </c>
      <c r="B100" s="62" t="s">
        <v>336</v>
      </c>
      <c r="C100" s="62" t="s">
        <v>337</v>
      </c>
      <c r="D100" s="63" t="str">
        <f>PROPER(TRIM(Range!$C100&amp;" "&amp;Range!$C100))</f>
        <v>Sharabi Sharabi</v>
      </c>
      <c r="E100" s="62" t="s">
        <v>99</v>
      </c>
      <c r="F100" s="62" t="s">
        <v>657</v>
      </c>
      <c r="G100" s="62" t="s">
        <v>19</v>
      </c>
      <c r="H100" s="64" t="s">
        <v>8</v>
      </c>
      <c r="I100" s="64" t="s">
        <v>9</v>
      </c>
      <c r="J100" s="65" t="s">
        <v>23</v>
      </c>
      <c r="K100" s="62" t="s">
        <v>893</v>
      </c>
      <c r="L100" s="66">
        <v>21</v>
      </c>
      <c r="M100" s="67">
        <v>4</v>
      </c>
      <c r="N100" s="67">
        <v>2006</v>
      </c>
      <c r="O100" s="68">
        <f>DATE(Range!$N100,Range!$M100,Range!$L100)</f>
        <v>38828</v>
      </c>
      <c r="P100" s="68">
        <f t="shared" ca="1" si="1"/>
        <v>46071</v>
      </c>
      <c r="Q100" s="67">
        <f ca="1">DATEDIF(Range!$O100,Range!$P100,"Y")</f>
        <v>19</v>
      </c>
      <c r="R100" s="69">
        <v>5688</v>
      </c>
      <c r="S100" s="70">
        <f>Range!$R100*0.1</f>
        <v>568.80000000000007</v>
      </c>
      <c r="T100" s="71">
        <f>Range!$R100*0.03</f>
        <v>170.64</v>
      </c>
      <c r="U100" s="72">
        <f>Range!$R100-Range!$S100+Range!$T100</f>
        <v>5289.84</v>
      </c>
      <c r="V100" s="73" t="str">
        <f>IF(Range!$U100&gt;=6000,"Over","Normal")</f>
        <v>Normal</v>
      </c>
      <c r="W100" s="74">
        <f>VLOOKUP(Range!$U100,$Z$10:$AA$14,2)</f>
        <v>0.05</v>
      </c>
    </row>
    <row r="101" spans="1:23" ht="15.75" customHeight="1">
      <c r="A101" s="75">
        <v>1100</v>
      </c>
      <c r="B101" s="76" t="s">
        <v>338</v>
      </c>
      <c r="C101" s="76" t="s">
        <v>339</v>
      </c>
      <c r="D101" s="77" t="str">
        <f>PROPER(TRIM(Range!$C101&amp;" "&amp;Range!$C101))</f>
        <v>Durkzili Durkzili</v>
      </c>
      <c r="E101" s="76" t="s">
        <v>99</v>
      </c>
      <c r="F101" s="76" t="s">
        <v>658</v>
      </c>
      <c r="G101" s="76" t="s">
        <v>13</v>
      </c>
      <c r="H101" s="78" t="s">
        <v>11</v>
      </c>
      <c r="I101" s="78" t="s">
        <v>9</v>
      </c>
      <c r="J101" s="79" t="s">
        <v>10</v>
      </c>
      <c r="K101" s="76" t="s">
        <v>894</v>
      </c>
      <c r="L101" s="80">
        <v>25</v>
      </c>
      <c r="M101" s="81">
        <v>9</v>
      </c>
      <c r="N101" s="81">
        <v>2003</v>
      </c>
      <c r="O101" s="82">
        <f>DATE(Range!$N101,Range!$M101,Range!$L101)</f>
        <v>37889</v>
      </c>
      <c r="P101" s="82">
        <f t="shared" ca="1" si="1"/>
        <v>46071</v>
      </c>
      <c r="Q101" s="81">
        <f ca="1">DATEDIF(Range!$O101,Range!$P101,"Y")</f>
        <v>22</v>
      </c>
      <c r="R101" s="83">
        <v>3362</v>
      </c>
      <c r="S101" s="84">
        <f>Range!$R101*0.1</f>
        <v>336.20000000000005</v>
      </c>
      <c r="T101" s="85">
        <f>Range!$R101*0.03</f>
        <v>100.86</v>
      </c>
      <c r="U101" s="86">
        <f>Range!$R101-Range!$S101+Range!$T101</f>
        <v>3126.6600000000003</v>
      </c>
      <c r="V101" s="87" t="str">
        <f>IF(Range!$U101&gt;=6000,"Over","Normal")</f>
        <v>Normal</v>
      </c>
      <c r="W101" s="88">
        <f>VLOOKUP(Range!$U101,$Z$10:$AA$14,2)</f>
        <v>0.05</v>
      </c>
    </row>
    <row r="102" spans="1:23" ht="15.75" customHeight="1">
      <c r="A102" s="61">
        <v>1101</v>
      </c>
      <c r="B102" s="62" t="s">
        <v>340</v>
      </c>
      <c r="C102" s="62" t="s">
        <v>341</v>
      </c>
      <c r="D102" s="63" t="str">
        <f>PROPER(TRIM(Range!$C102&amp;" "&amp;Range!$C102))</f>
        <v>Husu Husu</v>
      </c>
      <c r="E102" s="62" t="s">
        <v>100</v>
      </c>
      <c r="F102" s="62" t="s">
        <v>659</v>
      </c>
      <c r="G102" s="62" t="s">
        <v>17</v>
      </c>
      <c r="H102" s="64" t="s">
        <v>11</v>
      </c>
      <c r="I102" s="64" t="s">
        <v>9</v>
      </c>
      <c r="J102" s="65" t="s">
        <v>23</v>
      </c>
      <c r="K102" s="62" t="s">
        <v>895</v>
      </c>
      <c r="L102" s="66">
        <v>23</v>
      </c>
      <c r="M102" s="67">
        <v>9</v>
      </c>
      <c r="N102" s="67">
        <v>1996</v>
      </c>
      <c r="O102" s="68">
        <f>DATE(Range!$N102,Range!$M102,Range!$L102)</f>
        <v>35331</v>
      </c>
      <c r="P102" s="68">
        <f t="shared" ca="1" si="1"/>
        <v>46071</v>
      </c>
      <c r="Q102" s="67">
        <f ca="1">DATEDIF(Range!$O102,Range!$P102,"Y")</f>
        <v>29</v>
      </c>
      <c r="R102" s="69">
        <v>6043</v>
      </c>
      <c r="S102" s="70">
        <f>Range!$R102*0.1</f>
        <v>604.30000000000007</v>
      </c>
      <c r="T102" s="71">
        <f>Range!$R102*0.03</f>
        <v>181.29</v>
      </c>
      <c r="U102" s="72">
        <f>Range!$R102-Range!$S102+Range!$T102</f>
        <v>5619.99</v>
      </c>
      <c r="V102" s="73" t="str">
        <f>IF(Range!$U102&gt;=6000,"Over","Normal")</f>
        <v>Normal</v>
      </c>
      <c r="W102" s="74">
        <f>VLOOKUP(Range!$U102,$Z$10:$AA$14,2)</f>
        <v>0.05</v>
      </c>
    </row>
    <row r="103" spans="1:23" ht="15.75" customHeight="1">
      <c r="A103" s="75">
        <v>1102</v>
      </c>
      <c r="B103" s="76" t="s">
        <v>342</v>
      </c>
      <c r="C103" s="76" t="s">
        <v>343</v>
      </c>
      <c r="D103" s="77" t="str">
        <f>PROPER(TRIM(Range!$C103&amp;" "&amp;Range!$C103))</f>
        <v>Eilwan Eilwan</v>
      </c>
      <c r="E103" s="76" t="s">
        <v>99</v>
      </c>
      <c r="F103" s="76" t="s">
        <v>660</v>
      </c>
      <c r="G103" s="76" t="s">
        <v>17</v>
      </c>
      <c r="H103" s="78" t="s">
        <v>8</v>
      </c>
      <c r="I103" s="78" t="s">
        <v>9</v>
      </c>
      <c r="J103" s="79" t="s">
        <v>10</v>
      </c>
      <c r="K103" s="76" t="s">
        <v>896</v>
      </c>
      <c r="L103" s="80">
        <v>26</v>
      </c>
      <c r="M103" s="81">
        <v>8</v>
      </c>
      <c r="N103" s="81">
        <v>2022</v>
      </c>
      <c r="O103" s="82">
        <f>DATE(Range!$N103,Range!$M103,Range!$L103)</f>
        <v>44799</v>
      </c>
      <c r="P103" s="82">
        <f t="shared" ca="1" si="1"/>
        <v>46071</v>
      </c>
      <c r="Q103" s="81">
        <f ca="1">DATEDIF(Range!$O103,Range!$P103,"Y")</f>
        <v>3</v>
      </c>
      <c r="R103" s="83">
        <v>6260</v>
      </c>
      <c r="S103" s="84">
        <f>Range!$R103*0.1</f>
        <v>626</v>
      </c>
      <c r="T103" s="85">
        <f>Range!$R103*0.03</f>
        <v>187.79999999999998</v>
      </c>
      <c r="U103" s="86">
        <f>Range!$R103-Range!$S103+Range!$T103</f>
        <v>5821.8</v>
      </c>
      <c r="V103" s="87" t="str">
        <f>IF(Range!$U103&gt;=6000,"Over","Normal")</f>
        <v>Normal</v>
      </c>
      <c r="W103" s="88">
        <f>VLOOKUP(Range!$U103,$Z$10:$AA$14,2)</f>
        <v>0.05</v>
      </c>
    </row>
    <row r="104" spans="1:23" ht="15.75" customHeight="1">
      <c r="A104" s="61">
        <v>1103</v>
      </c>
      <c r="B104" s="62" t="s">
        <v>30</v>
      </c>
      <c r="C104" s="62" t="s">
        <v>344</v>
      </c>
      <c r="D104" s="63" t="str">
        <f>PROPER(TRIM(Range!$C104&amp;" "&amp;Range!$C104))</f>
        <v>Zyny Zyny</v>
      </c>
      <c r="E104" s="62" t="s">
        <v>100</v>
      </c>
      <c r="F104" s="62" t="s">
        <v>661</v>
      </c>
      <c r="G104" s="62" t="s">
        <v>17</v>
      </c>
      <c r="H104" s="64" t="s">
        <v>11</v>
      </c>
      <c r="I104" s="64" t="s">
        <v>9</v>
      </c>
      <c r="J104" s="65" t="s">
        <v>10</v>
      </c>
      <c r="K104" s="62" t="s">
        <v>897</v>
      </c>
      <c r="L104" s="66">
        <v>19</v>
      </c>
      <c r="M104" s="67">
        <v>7</v>
      </c>
      <c r="N104" s="67">
        <v>1995</v>
      </c>
      <c r="O104" s="68">
        <f>DATE(Range!$N104,Range!$M104,Range!$L104)</f>
        <v>34899</v>
      </c>
      <c r="P104" s="68">
        <f t="shared" ca="1" si="1"/>
        <v>46071</v>
      </c>
      <c r="Q104" s="67">
        <f ca="1">DATEDIF(Range!$O104,Range!$P104,"Y")</f>
        <v>30</v>
      </c>
      <c r="R104" s="69">
        <v>3754</v>
      </c>
      <c r="S104" s="70">
        <f>Range!$R104*0.1</f>
        <v>375.40000000000003</v>
      </c>
      <c r="T104" s="71">
        <f>Range!$R104*0.03</f>
        <v>112.61999999999999</v>
      </c>
      <c r="U104" s="72">
        <f>Range!$R104-Range!$S104+Range!$T104</f>
        <v>3491.22</v>
      </c>
      <c r="V104" s="73" t="str">
        <f>IF(Range!$U104&gt;=6000,"Over","Normal")</f>
        <v>Normal</v>
      </c>
      <c r="W104" s="74">
        <f>VLOOKUP(Range!$U104,$Z$10:$AA$14,2)</f>
        <v>0.05</v>
      </c>
    </row>
    <row r="105" spans="1:23" ht="15.75" customHeight="1">
      <c r="A105" s="75">
        <v>1104</v>
      </c>
      <c r="B105" s="76" t="s">
        <v>102</v>
      </c>
      <c r="C105" s="76" t="s">
        <v>345</v>
      </c>
      <c r="D105" s="77" t="str">
        <f>PROPER(TRIM(Range!$C105&amp;" "&amp;Range!$C105))</f>
        <v>Iidlibi Iidlibi</v>
      </c>
      <c r="E105" s="76" t="s">
        <v>100</v>
      </c>
      <c r="F105" s="76" t="s">
        <v>662</v>
      </c>
      <c r="G105" s="76" t="s">
        <v>13</v>
      </c>
      <c r="H105" s="78" t="s">
        <v>8</v>
      </c>
      <c r="I105" s="78" t="s">
        <v>25</v>
      </c>
      <c r="J105" s="79" t="s">
        <v>10</v>
      </c>
      <c r="K105" s="76" t="s">
        <v>898</v>
      </c>
      <c r="L105" s="80">
        <v>2</v>
      </c>
      <c r="M105" s="81">
        <v>1</v>
      </c>
      <c r="N105" s="81">
        <v>2009</v>
      </c>
      <c r="O105" s="82">
        <f>DATE(Range!$N105,Range!$M105,Range!$L105)</f>
        <v>39815</v>
      </c>
      <c r="P105" s="82">
        <f t="shared" ca="1" si="1"/>
        <v>46071</v>
      </c>
      <c r="Q105" s="81">
        <f ca="1">DATEDIF(Range!$O105,Range!$P105,"Y")</f>
        <v>17</v>
      </c>
      <c r="R105" s="83">
        <v>6579</v>
      </c>
      <c r="S105" s="84">
        <f>Range!$R105*0.1</f>
        <v>657.90000000000009</v>
      </c>
      <c r="T105" s="85">
        <f>Range!$R105*0.03</f>
        <v>197.37</v>
      </c>
      <c r="U105" s="86">
        <f>Range!$R105-Range!$S105+Range!$T105</f>
        <v>6118.47</v>
      </c>
      <c r="V105" s="87" t="str">
        <f>IF(Range!$U105&gt;=6000,"Over","Normal")</f>
        <v>Over</v>
      </c>
      <c r="W105" s="88">
        <f>VLOOKUP(Range!$U105,$Z$10:$AA$14,2)</f>
        <v>0.02</v>
      </c>
    </row>
    <row r="106" spans="1:23" ht="15.75" customHeight="1">
      <c r="A106" s="61">
        <v>1105</v>
      </c>
      <c r="B106" s="62" t="s">
        <v>102</v>
      </c>
      <c r="C106" s="62" t="s">
        <v>346</v>
      </c>
      <c r="D106" s="63" t="str">
        <f>PROPER(TRIM(Range!$C106&amp;" "&amp;Range!$C106))</f>
        <v>Zynu Zynu</v>
      </c>
      <c r="E106" s="62" t="s">
        <v>100</v>
      </c>
      <c r="F106" s="62" t="s">
        <v>663</v>
      </c>
      <c r="G106" s="62" t="s">
        <v>17</v>
      </c>
      <c r="H106" s="64" t="s">
        <v>8</v>
      </c>
      <c r="I106" s="64" t="s">
        <v>18</v>
      </c>
      <c r="J106" s="65" t="s">
        <v>10</v>
      </c>
      <c r="K106" s="62" t="s">
        <v>899</v>
      </c>
      <c r="L106" s="66">
        <v>20</v>
      </c>
      <c r="M106" s="67">
        <v>7</v>
      </c>
      <c r="N106" s="67">
        <v>2005</v>
      </c>
      <c r="O106" s="68">
        <f>DATE(Range!$N106,Range!$M106,Range!$L106)</f>
        <v>38553</v>
      </c>
      <c r="P106" s="68">
        <f t="shared" ca="1" si="1"/>
        <v>46071</v>
      </c>
      <c r="Q106" s="67">
        <f ca="1">DATEDIF(Range!$O106,Range!$P106,"Y")</f>
        <v>20</v>
      </c>
      <c r="R106" s="69">
        <v>5373</v>
      </c>
      <c r="S106" s="70">
        <f>Range!$R106*0.1</f>
        <v>537.30000000000007</v>
      </c>
      <c r="T106" s="71">
        <f>Range!$R106*0.03</f>
        <v>161.19</v>
      </c>
      <c r="U106" s="72">
        <f>Range!$R106-Range!$S106+Range!$T106</f>
        <v>4996.8899999999994</v>
      </c>
      <c r="V106" s="73" t="str">
        <f>IF(Range!$U106&gt;=6000,"Over","Normal")</f>
        <v>Normal</v>
      </c>
      <c r="W106" s="74">
        <f>VLOOKUP(Range!$U106,$Z$10:$AA$14,2)</f>
        <v>0.05</v>
      </c>
    </row>
    <row r="107" spans="1:23" ht="15.75" customHeight="1">
      <c r="A107" s="75">
        <v>1106</v>
      </c>
      <c r="B107" s="76" t="s">
        <v>303</v>
      </c>
      <c r="C107" s="76" t="s">
        <v>347</v>
      </c>
      <c r="D107" s="77" t="str">
        <f>PROPER(TRIM(Range!$C107&amp;" "&amp;Range!$C107))</f>
        <v>Eijluni Eijluni</v>
      </c>
      <c r="E107" s="76" t="s">
        <v>99</v>
      </c>
      <c r="F107" s="76" t="s">
        <v>664</v>
      </c>
      <c r="G107" s="76" t="s">
        <v>13</v>
      </c>
      <c r="H107" s="78" t="s">
        <v>8</v>
      </c>
      <c r="I107" s="78" t="s">
        <v>15</v>
      </c>
      <c r="J107" s="79" t="s">
        <v>10</v>
      </c>
      <c r="K107" s="76" t="s">
        <v>900</v>
      </c>
      <c r="L107" s="80">
        <v>5</v>
      </c>
      <c r="M107" s="81">
        <v>6</v>
      </c>
      <c r="N107" s="81">
        <v>1991</v>
      </c>
      <c r="O107" s="82">
        <f>DATE(Range!$N107,Range!$M107,Range!$L107)</f>
        <v>33394</v>
      </c>
      <c r="P107" s="82">
        <f t="shared" ca="1" si="1"/>
        <v>46071</v>
      </c>
      <c r="Q107" s="81">
        <f ca="1">DATEDIF(Range!$O107,Range!$P107,"Y")</f>
        <v>34</v>
      </c>
      <c r="R107" s="83">
        <v>1391</v>
      </c>
      <c r="S107" s="84">
        <f>Range!$R107*0.1</f>
        <v>139.1</v>
      </c>
      <c r="T107" s="85">
        <f>Range!$R107*0.03</f>
        <v>41.73</v>
      </c>
      <c r="U107" s="86">
        <f>Range!$R107-Range!$S107+Range!$T107</f>
        <v>1293.6300000000001</v>
      </c>
      <c r="V107" s="87" t="str">
        <f>IF(Range!$U107&gt;=6000,"Over","Normal")</f>
        <v>Normal</v>
      </c>
      <c r="W107" s="88">
        <f>VLOOKUP(Range!$U107,$Z$10:$AA$14,2)</f>
        <v>0.08</v>
      </c>
    </row>
    <row r="108" spans="1:23" ht="15.75" customHeight="1">
      <c r="A108" s="61">
        <v>1107</v>
      </c>
      <c r="B108" s="62" t="s">
        <v>30</v>
      </c>
      <c r="C108" s="62" t="s">
        <v>348</v>
      </c>
      <c r="D108" s="63" t="str">
        <f>PROPER(TRIM(Range!$C108&amp;" "&amp;Range!$C108))</f>
        <v>Marwan Marwan</v>
      </c>
      <c r="E108" s="62" t="s">
        <v>100</v>
      </c>
      <c r="F108" s="62" t="s">
        <v>665</v>
      </c>
      <c r="G108" s="62" t="s">
        <v>17</v>
      </c>
      <c r="H108" s="64" t="s">
        <v>11</v>
      </c>
      <c r="I108" s="64" t="s">
        <v>264</v>
      </c>
      <c r="J108" s="65" t="s">
        <v>23</v>
      </c>
      <c r="K108" s="62" t="s">
        <v>901</v>
      </c>
      <c r="L108" s="66">
        <v>4</v>
      </c>
      <c r="M108" s="67">
        <v>1</v>
      </c>
      <c r="N108" s="67">
        <v>1990</v>
      </c>
      <c r="O108" s="68">
        <f>DATE(Range!$N108,Range!$M108,Range!$L108)</f>
        <v>32877</v>
      </c>
      <c r="P108" s="68">
        <f t="shared" ca="1" si="1"/>
        <v>46071</v>
      </c>
      <c r="Q108" s="67">
        <f ca="1">DATEDIF(Range!$O108,Range!$P108,"Y")</f>
        <v>36</v>
      </c>
      <c r="R108" s="69">
        <v>2528</v>
      </c>
      <c r="S108" s="70">
        <f>Range!$R108*0.1</f>
        <v>252.8</v>
      </c>
      <c r="T108" s="71">
        <f>Range!$R108*0.03</f>
        <v>75.84</v>
      </c>
      <c r="U108" s="72">
        <f>Range!$R108-Range!$S108+Range!$T108</f>
        <v>2351.04</v>
      </c>
      <c r="V108" s="73" t="str">
        <f>IF(Range!$U108&gt;=6000,"Over","Normal")</f>
        <v>Normal</v>
      </c>
      <c r="W108" s="74">
        <f>VLOOKUP(Range!$U108,$Z$10:$AA$14,2)</f>
        <v>0.08</v>
      </c>
    </row>
    <row r="109" spans="1:23" ht="15.75" customHeight="1">
      <c r="A109" s="75">
        <v>1108</v>
      </c>
      <c r="B109" s="76" t="s">
        <v>349</v>
      </c>
      <c r="C109" s="76" t="s">
        <v>350</v>
      </c>
      <c r="D109" s="77" t="str">
        <f>PROPER(TRIM(Range!$C109&amp;" "&amp;Range!$C109))</f>
        <v>Musur Musur</v>
      </c>
      <c r="E109" s="76" t="s">
        <v>99</v>
      </c>
      <c r="F109" s="76" t="s">
        <v>666</v>
      </c>
      <c r="G109" s="76" t="s">
        <v>17</v>
      </c>
      <c r="H109" s="78" t="s">
        <v>11</v>
      </c>
      <c r="I109" s="78" t="s">
        <v>29</v>
      </c>
      <c r="J109" s="79" t="s">
        <v>10</v>
      </c>
      <c r="K109" s="76" t="s">
        <v>902</v>
      </c>
      <c r="L109" s="80">
        <v>12</v>
      </c>
      <c r="M109" s="81">
        <v>8</v>
      </c>
      <c r="N109" s="81">
        <v>2021</v>
      </c>
      <c r="O109" s="82">
        <f>DATE(Range!$N109,Range!$M109,Range!$L109)</f>
        <v>44420</v>
      </c>
      <c r="P109" s="82">
        <f t="shared" ca="1" si="1"/>
        <v>46071</v>
      </c>
      <c r="Q109" s="81">
        <f ca="1">DATEDIF(Range!$O109,Range!$P109,"Y")</f>
        <v>4</v>
      </c>
      <c r="R109" s="83">
        <v>6040</v>
      </c>
      <c r="S109" s="84">
        <f>Range!$R109*0.1</f>
        <v>604</v>
      </c>
      <c r="T109" s="85">
        <f>Range!$R109*0.03</f>
        <v>181.2</v>
      </c>
      <c r="U109" s="86">
        <f>Range!$R109-Range!$S109+Range!$T109</f>
        <v>5617.2</v>
      </c>
      <c r="V109" s="87" t="str">
        <f>IF(Range!$U109&gt;=6000,"Over","Normal")</f>
        <v>Normal</v>
      </c>
      <c r="W109" s="88">
        <f>VLOOKUP(Range!$U109,$Z$10:$AA$14,2)</f>
        <v>0.05</v>
      </c>
    </row>
    <row r="110" spans="1:23" ht="15.75" customHeight="1">
      <c r="A110" s="61">
        <v>1109</v>
      </c>
      <c r="B110" s="62" t="s">
        <v>30</v>
      </c>
      <c r="C110" s="62" t="s">
        <v>351</v>
      </c>
      <c r="D110" s="63" t="str">
        <f>PROPER(TRIM(Range!$C110&amp;" "&amp;Range!$C110))</f>
        <v>Alnuwri Alnuwri</v>
      </c>
      <c r="E110" s="62" t="s">
        <v>100</v>
      </c>
      <c r="F110" s="62" t="s">
        <v>667</v>
      </c>
      <c r="G110" s="62" t="s">
        <v>1100</v>
      </c>
      <c r="H110" s="64" t="s">
        <v>14</v>
      </c>
      <c r="I110" s="64" t="s">
        <v>18</v>
      </c>
      <c r="J110" s="65" t="s">
        <v>10</v>
      </c>
      <c r="K110" s="62" t="s">
        <v>903</v>
      </c>
      <c r="L110" s="66">
        <v>18</v>
      </c>
      <c r="M110" s="67">
        <v>11</v>
      </c>
      <c r="N110" s="67">
        <v>1994</v>
      </c>
      <c r="O110" s="68">
        <f>DATE(Range!$N110,Range!$M110,Range!$L110)</f>
        <v>34656</v>
      </c>
      <c r="P110" s="68">
        <f t="shared" ca="1" si="1"/>
        <v>46071</v>
      </c>
      <c r="Q110" s="67">
        <f ca="1">DATEDIF(Range!$O110,Range!$P110,"Y")</f>
        <v>31</v>
      </c>
      <c r="R110" s="69">
        <v>3842</v>
      </c>
      <c r="S110" s="70">
        <f>Range!$R110*0.1</f>
        <v>384.20000000000005</v>
      </c>
      <c r="T110" s="71">
        <f>Range!$R110*0.03</f>
        <v>115.25999999999999</v>
      </c>
      <c r="U110" s="72">
        <f>Range!$R110-Range!$S110+Range!$T110</f>
        <v>3573.0600000000004</v>
      </c>
      <c r="V110" s="73" t="str">
        <f>IF(Range!$U110&gt;=6000,"Over","Normal")</f>
        <v>Normal</v>
      </c>
      <c r="W110" s="74">
        <f>VLOOKUP(Range!$U110,$Z$10:$AA$14,2)</f>
        <v>0.05</v>
      </c>
    </row>
    <row r="111" spans="1:23" ht="15.75" customHeight="1">
      <c r="A111" s="75">
        <v>1110</v>
      </c>
      <c r="B111" s="76" t="s">
        <v>102</v>
      </c>
      <c r="C111" s="76" t="s">
        <v>352</v>
      </c>
      <c r="D111" s="77" t="str">
        <f>PROPER(TRIM(Range!$C111&amp;" "&amp;Range!$C111))</f>
        <v>Shakir Shakir</v>
      </c>
      <c r="E111" s="76" t="s">
        <v>100</v>
      </c>
      <c r="F111" s="76" t="s">
        <v>668</v>
      </c>
      <c r="G111" s="76" t="s">
        <v>17</v>
      </c>
      <c r="H111" s="78" t="s">
        <v>8</v>
      </c>
      <c r="I111" s="78" t="s">
        <v>264</v>
      </c>
      <c r="J111" s="79" t="s">
        <v>23</v>
      </c>
      <c r="K111" s="76" t="s">
        <v>904</v>
      </c>
      <c r="L111" s="80">
        <v>24</v>
      </c>
      <c r="M111" s="81">
        <v>3</v>
      </c>
      <c r="N111" s="81">
        <v>1995</v>
      </c>
      <c r="O111" s="82">
        <f>DATE(Range!$N111,Range!$M111,Range!$L111)</f>
        <v>34782</v>
      </c>
      <c r="P111" s="82">
        <f t="shared" ca="1" si="1"/>
        <v>46071</v>
      </c>
      <c r="Q111" s="81">
        <f ca="1">DATEDIF(Range!$O111,Range!$P111,"Y")</f>
        <v>30</v>
      </c>
      <c r="R111" s="83">
        <v>1542</v>
      </c>
      <c r="S111" s="84">
        <f>Range!$R111*0.1</f>
        <v>154.20000000000002</v>
      </c>
      <c r="T111" s="85">
        <f>Range!$R111*0.03</f>
        <v>46.26</v>
      </c>
      <c r="U111" s="86">
        <f>Range!$R111-Range!$S111+Range!$T111</f>
        <v>1434.06</v>
      </c>
      <c r="V111" s="87" t="str">
        <f>IF(Range!$U111&gt;=6000,"Over","Normal")</f>
        <v>Normal</v>
      </c>
      <c r="W111" s="88">
        <f>VLOOKUP(Range!$U111,$Z$10:$AA$14,2)</f>
        <v>0.08</v>
      </c>
    </row>
    <row r="112" spans="1:23" ht="15.75" customHeight="1">
      <c r="A112" s="61">
        <v>1111</v>
      </c>
      <c r="B112" s="62" t="s">
        <v>124</v>
      </c>
      <c r="C112" s="62" t="s">
        <v>353</v>
      </c>
      <c r="D112" s="63" t="str">
        <f>PROPER(TRIM(Range!$C112&amp;" "&amp;Range!$C112))</f>
        <v>Kharbutli Kharbutli</v>
      </c>
      <c r="E112" s="62" t="s">
        <v>100</v>
      </c>
      <c r="F112" s="62" t="s">
        <v>669</v>
      </c>
      <c r="G112" s="62" t="s">
        <v>17</v>
      </c>
      <c r="H112" s="64" t="s">
        <v>8</v>
      </c>
      <c r="I112" s="64" t="s">
        <v>9</v>
      </c>
      <c r="J112" s="65" t="s">
        <v>23</v>
      </c>
      <c r="K112" s="62" t="s">
        <v>905</v>
      </c>
      <c r="L112" s="66">
        <v>27</v>
      </c>
      <c r="M112" s="67">
        <v>10</v>
      </c>
      <c r="N112" s="67">
        <v>1995</v>
      </c>
      <c r="O112" s="68">
        <f>DATE(Range!$N112,Range!$M112,Range!$L112)</f>
        <v>34999</v>
      </c>
      <c r="P112" s="68">
        <f t="shared" ca="1" si="1"/>
        <v>46071</v>
      </c>
      <c r="Q112" s="67">
        <f ca="1">DATEDIF(Range!$O112,Range!$P112,"Y")</f>
        <v>30</v>
      </c>
      <c r="R112" s="69">
        <v>3134</v>
      </c>
      <c r="S112" s="70">
        <f>Range!$R112*0.1</f>
        <v>313.40000000000003</v>
      </c>
      <c r="T112" s="71">
        <f>Range!$R112*0.03</f>
        <v>94.02</v>
      </c>
      <c r="U112" s="72">
        <f>Range!$R112-Range!$S112+Range!$T112</f>
        <v>2914.62</v>
      </c>
      <c r="V112" s="73" t="str">
        <f>IF(Range!$U112&gt;=6000,"Over","Normal")</f>
        <v>Normal</v>
      </c>
      <c r="W112" s="74">
        <f>VLOOKUP(Range!$U112,$Z$10:$AA$14,2)</f>
        <v>0.08</v>
      </c>
    </row>
    <row r="113" spans="1:23" ht="15.75" customHeight="1">
      <c r="A113" s="75">
        <v>1112</v>
      </c>
      <c r="B113" s="76" t="s">
        <v>354</v>
      </c>
      <c r="C113" s="76" t="s">
        <v>355</v>
      </c>
      <c r="D113" s="77" t="str">
        <f>PROPER(TRIM(Range!$C113&amp;" "&amp;Range!$C113))</f>
        <v>Jaridiun Jaridiun</v>
      </c>
      <c r="E113" s="76" t="s">
        <v>99</v>
      </c>
      <c r="F113" s="76" t="s">
        <v>670</v>
      </c>
      <c r="G113" s="76" t="s">
        <v>17</v>
      </c>
      <c r="H113" s="78" t="s">
        <v>11</v>
      </c>
      <c r="I113" s="78" t="s">
        <v>25</v>
      </c>
      <c r="J113" s="79" t="s">
        <v>10</v>
      </c>
      <c r="K113" s="76" t="s">
        <v>906</v>
      </c>
      <c r="L113" s="80">
        <v>9</v>
      </c>
      <c r="M113" s="81">
        <v>9</v>
      </c>
      <c r="N113" s="81">
        <v>2004</v>
      </c>
      <c r="O113" s="82">
        <f>DATE(Range!$N113,Range!$M113,Range!$L113)</f>
        <v>38239</v>
      </c>
      <c r="P113" s="82">
        <f t="shared" ca="1" si="1"/>
        <v>46071</v>
      </c>
      <c r="Q113" s="81">
        <f ca="1">DATEDIF(Range!$O113,Range!$P113,"Y")</f>
        <v>21</v>
      </c>
      <c r="R113" s="83">
        <v>4921</v>
      </c>
      <c r="S113" s="84">
        <f>Range!$R113*0.1</f>
        <v>492.1</v>
      </c>
      <c r="T113" s="85">
        <f>Range!$R113*0.03</f>
        <v>147.63</v>
      </c>
      <c r="U113" s="86">
        <f>Range!$R113-Range!$S113+Range!$T113</f>
        <v>4576.53</v>
      </c>
      <c r="V113" s="87" t="str">
        <f>IF(Range!$U113&gt;=6000,"Over","Normal")</f>
        <v>Normal</v>
      </c>
      <c r="W113" s="88">
        <f>VLOOKUP(Range!$U113,$Z$10:$AA$14,2)</f>
        <v>0.05</v>
      </c>
    </row>
    <row r="114" spans="1:23" ht="15.75" customHeight="1">
      <c r="A114" s="61">
        <v>1113</v>
      </c>
      <c r="B114" s="62" t="s">
        <v>356</v>
      </c>
      <c r="C114" s="62" t="s">
        <v>357</v>
      </c>
      <c r="D114" s="63" t="str">
        <f>PROPER(TRIM(Range!$C114&amp;" "&amp;Range!$C114))</f>
        <v>Eimaruh Eimaruh</v>
      </c>
      <c r="E114" s="62" t="s">
        <v>100</v>
      </c>
      <c r="F114" s="62" t="s">
        <v>671</v>
      </c>
      <c r="G114" s="62" t="s">
        <v>17</v>
      </c>
      <c r="H114" s="64" t="s">
        <v>8</v>
      </c>
      <c r="I114" s="64" t="s">
        <v>264</v>
      </c>
      <c r="J114" s="65" t="s">
        <v>10</v>
      </c>
      <c r="K114" s="62" t="s">
        <v>907</v>
      </c>
      <c r="L114" s="66">
        <v>24</v>
      </c>
      <c r="M114" s="67">
        <v>2</v>
      </c>
      <c r="N114" s="67">
        <v>2001</v>
      </c>
      <c r="O114" s="68">
        <f>DATE(Range!$N114,Range!$M114,Range!$L114)</f>
        <v>36946</v>
      </c>
      <c r="P114" s="68">
        <f t="shared" ca="1" si="1"/>
        <v>46071</v>
      </c>
      <c r="Q114" s="67">
        <f ca="1">DATEDIF(Range!$O114,Range!$P114,"Y")</f>
        <v>24</v>
      </c>
      <c r="R114" s="69">
        <v>1948</v>
      </c>
      <c r="S114" s="70">
        <f>Range!$R114*0.1</f>
        <v>194.8</v>
      </c>
      <c r="T114" s="71">
        <f>Range!$R114*0.03</f>
        <v>58.44</v>
      </c>
      <c r="U114" s="72">
        <f>Range!$R114-Range!$S114+Range!$T114</f>
        <v>1811.64</v>
      </c>
      <c r="V114" s="73" t="str">
        <f>IF(Range!$U114&gt;=6000,"Over","Normal")</f>
        <v>Normal</v>
      </c>
      <c r="W114" s="74">
        <f>VLOOKUP(Range!$U114,$Z$10:$AA$14,2)</f>
        <v>0.08</v>
      </c>
    </row>
    <row r="115" spans="1:23" ht="15.75" customHeight="1">
      <c r="A115" s="75">
        <v>1114</v>
      </c>
      <c r="B115" s="76" t="s">
        <v>358</v>
      </c>
      <c r="C115" s="76" t="s">
        <v>359</v>
      </c>
      <c r="D115" s="77" t="str">
        <f>PROPER(TRIM(Range!$C115&amp;" "&amp;Range!$C115))</f>
        <v>Marzuq Marzuq</v>
      </c>
      <c r="E115" s="76" t="s">
        <v>100</v>
      </c>
      <c r="F115" s="76" t="s">
        <v>672</v>
      </c>
      <c r="G115" s="76" t="s">
        <v>19</v>
      </c>
      <c r="H115" s="78" t="s">
        <v>11</v>
      </c>
      <c r="I115" s="78" t="s">
        <v>25</v>
      </c>
      <c r="J115" s="79" t="s">
        <v>10</v>
      </c>
      <c r="K115" s="76" t="s">
        <v>908</v>
      </c>
      <c r="L115" s="80">
        <v>20</v>
      </c>
      <c r="M115" s="81">
        <v>12</v>
      </c>
      <c r="N115" s="81">
        <v>2021</v>
      </c>
      <c r="O115" s="82">
        <f>DATE(Range!$N115,Range!$M115,Range!$L115)</f>
        <v>44550</v>
      </c>
      <c r="P115" s="82">
        <f t="shared" ca="1" si="1"/>
        <v>46071</v>
      </c>
      <c r="Q115" s="81">
        <f ca="1">DATEDIF(Range!$O115,Range!$P115,"Y")</f>
        <v>4</v>
      </c>
      <c r="R115" s="83">
        <v>3294</v>
      </c>
      <c r="S115" s="84">
        <f>Range!$R115*0.1</f>
        <v>329.40000000000003</v>
      </c>
      <c r="T115" s="85">
        <f>Range!$R115*0.03</f>
        <v>98.82</v>
      </c>
      <c r="U115" s="86">
        <f>Range!$R115-Range!$S115+Range!$T115</f>
        <v>3063.42</v>
      </c>
      <c r="V115" s="87" t="str">
        <f>IF(Range!$U115&gt;=6000,"Over","Normal")</f>
        <v>Normal</v>
      </c>
      <c r="W115" s="88">
        <f>VLOOKUP(Range!$U115,$Z$10:$AA$14,2)</f>
        <v>0.05</v>
      </c>
    </row>
    <row r="116" spans="1:23" ht="15.75" customHeight="1">
      <c r="A116" s="61">
        <v>1115</v>
      </c>
      <c r="B116" s="62" t="s">
        <v>330</v>
      </c>
      <c r="C116" s="62" t="s">
        <v>360</v>
      </c>
      <c r="D116" s="63" t="str">
        <f>PROPER(TRIM(Range!$C116&amp;" "&amp;Range!$C116))</f>
        <v>Hamj Hamj</v>
      </c>
      <c r="E116" s="62" t="s">
        <v>100</v>
      </c>
      <c r="F116" s="62" t="s">
        <v>673</v>
      </c>
      <c r="G116" s="62" t="s">
        <v>1100</v>
      </c>
      <c r="H116" s="64" t="s">
        <v>14</v>
      </c>
      <c r="I116" s="64" t="s">
        <v>264</v>
      </c>
      <c r="J116" s="65" t="s">
        <v>20</v>
      </c>
      <c r="K116" s="62" t="s">
        <v>909</v>
      </c>
      <c r="L116" s="66">
        <v>14</v>
      </c>
      <c r="M116" s="67">
        <v>8</v>
      </c>
      <c r="N116" s="67">
        <v>1994</v>
      </c>
      <c r="O116" s="68">
        <f>DATE(Range!$N116,Range!$M116,Range!$L116)</f>
        <v>34560</v>
      </c>
      <c r="P116" s="68">
        <f t="shared" ca="1" si="1"/>
        <v>46071</v>
      </c>
      <c r="Q116" s="67">
        <f ca="1">DATEDIF(Range!$O116,Range!$P116,"Y")</f>
        <v>31</v>
      </c>
      <c r="R116" s="69">
        <v>7123</v>
      </c>
      <c r="S116" s="70">
        <f>Range!$R116*0.1</f>
        <v>712.30000000000007</v>
      </c>
      <c r="T116" s="71">
        <f>Range!$R116*0.03</f>
        <v>213.69</v>
      </c>
      <c r="U116" s="72">
        <f>Range!$R116-Range!$S116+Range!$T116</f>
        <v>6624.3899999999994</v>
      </c>
      <c r="V116" s="73" t="str">
        <f>IF(Range!$U116&gt;=6000,"Over","Normal")</f>
        <v>Over</v>
      </c>
      <c r="W116" s="74">
        <f>VLOOKUP(Range!$U116,$Z$10:$AA$14,2)</f>
        <v>0.02</v>
      </c>
    </row>
    <row r="117" spans="1:23" ht="15.75" customHeight="1">
      <c r="A117" s="75">
        <v>1116</v>
      </c>
      <c r="B117" s="76" t="s">
        <v>102</v>
      </c>
      <c r="C117" s="76" t="s">
        <v>361</v>
      </c>
      <c r="D117" s="77" t="str">
        <f>PROPER(TRIM(Range!$C117&amp;" "&amp;Range!$C117))</f>
        <v>Bradey Bradey</v>
      </c>
      <c r="E117" s="76" t="s">
        <v>100</v>
      </c>
      <c r="F117" s="76" t="s">
        <v>674</v>
      </c>
      <c r="G117" s="76" t="s">
        <v>13</v>
      </c>
      <c r="H117" s="78" t="s">
        <v>8</v>
      </c>
      <c r="I117" s="78" t="s">
        <v>25</v>
      </c>
      <c r="J117" s="79" t="s">
        <v>10</v>
      </c>
      <c r="K117" s="76" t="s">
        <v>910</v>
      </c>
      <c r="L117" s="80">
        <v>10</v>
      </c>
      <c r="M117" s="81">
        <v>12</v>
      </c>
      <c r="N117" s="81">
        <v>1990</v>
      </c>
      <c r="O117" s="82">
        <f>DATE(Range!$N117,Range!$M117,Range!$L117)</f>
        <v>33217</v>
      </c>
      <c r="P117" s="82">
        <f t="shared" ca="1" si="1"/>
        <v>46071</v>
      </c>
      <c r="Q117" s="81">
        <f ca="1">DATEDIF(Range!$O117,Range!$P117,"Y")</f>
        <v>35</v>
      </c>
      <c r="R117" s="83">
        <v>7236</v>
      </c>
      <c r="S117" s="84">
        <f>Range!$R117*0.1</f>
        <v>723.6</v>
      </c>
      <c r="T117" s="85">
        <f>Range!$R117*0.03</f>
        <v>217.07999999999998</v>
      </c>
      <c r="U117" s="86">
        <f>Range!$R117-Range!$S117+Range!$T117</f>
        <v>6729.48</v>
      </c>
      <c r="V117" s="87" t="str">
        <f>IF(Range!$U117&gt;=6000,"Over","Normal")</f>
        <v>Over</v>
      </c>
      <c r="W117" s="88">
        <f>VLOOKUP(Range!$U117,$Z$10:$AA$14,2)</f>
        <v>0.02</v>
      </c>
    </row>
    <row r="118" spans="1:23" ht="15.75" customHeight="1">
      <c r="A118" s="61">
        <v>1117</v>
      </c>
      <c r="B118" s="62" t="s">
        <v>362</v>
      </c>
      <c r="C118" s="62" t="s">
        <v>363</v>
      </c>
      <c r="D118" s="63" t="str">
        <f>PROPER(TRIM(Range!$C118&amp;" "&amp;Range!$C118))</f>
        <v>Eubdallah Eubdallah</v>
      </c>
      <c r="E118" s="62" t="s">
        <v>100</v>
      </c>
      <c r="F118" s="62" t="s">
        <v>675</v>
      </c>
      <c r="G118" s="62" t="s">
        <v>1100</v>
      </c>
      <c r="H118" s="64" t="s">
        <v>8</v>
      </c>
      <c r="I118" s="64" t="s">
        <v>25</v>
      </c>
      <c r="J118" s="65" t="s">
        <v>10</v>
      </c>
      <c r="K118" s="62" t="s">
        <v>911</v>
      </c>
      <c r="L118" s="66">
        <v>9</v>
      </c>
      <c r="M118" s="67">
        <v>11</v>
      </c>
      <c r="N118" s="67">
        <v>2010</v>
      </c>
      <c r="O118" s="68">
        <f>DATE(Range!$N118,Range!$M118,Range!$L118)</f>
        <v>40491</v>
      </c>
      <c r="P118" s="68">
        <f t="shared" ca="1" si="1"/>
        <v>46071</v>
      </c>
      <c r="Q118" s="67">
        <f ca="1">DATEDIF(Range!$O118,Range!$P118,"Y")</f>
        <v>15</v>
      </c>
      <c r="R118" s="69">
        <v>6843</v>
      </c>
      <c r="S118" s="70">
        <f>Range!$R118*0.1</f>
        <v>684.30000000000007</v>
      </c>
      <c r="T118" s="71">
        <f>Range!$R118*0.03</f>
        <v>205.29</v>
      </c>
      <c r="U118" s="72">
        <f>Range!$R118-Range!$S118+Range!$T118</f>
        <v>6363.99</v>
      </c>
      <c r="V118" s="73" t="str">
        <f>IF(Range!$U118&gt;=6000,"Over","Normal")</f>
        <v>Over</v>
      </c>
      <c r="W118" s="74">
        <f>VLOOKUP(Range!$U118,$Z$10:$AA$14,2)</f>
        <v>0.02</v>
      </c>
    </row>
    <row r="119" spans="1:23" ht="15.75" customHeight="1">
      <c r="A119" s="75">
        <v>1118</v>
      </c>
      <c r="B119" s="76" t="s">
        <v>102</v>
      </c>
      <c r="C119" s="76" t="s">
        <v>364</v>
      </c>
      <c r="D119" s="77" t="str">
        <f>PROPER(TRIM(Range!$C119&amp;" "&amp;Range!$C119))</f>
        <v>Alnajar Alnajar</v>
      </c>
      <c r="E119" s="76" t="s">
        <v>100</v>
      </c>
      <c r="F119" s="76" t="s">
        <v>676</v>
      </c>
      <c r="G119" s="76" t="s">
        <v>1100</v>
      </c>
      <c r="H119" s="78" t="s">
        <v>8</v>
      </c>
      <c r="I119" s="78" t="s">
        <v>25</v>
      </c>
      <c r="J119" s="79" t="s">
        <v>10</v>
      </c>
      <c r="K119" s="76" t="s">
        <v>912</v>
      </c>
      <c r="L119" s="80">
        <v>18</v>
      </c>
      <c r="M119" s="81">
        <v>10</v>
      </c>
      <c r="N119" s="81">
        <v>2014</v>
      </c>
      <c r="O119" s="82">
        <f>DATE(Range!$N119,Range!$M119,Range!$L119)</f>
        <v>41930</v>
      </c>
      <c r="P119" s="82">
        <f t="shared" ca="1" si="1"/>
        <v>46071</v>
      </c>
      <c r="Q119" s="81">
        <f ca="1">DATEDIF(Range!$O119,Range!$P119,"Y")</f>
        <v>11</v>
      </c>
      <c r="R119" s="83">
        <v>1070</v>
      </c>
      <c r="S119" s="84">
        <f>Range!$R119*0.1</f>
        <v>107</v>
      </c>
      <c r="T119" s="85">
        <f>Range!$R119*0.03</f>
        <v>32.1</v>
      </c>
      <c r="U119" s="86">
        <f>Range!$R119-Range!$S119+Range!$T119</f>
        <v>995.1</v>
      </c>
      <c r="V119" s="87" t="str">
        <f>IF(Range!$U119&gt;=6000,"Over","Normal")</f>
        <v>Normal</v>
      </c>
      <c r="W119" s="88">
        <f>VLOOKUP(Range!$U119,$Z$10:$AA$14,2)</f>
        <v>0.1</v>
      </c>
    </row>
    <row r="120" spans="1:23" ht="15.75" customHeight="1">
      <c r="A120" s="61">
        <v>1119</v>
      </c>
      <c r="B120" s="62" t="s">
        <v>365</v>
      </c>
      <c r="C120" s="62" t="s">
        <v>366</v>
      </c>
      <c r="D120" s="63" t="str">
        <f>PROPER(TRIM(Range!$C120&amp;" "&amp;Range!$C120))</f>
        <v>Hutayniun Hutayniun</v>
      </c>
      <c r="E120" s="62" t="s">
        <v>100</v>
      </c>
      <c r="F120" s="62" t="s">
        <v>677</v>
      </c>
      <c r="G120" s="62" t="s">
        <v>13</v>
      </c>
      <c r="H120" s="64" t="s">
        <v>8</v>
      </c>
      <c r="I120" s="64" t="s">
        <v>25</v>
      </c>
      <c r="J120" s="65" t="s">
        <v>10</v>
      </c>
      <c r="K120" s="62" t="s">
        <v>913</v>
      </c>
      <c r="L120" s="66">
        <v>22</v>
      </c>
      <c r="M120" s="67">
        <v>11</v>
      </c>
      <c r="N120" s="67">
        <v>1995</v>
      </c>
      <c r="O120" s="68">
        <f>DATE(Range!$N120,Range!$M120,Range!$L120)</f>
        <v>35025</v>
      </c>
      <c r="P120" s="68">
        <f t="shared" ca="1" si="1"/>
        <v>46071</v>
      </c>
      <c r="Q120" s="67">
        <f ca="1">DATEDIF(Range!$O120,Range!$P120,"Y")</f>
        <v>30</v>
      </c>
      <c r="R120" s="69">
        <v>1493</v>
      </c>
      <c r="S120" s="70">
        <f>Range!$R120*0.1</f>
        <v>149.30000000000001</v>
      </c>
      <c r="T120" s="71">
        <f>Range!$R120*0.03</f>
        <v>44.79</v>
      </c>
      <c r="U120" s="72">
        <f>Range!$R120-Range!$S120+Range!$T120</f>
        <v>1388.49</v>
      </c>
      <c r="V120" s="73" t="str">
        <f>IF(Range!$U120&gt;=6000,"Over","Normal")</f>
        <v>Normal</v>
      </c>
      <c r="W120" s="74">
        <f>VLOOKUP(Range!$U120,$Z$10:$AA$14,2)</f>
        <v>0.08</v>
      </c>
    </row>
    <row r="121" spans="1:23" ht="15.75" customHeight="1">
      <c r="A121" s="75">
        <v>1120</v>
      </c>
      <c r="B121" s="76" t="s">
        <v>367</v>
      </c>
      <c r="C121" s="76" t="s">
        <v>368</v>
      </c>
      <c r="D121" s="77" t="str">
        <f>PROPER(TRIM(Range!$C121&amp;" "&amp;Range!$C121))</f>
        <v>Siriul Siriul</v>
      </c>
      <c r="E121" s="76" t="s">
        <v>100</v>
      </c>
      <c r="F121" s="76" t="s">
        <v>678</v>
      </c>
      <c r="G121" s="76" t="s">
        <v>19</v>
      </c>
      <c r="H121" s="78" t="s">
        <v>11</v>
      </c>
      <c r="I121" s="78" t="s">
        <v>25</v>
      </c>
      <c r="J121" s="79" t="s">
        <v>10</v>
      </c>
      <c r="K121" s="76" t="s">
        <v>914</v>
      </c>
      <c r="L121" s="80">
        <v>17</v>
      </c>
      <c r="M121" s="81">
        <v>12</v>
      </c>
      <c r="N121" s="81">
        <v>1995</v>
      </c>
      <c r="O121" s="82">
        <f>DATE(Range!$N121,Range!$M121,Range!$L121)</f>
        <v>35050</v>
      </c>
      <c r="P121" s="82">
        <f t="shared" ca="1" si="1"/>
        <v>46071</v>
      </c>
      <c r="Q121" s="81">
        <f ca="1">DATEDIF(Range!$O121,Range!$P121,"Y")</f>
        <v>30</v>
      </c>
      <c r="R121" s="83">
        <v>5857</v>
      </c>
      <c r="S121" s="84">
        <f>Range!$R121*0.1</f>
        <v>585.70000000000005</v>
      </c>
      <c r="T121" s="85">
        <f>Range!$R121*0.03</f>
        <v>175.70999999999998</v>
      </c>
      <c r="U121" s="86">
        <f>Range!$R121-Range!$S121+Range!$T121</f>
        <v>5447.01</v>
      </c>
      <c r="V121" s="87" t="str">
        <f>IF(Range!$U121&gt;=6000,"Over","Normal")</f>
        <v>Normal</v>
      </c>
      <c r="W121" s="88">
        <f>VLOOKUP(Range!$U121,$Z$10:$AA$14,2)</f>
        <v>0.05</v>
      </c>
    </row>
    <row r="122" spans="1:23" ht="15.75" customHeight="1">
      <c r="A122" s="61">
        <v>1121</v>
      </c>
      <c r="B122" s="62" t="s">
        <v>369</v>
      </c>
      <c r="C122" s="62" t="s">
        <v>370</v>
      </c>
      <c r="D122" s="63" t="str">
        <f>PROPER(TRIM(Range!$C122&amp;" "&amp;Range!$C122))</f>
        <v>Mareiun Mareiun</v>
      </c>
      <c r="E122" s="62" t="s">
        <v>100</v>
      </c>
      <c r="F122" s="62" t="s">
        <v>679</v>
      </c>
      <c r="G122" s="62" t="s">
        <v>19</v>
      </c>
      <c r="H122" s="64" t="s">
        <v>14</v>
      </c>
      <c r="I122" s="64" t="s">
        <v>264</v>
      </c>
      <c r="J122" s="65" t="s">
        <v>10</v>
      </c>
      <c r="K122" s="62" t="s">
        <v>915</v>
      </c>
      <c r="L122" s="66">
        <v>26</v>
      </c>
      <c r="M122" s="67">
        <v>1</v>
      </c>
      <c r="N122" s="67">
        <v>1991</v>
      </c>
      <c r="O122" s="68">
        <f>DATE(Range!$N122,Range!$M122,Range!$L122)</f>
        <v>33264</v>
      </c>
      <c r="P122" s="68">
        <f t="shared" ca="1" si="1"/>
        <v>46071</v>
      </c>
      <c r="Q122" s="67">
        <f ca="1">DATEDIF(Range!$O122,Range!$P122,"Y")</f>
        <v>35</v>
      </c>
      <c r="R122" s="69">
        <v>5278</v>
      </c>
      <c r="S122" s="70">
        <f>Range!$R122*0.1</f>
        <v>527.80000000000007</v>
      </c>
      <c r="T122" s="71">
        <f>Range!$R122*0.03</f>
        <v>158.34</v>
      </c>
      <c r="U122" s="72">
        <f>Range!$R122-Range!$S122+Range!$T122</f>
        <v>4908.54</v>
      </c>
      <c r="V122" s="73" t="str">
        <f>IF(Range!$U122&gt;=6000,"Over","Normal")</f>
        <v>Normal</v>
      </c>
      <c r="W122" s="74">
        <f>VLOOKUP(Range!$U122,$Z$10:$AA$14,2)</f>
        <v>0.05</v>
      </c>
    </row>
    <row r="123" spans="1:23" ht="15.75" customHeight="1">
      <c r="A123" s="75">
        <v>1122</v>
      </c>
      <c r="B123" s="76" t="s">
        <v>371</v>
      </c>
      <c r="C123" s="76" t="s">
        <v>372</v>
      </c>
      <c r="D123" s="77" t="str">
        <f>PROPER(TRIM(Range!$C123&amp;" "&amp;Range!$C123))</f>
        <v>Alhulwanii Alhulwanii</v>
      </c>
      <c r="E123" s="76" t="s">
        <v>100</v>
      </c>
      <c r="F123" s="76" t="s">
        <v>680</v>
      </c>
      <c r="G123" s="76" t="s">
        <v>1100</v>
      </c>
      <c r="H123" s="78" t="s">
        <v>8</v>
      </c>
      <c r="I123" s="78" t="s">
        <v>26</v>
      </c>
      <c r="J123" s="79" t="s">
        <v>23</v>
      </c>
      <c r="K123" s="76" t="s">
        <v>916</v>
      </c>
      <c r="L123" s="80">
        <v>24</v>
      </c>
      <c r="M123" s="81">
        <v>9</v>
      </c>
      <c r="N123" s="81">
        <v>2020</v>
      </c>
      <c r="O123" s="82">
        <f>DATE(Range!$N123,Range!$M123,Range!$L123)</f>
        <v>44098</v>
      </c>
      <c r="P123" s="82">
        <f t="shared" ca="1" si="1"/>
        <v>46071</v>
      </c>
      <c r="Q123" s="81">
        <f ca="1">DATEDIF(Range!$O123,Range!$P123,"Y")</f>
        <v>5</v>
      </c>
      <c r="R123" s="83">
        <v>5710</v>
      </c>
      <c r="S123" s="84">
        <f>Range!$R123*0.1</f>
        <v>571</v>
      </c>
      <c r="T123" s="85">
        <f>Range!$R123*0.03</f>
        <v>171.29999999999998</v>
      </c>
      <c r="U123" s="86">
        <f>Range!$R123-Range!$S123+Range!$T123</f>
        <v>5310.3</v>
      </c>
      <c r="V123" s="87" t="str">
        <f>IF(Range!$U123&gt;=6000,"Over","Normal")</f>
        <v>Normal</v>
      </c>
      <c r="W123" s="88">
        <f>VLOOKUP(Range!$U123,$Z$10:$AA$14,2)</f>
        <v>0.05</v>
      </c>
    </row>
    <row r="124" spans="1:23" ht="15.75" customHeight="1">
      <c r="A124" s="61">
        <v>1123</v>
      </c>
      <c r="B124" s="62" t="s">
        <v>313</v>
      </c>
      <c r="C124" s="62" t="s">
        <v>373</v>
      </c>
      <c r="D124" s="63" t="str">
        <f>PROPER(TRIM(Range!$C124&amp;" "&amp;Range!$C124))</f>
        <v>Alhasan Alhasan</v>
      </c>
      <c r="E124" s="62" t="s">
        <v>99</v>
      </c>
      <c r="F124" s="62" t="s">
        <v>681</v>
      </c>
      <c r="G124" s="62" t="s">
        <v>13</v>
      </c>
      <c r="H124" s="64" t="s">
        <v>8</v>
      </c>
      <c r="I124" s="64" t="s">
        <v>15</v>
      </c>
      <c r="J124" s="65" t="s">
        <v>23</v>
      </c>
      <c r="K124" s="62" t="s">
        <v>917</v>
      </c>
      <c r="L124" s="66">
        <v>26</v>
      </c>
      <c r="M124" s="67">
        <v>4</v>
      </c>
      <c r="N124" s="67">
        <v>2018</v>
      </c>
      <c r="O124" s="68">
        <f>DATE(Range!$N124,Range!$M124,Range!$L124)</f>
        <v>43216</v>
      </c>
      <c r="P124" s="68">
        <f t="shared" ca="1" si="1"/>
        <v>46071</v>
      </c>
      <c r="Q124" s="67">
        <f ca="1">DATEDIF(Range!$O124,Range!$P124,"Y")</f>
        <v>7</v>
      </c>
      <c r="R124" s="69">
        <v>6145</v>
      </c>
      <c r="S124" s="70">
        <f>Range!$R124*0.1</f>
        <v>614.5</v>
      </c>
      <c r="T124" s="71">
        <f>Range!$R124*0.03</f>
        <v>184.35</v>
      </c>
      <c r="U124" s="72">
        <f>Range!$R124-Range!$S124+Range!$T124</f>
        <v>5714.85</v>
      </c>
      <c r="V124" s="73" t="str">
        <f>IF(Range!$U124&gt;=6000,"Over","Normal")</f>
        <v>Normal</v>
      </c>
      <c r="W124" s="74">
        <f>VLOOKUP(Range!$U124,$Z$10:$AA$14,2)</f>
        <v>0.05</v>
      </c>
    </row>
    <row r="125" spans="1:23" ht="15.75" customHeight="1">
      <c r="A125" s="75">
        <v>1124</v>
      </c>
      <c r="B125" s="76" t="s">
        <v>374</v>
      </c>
      <c r="C125" s="76" t="s">
        <v>375</v>
      </c>
      <c r="D125" s="77" t="str">
        <f>PROPER(TRIM(Range!$C125&amp;" "&amp;Range!$C125))</f>
        <v>Zakariaa Zakariaa</v>
      </c>
      <c r="E125" s="76" t="s">
        <v>100</v>
      </c>
      <c r="F125" s="76" t="s">
        <v>682</v>
      </c>
      <c r="G125" s="76" t="s">
        <v>17</v>
      </c>
      <c r="H125" s="78" t="s">
        <v>11</v>
      </c>
      <c r="I125" s="78" t="s">
        <v>26</v>
      </c>
      <c r="J125" s="79" t="s">
        <v>10</v>
      </c>
      <c r="K125" s="76" t="s">
        <v>918</v>
      </c>
      <c r="L125" s="80">
        <v>10</v>
      </c>
      <c r="M125" s="81">
        <v>11</v>
      </c>
      <c r="N125" s="81">
        <v>2019</v>
      </c>
      <c r="O125" s="82">
        <f>DATE(Range!$N125,Range!$M125,Range!$L125)</f>
        <v>43779</v>
      </c>
      <c r="P125" s="82">
        <f t="shared" ca="1" si="1"/>
        <v>46071</v>
      </c>
      <c r="Q125" s="81">
        <f ca="1">DATEDIF(Range!$O125,Range!$P125,"Y")</f>
        <v>6</v>
      </c>
      <c r="R125" s="83">
        <v>5278</v>
      </c>
      <c r="S125" s="84">
        <f>Range!$R125*0.1</f>
        <v>527.80000000000007</v>
      </c>
      <c r="T125" s="85">
        <f>Range!$R125*0.03</f>
        <v>158.34</v>
      </c>
      <c r="U125" s="86">
        <f>Range!$R125-Range!$S125+Range!$T125</f>
        <v>4908.54</v>
      </c>
      <c r="V125" s="87" t="str">
        <f>IF(Range!$U125&gt;=6000,"Over","Normal")</f>
        <v>Normal</v>
      </c>
      <c r="W125" s="88">
        <f>VLOOKUP(Range!$U125,$Z$10:$AA$14,2)</f>
        <v>0.05</v>
      </c>
    </row>
    <row r="126" spans="1:23" ht="15.75" customHeight="1">
      <c r="A126" s="61">
        <v>1125</v>
      </c>
      <c r="B126" s="62" t="s">
        <v>128</v>
      </c>
      <c r="C126" s="62" t="s">
        <v>376</v>
      </c>
      <c r="D126" s="63" t="str">
        <f>PROPER(TRIM(Range!$C126&amp;" "&amp;Range!$C126))</f>
        <v>Aywbi Aywbi</v>
      </c>
      <c r="E126" s="62" t="s">
        <v>100</v>
      </c>
      <c r="F126" s="62" t="s">
        <v>683</v>
      </c>
      <c r="G126" s="62" t="s">
        <v>1100</v>
      </c>
      <c r="H126" s="64" t="s">
        <v>8</v>
      </c>
      <c r="I126" s="64" t="s">
        <v>9</v>
      </c>
      <c r="J126" s="65" t="s">
        <v>10</v>
      </c>
      <c r="K126" s="62" t="s">
        <v>919</v>
      </c>
      <c r="L126" s="66">
        <v>2</v>
      </c>
      <c r="M126" s="67">
        <v>5</v>
      </c>
      <c r="N126" s="67">
        <v>2002</v>
      </c>
      <c r="O126" s="68">
        <f>DATE(Range!$N126,Range!$M126,Range!$L126)</f>
        <v>37378</v>
      </c>
      <c r="P126" s="68">
        <f t="shared" ca="1" si="1"/>
        <v>46071</v>
      </c>
      <c r="Q126" s="67">
        <f ca="1">DATEDIF(Range!$O126,Range!$P126,"Y")</f>
        <v>23</v>
      </c>
      <c r="R126" s="69">
        <v>6548</v>
      </c>
      <c r="S126" s="70">
        <f>Range!$R126*0.1</f>
        <v>654.80000000000007</v>
      </c>
      <c r="T126" s="71">
        <f>Range!$R126*0.03</f>
        <v>196.44</v>
      </c>
      <c r="U126" s="72">
        <f>Range!$R126-Range!$S126+Range!$T126</f>
        <v>6089.6399999999994</v>
      </c>
      <c r="V126" s="73" t="str">
        <f>IF(Range!$U126&gt;=6000,"Over","Normal")</f>
        <v>Over</v>
      </c>
      <c r="W126" s="74">
        <f>VLOOKUP(Range!$U126,$Z$10:$AA$14,2)</f>
        <v>0.02</v>
      </c>
    </row>
    <row r="127" spans="1:23" ht="15.75" customHeight="1">
      <c r="A127" s="75">
        <v>1126</v>
      </c>
      <c r="B127" s="76" t="s">
        <v>377</v>
      </c>
      <c r="C127" s="76" t="s">
        <v>378</v>
      </c>
      <c r="D127" s="77" t="str">
        <f>PROPER(TRIM(Range!$C127&amp;" "&amp;Range!$C127))</f>
        <v>Alsaed Alsaed</v>
      </c>
      <c r="E127" s="76" t="s">
        <v>99</v>
      </c>
      <c r="F127" s="76" t="s">
        <v>684</v>
      </c>
      <c r="G127" s="76" t="s">
        <v>7</v>
      </c>
      <c r="H127" s="78" t="s">
        <v>14</v>
      </c>
      <c r="I127" s="78" t="s">
        <v>25</v>
      </c>
      <c r="J127" s="79" t="s">
        <v>10</v>
      </c>
      <c r="K127" s="76" t="s">
        <v>920</v>
      </c>
      <c r="L127" s="80">
        <v>28</v>
      </c>
      <c r="M127" s="81">
        <v>11</v>
      </c>
      <c r="N127" s="81">
        <v>2023</v>
      </c>
      <c r="O127" s="82">
        <f>DATE(Range!$N127,Range!$M127,Range!$L127)</f>
        <v>45258</v>
      </c>
      <c r="P127" s="82">
        <f t="shared" ca="1" si="1"/>
        <v>46071</v>
      </c>
      <c r="Q127" s="81">
        <f ca="1">DATEDIF(Range!$O127,Range!$P127,"Y")</f>
        <v>2</v>
      </c>
      <c r="R127" s="83">
        <v>7175</v>
      </c>
      <c r="S127" s="84">
        <f>Range!$R127*0.1</f>
        <v>717.5</v>
      </c>
      <c r="T127" s="85">
        <f>Range!$R127*0.03</f>
        <v>215.25</v>
      </c>
      <c r="U127" s="86">
        <f>Range!$R127-Range!$S127+Range!$T127</f>
        <v>6672.75</v>
      </c>
      <c r="V127" s="87" t="str">
        <f>IF(Range!$U127&gt;=6000,"Over","Normal")</f>
        <v>Over</v>
      </c>
      <c r="W127" s="88">
        <f>VLOOKUP(Range!$U127,$Z$10:$AA$14,2)</f>
        <v>0.02</v>
      </c>
    </row>
    <row r="128" spans="1:23" ht="15.75" customHeight="1">
      <c r="A128" s="61">
        <v>1127</v>
      </c>
      <c r="B128" s="62" t="s">
        <v>379</v>
      </c>
      <c r="C128" s="62" t="s">
        <v>380</v>
      </c>
      <c r="D128" s="63" t="str">
        <f>PROPER(TRIM(Range!$C128&amp;" "&amp;Range!$C128))</f>
        <v>Aleaqla Aleaqla</v>
      </c>
      <c r="E128" s="62" t="s">
        <v>100</v>
      </c>
      <c r="F128" s="62" t="s">
        <v>685</v>
      </c>
      <c r="G128" s="62" t="s">
        <v>13</v>
      </c>
      <c r="H128" s="64" t="s">
        <v>11</v>
      </c>
      <c r="I128" s="64" t="s">
        <v>9</v>
      </c>
      <c r="J128" s="65" t="s">
        <v>23</v>
      </c>
      <c r="K128" s="62" t="s">
        <v>921</v>
      </c>
      <c r="L128" s="66">
        <v>8</v>
      </c>
      <c r="M128" s="67">
        <v>6</v>
      </c>
      <c r="N128" s="67">
        <v>1997</v>
      </c>
      <c r="O128" s="68">
        <f>DATE(Range!$N128,Range!$M128,Range!$L128)</f>
        <v>35589</v>
      </c>
      <c r="P128" s="68">
        <f t="shared" ca="1" si="1"/>
        <v>46071</v>
      </c>
      <c r="Q128" s="67">
        <f ca="1">DATEDIF(Range!$O128,Range!$P128,"Y")</f>
        <v>28</v>
      </c>
      <c r="R128" s="69">
        <v>4070</v>
      </c>
      <c r="S128" s="70">
        <f>Range!$R128*0.1</f>
        <v>407</v>
      </c>
      <c r="T128" s="71">
        <f>Range!$R128*0.03</f>
        <v>122.1</v>
      </c>
      <c r="U128" s="72">
        <f>Range!$R128-Range!$S128+Range!$T128</f>
        <v>3785.1</v>
      </c>
      <c r="V128" s="73" t="str">
        <f>IF(Range!$U128&gt;=6000,"Over","Normal")</f>
        <v>Normal</v>
      </c>
      <c r="W128" s="74">
        <f>VLOOKUP(Range!$U128,$Z$10:$AA$14,2)</f>
        <v>0.05</v>
      </c>
    </row>
    <row r="129" spans="1:23" ht="15.75" customHeight="1">
      <c r="A129" s="75">
        <v>1128</v>
      </c>
      <c r="B129" s="76" t="s">
        <v>98</v>
      </c>
      <c r="C129" s="76" t="s">
        <v>381</v>
      </c>
      <c r="D129" s="77" t="str">
        <f>PROPER(TRIM(Range!$C129&amp;" "&amp;Range!$C129))</f>
        <v>Haydar Haydar</v>
      </c>
      <c r="E129" s="76" t="s">
        <v>99</v>
      </c>
      <c r="F129" s="76" t="s">
        <v>686</v>
      </c>
      <c r="G129" s="76" t="s">
        <v>1100</v>
      </c>
      <c r="H129" s="78" t="s">
        <v>8</v>
      </c>
      <c r="I129" s="78" t="s">
        <v>15</v>
      </c>
      <c r="J129" s="79" t="s">
        <v>10</v>
      </c>
      <c r="K129" s="76" t="s">
        <v>922</v>
      </c>
      <c r="L129" s="80">
        <v>1</v>
      </c>
      <c r="M129" s="81">
        <v>4</v>
      </c>
      <c r="N129" s="81">
        <v>2001</v>
      </c>
      <c r="O129" s="82">
        <f>DATE(Range!$N129,Range!$M129,Range!$L129)</f>
        <v>36982</v>
      </c>
      <c r="P129" s="82">
        <f t="shared" ca="1" si="1"/>
        <v>46071</v>
      </c>
      <c r="Q129" s="81">
        <f ca="1">DATEDIF(Range!$O129,Range!$P129,"Y")</f>
        <v>24</v>
      </c>
      <c r="R129" s="83">
        <v>1906</v>
      </c>
      <c r="S129" s="84">
        <f>Range!$R129*0.1</f>
        <v>190.60000000000002</v>
      </c>
      <c r="T129" s="85">
        <f>Range!$R129*0.03</f>
        <v>57.18</v>
      </c>
      <c r="U129" s="86">
        <f>Range!$R129-Range!$S129+Range!$T129</f>
        <v>1772.5800000000002</v>
      </c>
      <c r="V129" s="87" t="str">
        <f>IF(Range!$U129&gt;=6000,"Over","Normal")</f>
        <v>Normal</v>
      </c>
      <c r="W129" s="88">
        <f>VLOOKUP(Range!$U129,$Z$10:$AA$14,2)</f>
        <v>0.08</v>
      </c>
    </row>
    <row r="130" spans="1:23" ht="15.75" customHeight="1">
      <c r="A130" s="61">
        <v>1129</v>
      </c>
      <c r="B130" s="62" t="s">
        <v>382</v>
      </c>
      <c r="C130" s="62" t="s">
        <v>383</v>
      </c>
      <c r="D130" s="63" t="str">
        <f>PROPER(TRIM(Range!$C130&amp;" "&amp;Range!$C130))</f>
        <v>Shueayb Shueayb</v>
      </c>
      <c r="E130" s="62" t="s">
        <v>100</v>
      </c>
      <c r="F130" s="62" t="s">
        <v>687</v>
      </c>
      <c r="G130" s="62" t="s">
        <v>17</v>
      </c>
      <c r="H130" s="64" t="s">
        <v>11</v>
      </c>
      <c r="I130" s="64" t="s">
        <v>15</v>
      </c>
      <c r="J130" s="65" t="s">
        <v>10</v>
      </c>
      <c r="K130" s="62" t="s">
        <v>923</v>
      </c>
      <c r="L130" s="66">
        <v>25</v>
      </c>
      <c r="M130" s="67">
        <v>6</v>
      </c>
      <c r="N130" s="67">
        <v>2018</v>
      </c>
      <c r="O130" s="68">
        <f>DATE(Range!$N130,Range!$M130,Range!$L130)</f>
        <v>43276</v>
      </c>
      <c r="P130" s="68">
        <f t="shared" ref="P130:P193" ca="1" si="2">TODAY()</f>
        <v>46071</v>
      </c>
      <c r="Q130" s="67">
        <f ca="1">DATEDIF(Range!$O130,Range!$P130,"Y")</f>
        <v>7</v>
      </c>
      <c r="R130" s="69">
        <v>2600</v>
      </c>
      <c r="S130" s="70">
        <f>Range!$R130*0.1</f>
        <v>260</v>
      </c>
      <c r="T130" s="71">
        <f>Range!$R130*0.03</f>
        <v>78</v>
      </c>
      <c r="U130" s="72">
        <f>Range!$R130-Range!$S130+Range!$T130</f>
        <v>2418</v>
      </c>
      <c r="V130" s="73" t="str">
        <f>IF(Range!$U130&gt;=6000,"Over","Normal")</f>
        <v>Normal</v>
      </c>
      <c r="W130" s="74">
        <f>VLOOKUP(Range!$U130,$Z$10:$AA$14,2)</f>
        <v>0.08</v>
      </c>
    </row>
    <row r="131" spans="1:23" ht="15.75" customHeight="1">
      <c r="A131" s="75">
        <v>1130</v>
      </c>
      <c r="B131" s="76" t="s">
        <v>102</v>
      </c>
      <c r="C131" s="76" t="s">
        <v>384</v>
      </c>
      <c r="D131" s="77" t="str">
        <f>PROPER(TRIM(Range!$C131&amp;" "&amp;Range!$C131))</f>
        <v>Dahman Dahman</v>
      </c>
      <c r="E131" s="76" t="s">
        <v>100</v>
      </c>
      <c r="F131" s="76" t="s">
        <v>688</v>
      </c>
      <c r="G131" s="76" t="s">
        <v>13</v>
      </c>
      <c r="H131" s="78" t="s">
        <v>11</v>
      </c>
      <c r="I131" s="78" t="s">
        <v>18</v>
      </c>
      <c r="J131" s="79" t="s">
        <v>20</v>
      </c>
      <c r="K131" s="76" t="s">
        <v>924</v>
      </c>
      <c r="L131" s="80">
        <v>22</v>
      </c>
      <c r="M131" s="81">
        <v>5</v>
      </c>
      <c r="N131" s="81">
        <v>1993</v>
      </c>
      <c r="O131" s="82">
        <f>DATE(Range!$N131,Range!$M131,Range!$L131)</f>
        <v>34111</v>
      </c>
      <c r="P131" s="82">
        <f t="shared" ca="1" si="2"/>
        <v>46071</v>
      </c>
      <c r="Q131" s="81">
        <f ca="1">DATEDIF(Range!$O131,Range!$P131,"Y")</f>
        <v>32</v>
      </c>
      <c r="R131" s="83">
        <v>3753</v>
      </c>
      <c r="S131" s="84">
        <f>Range!$R131*0.1</f>
        <v>375.3</v>
      </c>
      <c r="T131" s="85">
        <f>Range!$R131*0.03</f>
        <v>112.58999999999999</v>
      </c>
      <c r="U131" s="86">
        <f>Range!$R131-Range!$S131+Range!$T131</f>
        <v>3490.29</v>
      </c>
      <c r="V131" s="87" t="str">
        <f>IF(Range!$U131&gt;=6000,"Over","Normal")</f>
        <v>Normal</v>
      </c>
      <c r="W131" s="88">
        <f>VLOOKUP(Range!$U131,$Z$10:$AA$14,2)</f>
        <v>0.05</v>
      </c>
    </row>
    <row r="132" spans="1:23" ht="15.75" customHeight="1">
      <c r="A132" s="61">
        <v>1131</v>
      </c>
      <c r="B132" s="62" t="s">
        <v>385</v>
      </c>
      <c r="C132" s="62" t="s">
        <v>386</v>
      </c>
      <c r="D132" s="63" t="str">
        <f>PROPER(TRIM(Range!$C132&amp;" "&amp;Range!$C132))</f>
        <v>Eirat Eirat</v>
      </c>
      <c r="E132" s="62" t="s">
        <v>99</v>
      </c>
      <c r="F132" s="62" t="s">
        <v>689</v>
      </c>
      <c r="G132" s="62" t="s">
        <v>19</v>
      </c>
      <c r="H132" s="64" t="s">
        <v>8</v>
      </c>
      <c r="I132" s="64" t="s">
        <v>264</v>
      </c>
      <c r="J132" s="65" t="s">
        <v>10</v>
      </c>
      <c r="K132" s="62" t="s">
        <v>925</v>
      </c>
      <c r="L132" s="66">
        <v>15</v>
      </c>
      <c r="M132" s="67">
        <v>8</v>
      </c>
      <c r="N132" s="67">
        <v>2022</v>
      </c>
      <c r="O132" s="68">
        <f>DATE(Range!$N132,Range!$M132,Range!$L132)</f>
        <v>44788</v>
      </c>
      <c r="P132" s="68">
        <f t="shared" ca="1" si="2"/>
        <v>46071</v>
      </c>
      <c r="Q132" s="67">
        <f ca="1">DATEDIF(Range!$O132,Range!$P132,"Y")</f>
        <v>3</v>
      </c>
      <c r="R132" s="69">
        <v>5086</v>
      </c>
      <c r="S132" s="70">
        <f>Range!$R132*0.1</f>
        <v>508.6</v>
      </c>
      <c r="T132" s="71">
        <f>Range!$R132*0.03</f>
        <v>152.57999999999998</v>
      </c>
      <c r="U132" s="72">
        <f>Range!$R132-Range!$S132+Range!$T132</f>
        <v>4729.9799999999996</v>
      </c>
      <c r="V132" s="73" t="str">
        <f>IF(Range!$U132&gt;=6000,"Over","Normal")</f>
        <v>Normal</v>
      </c>
      <c r="W132" s="74">
        <f>VLOOKUP(Range!$U132,$Z$10:$AA$14,2)</f>
        <v>0.05</v>
      </c>
    </row>
    <row r="133" spans="1:23" ht="15.75" customHeight="1">
      <c r="A133" s="75">
        <v>1132</v>
      </c>
      <c r="B133" s="76" t="s">
        <v>112</v>
      </c>
      <c r="C133" s="76" t="s">
        <v>387</v>
      </c>
      <c r="D133" s="77" t="str">
        <f>PROPER(TRIM(Range!$C133&amp;" "&amp;Range!$C133))</f>
        <v>Badran Badran</v>
      </c>
      <c r="E133" s="76" t="s">
        <v>100</v>
      </c>
      <c r="F133" s="76" t="s">
        <v>690</v>
      </c>
      <c r="G133" s="76" t="s">
        <v>13</v>
      </c>
      <c r="H133" s="78" t="s">
        <v>22</v>
      </c>
      <c r="I133" s="78" t="s">
        <v>9</v>
      </c>
      <c r="J133" s="79" t="s">
        <v>20</v>
      </c>
      <c r="K133" s="76" t="s">
        <v>926</v>
      </c>
      <c r="L133" s="80">
        <v>25</v>
      </c>
      <c r="M133" s="81">
        <v>10</v>
      </c>
      <c r="N133" s="81">
        <v>2021</v>
      </c>
      <c r="O133" s="82">
        <f>DATE(Range!$N133,Range!$M133,Range!$L133)</f>
        <v>44494</v>
      </c>
      <c r="P133" s="82">
        <f t="shared" ca="1" si="2"/>
        <v>46071</v>
      </c>
      <c r="Q133" s="81">
        <f ca="1">DATEDIF(Range!$O133,Range!$P133,"Y")</f>
        <v>4</v>
      </c>
      <c r="R133" s="83">
        <v>2431</v>
      </c>
      <c r="S133" s="84">
        <f>Range!$R133*0.1</f>
        <v>243.10000000000002</v>
      </c>
      <c r="T133" s="85">
        <f>Range!$R133*0.03</f>
        <v>72.929999999999993</v>
      </c>
      <c r="U133" s="86">
        <f>Range!$R133-Range!$S133+Range!$T133</f>
        <v>2260.83</v>
      </c>
      <c r="V133" s="87" t="str">
        <f>IF(Range!$U133&gt;=6000,"Over","Normal")</f>
        <v>Normal</v>
      </c>
      <c r="W133" s="88">
        <f>VLOOKUP(Range!$U133,$Z$10:$AA$14,2)</f>
        <v>0.08</v>
      </c>
    </row>
    <row r="134" spans="1:23" ht="15.75" customHeight="1">
      <c r="A134" s="61">
        <v>1133</v>
      </c>
      <c r="B134" s="62" t="s">
        <v>388</v>
      </c>
      <c r="C134" s="62" t="s">
        <v>389</v>
      </c>
      <c r="D134" s="63" t="str">
        <f>PROPER(TRIM(Range!$C134&amp;" "&amp;Range!$C134))</f>
        <v>Aleitar Aleitar</v>
      </c>
      <c r="E134" s="62" t="s">
        <v>100</v>
      </c>
      <c r="F134" s="62" t="s">
        <v>691</v>
      </c>
      <c r="G134" s="62" t="s">
        <v>17</v>
      </c>
      <c r="H134" s="64" t="s">
        <v>8</v>
      </c>
      <c r="I134" s="64" t="s">
        <v>9</v>
      </c>
      <c r="J134" s="65" t="s">
        <v>10</v>
      </c>
      <c r="K134" s="62" t="s">
        <v>927</v>
      </c>
      <c r="L134" s="66">
        <v>8</v>
      </c>
      <c r="M134" s="67">
        <v>3</v>
      </c>
      <c r="N134" s="67">
        <v>2014</v>
      </c>
      <c r="O134" s="68">
        <f>DATE(Range!$N134,Range!$M134,Range!$L134)</f>
        <v>41706</v>
      </c>
      <c r="P134" s="68">
        <f t="shared" ca="1" si="2"/>
        <v>46071</v>
      </c>
      <c r="Q134" s="67">
        <f ca="1">DATEDIF(Range!$O134,Range!$P134,"Y")</f>
        <v>11</v>
      </c>
      <c r="R134" s="69">
        <v>2955</v>
      </c>
      <c r="S134" s="70">
        <f>Range!$R134*0.1</f>
        <v>295.5</v>
      </c>
      <c r="T134" s="71">
        <f>Range!$R134*0.03</f>
        <v>88.649999999999991</v>
      </c>
      <c r="U134" s="72">
        <f>Range!$R134-Range!$S134+Range!$T134</f>
        <v>2748.15</v>
      </c>
      <c r="V134" s="73" t="str">
        <f>IF(Range!$U134&gt;=6000,"Over","Normal")</f>
        <v>Normal</v>
      </c>
      <c r="W134" s="74">
        <f>VLOOKUP(Range!$U134,$Z$10:$AA$14,2)</f>
        <v>0.08</v>
      </c>
    </row>
    <row r="135" spans="1:23" ht="15.75" customHeight="1">
      <c r="A135" s="75">
        <v>1134</v>
      </c>
      <c r="B135" s="76" t="s">
        <v>390</v>
      </c>
      <c r="C135" s="76" t="s">
        <v>391</v>
      </c>
      <c r="D135" s="77" t="str">
        <f>PROPER(TRIM(Range!$C135&amp;" "&amp;Range!$C135))</f>
        <v>Astitih Astitih</v>
      </c>
      <c r="E135" s="76" t="s">
        <v>100</v>
      </c>
      <c r="F135" s="76" t="s">
        <v>692</v>
      </c>
      <c r="G135" s="76" t="s">
        <v>17</v>
      </c>
      <c r="H135" s="78" t="s">
        <v>14</v>
      </c>
      <c r="I135" s="78" t="s">
        <v>264</v>
      </c>
      <c r="J135" s="79" t="s">
        <v>23</v>
      </c>
      <c r="K135" s="76" t="s">
        <v>928</v>
      </c>
      <c r="L135" s="80">
        <v>3</v>
      </c>
      <c r="M135" s="81">
        <v>7</v>
      </c>
      <c r="N135" s="81">
        <v>1996</v>
      </c>
      <c r="O135" s="82">
        <f>DATE(Range!$N135,Range!$M135,Range!$L135)</f>
        <v>35249</v>
      </c>
      <c r="P135" s="82">
        <f t="shared" ca="1" si="2"/>
        <v>46071</v>
      </c>
      <c r="Q135" s="81">
        <f ca="1">DATEDIF(Range!$O135,Range!$P135,"Y")</f>
        <v>29</v>
      </c>
      <c r="R135" s="83">
        <v>1948</v>
      </c>
      <c r="S135" s="84">
        <f>Range!$R135*0.1</f>
        <v>194.8</v>
      </c>
      <c r="T135" s="85">
        <f>Range!$R135*0.03</f>
        <v>58.44</v>
      </c>
      <c r="U135" s="86">
        <f>Range!$R135-Range!$S135+Range!$T135</f>
        <v>1811.64</v>
      </c>
      <c r="V135" s="87" t="str">
        <f>IF(Range!$U135&gt;=6000,"Over","Normal")</f>
        <v>Normal</v>
      </c>
      <c r="W135" s="88">
        <f>VLOOKUP(Range!$U135,$Z$10:$AA$14,2)</f>
        <v>0.08</v>
      </c>
    </row>
    <row r="136" spans="1:23" ht="15.75" customHeight="1">
      <c r="A136" s="61">
        <v>1135</v>
      </c>
      <c r="B136" s="62" t="s">
        <v>392</v>
      </c>
      <c r="C136" s="62" t="s">
        <v>393</v>
      </c>
      <c r="D136" s="63" t="str">
        <f>PROPER(TRIM(Range!$C136&amp;" "&amp;Range!$C136))</f>
        <v>Shawqi Shawqi</v>
      </c>
      <c r="E136" s="62" t="s">
        <v>100</v>
      </c>
      <c r="F136" s="62" t="s">
        <v>693</v>
      </c>
      <c r="G136" s="62" t="s">
        <v>19</v>
      </c>
      <c r="H136" s="64" t="s">
        <v>8</v>
      </c>
      <c r="I136" s="64" t="s">
        <v>25</v>
      </c>
      <c r="J136" s="65" t="s">
        <v>10</v>
      </c>
      <c r="K136" s="62" t="s">
        <v>929</v>
      </c>
      <c r="L136" s="66">
        <v>24</v>
      </c>
      <c r="M136" s="67">
        <v>9</v>
      </c>
      <c r="N136" s="67">
        <v>1992</v>
      </c>
      <c r="O136" s="68">
        <f>DATE(Range!$N136,Range!$M136,Range!$L136)</f>
        <v>33871</v>
      </c>
      <c r="P136" s="68">
        <f t="shared" ca="1" si="2"/>
        <v>46071</v>
      </c>
      <c r="Q136" s="67">
        <f ca="1">DATEDIF(Range!$O136,Range!$P136,"Y")</f>
        <v>33</v>
      </c>
      <c r="R136" s="69">
        <v>3294</v>
      </c>
      <c r="S136" s="70">
        <f>Range!$R136*0.1</f>
        <v>329.40000000000003</v>
      </c>
      <c r="T136" s="71">
        <f>Range!$R136*0.03</f>
        <v>98.82</v>
      </c>
      <c r="U136" s="72">
        <f>Range!$R136-Range!$S136+Range!$T136</f>
        <v>3063.42</v>
      </c>
      <c r="V136" s="73" t="str">
        <f>IF(Range!$U136&gt;=6000,"Over","Normal")</f>
        <v>Normal</v>
      </c>
      <c r="W136" s="74">
        <f>VLOOKUP(Range!$U136,$Z$10:$AA$14,2)</f>
        <v>0.05</v>
      </c>
    </row>
    <row r="137" spans="1:23" ht="15.75" customHeight="1">
      <c r="A137" s="75">
        <v>1136</v>
      </c>
      <c r="B137" s="76" t="s">
        <v>392</v>
      </c>
      <c r="C137" s="76" t="s">
        <v>394</v>
      </c>
      <c r="D137" s="77" t="str">
        <f>PROPER(TRIM(Range!$C137&amp;" "&amp;Range!$C137))</f>
        <v>Zaqzuq Zaqzuq</v>
      </c>
      <c r="E137" s="76" t="s">
        <v>100</v>
      </c>
      <c r="F137" s="76" t="s">
        <v>694</v>
      </c>
      <c r="G137" s="76" t="s">
        <v>1100</v>
      </c>
      <c r="H137" s="78" t="s">
        <v>14</v>
      </c>
      <c r="I137" s="78" t="s">
        <v>264</v>
      </c>
      <c r="J137" s="79" t="s">
        <v>12</v>
      </c>
      <c r="K137" s="76" t="s">
        <v>930</v>
      </c>
      <c r="L137" s="80">
        <v>17</v>
      </c>
      <c r="M137" s="81">
        <v>6</v>
      </c>
      <c r="N137" s="81">
        <v>2014</v>
      </c>
      <c r="O137" s="82">
        <f>DATE(Range!$N137,Range!$M137,Range!$L137)</f>
        <v>41807</v>
      </c>
      <c r="P137" s="82">
        <f t="shared" ca="1" si="2"/>
        <v>46071</v>
      </c>
      <c r="Q137" s="81">
        <f ca="1">DATEDIF(Range!$O137,Range!$P137,"Y")</f>
        <v>11</v>
      </c>
      <c r="R137" s="83">
        <v>7123</v>
      </c>
      <c r="S137" s="84">
        <f>Range!$R137*0.1</f>
        <v>712.30000000000007</v>
      </c>
      <c r="T137" s="85">
        <f>Range!$R137*0.03</f>
        <v>213.69</v>
      </c>
      <c r="U137" s="86">
        <f>Range!$R137-Range!$S137+Range!$T137</f>
        <v>6624.3899999999994</v>
      </c>
      <c r="V137" s="87" t="str">
        <f>IF(Range!$U137&gt;=6000,"Over","Normal")</f>
        <v>Over</v>
      </c>
      <c r="W137" s="88">
        <f>VLOOKUP(Range!$U137,$Z$10:$AA$14,2)</f>
        <v>0.02</v>
      </c>
    </row>
    <row r="138" spans="1:23" ht="15.75" customHeight="1">
      <c r="A138" s="61">
        <v>1137</v>
      </c>
      <c r="B138" s="62" t="s">
        <v>395</v>
      </c>
      <c r="C138" s="62" t="s">
        <v>396</v>
      </c>
      <c r="D138" s="63" t="str">
        <f>PROPER(TRIM(Range!$C138&amp;" "&amp;Range!$C138))</f>
        <v>Eamir Eamir</v>
      </c>
      <c r="E138" s="62" t="s">
        <v>99</v>
      </c>
      <c r="F138" s="62" t="s">
        <v>695</v>
      </c>
      <c r="G138" s="62" t="s">
        <v>13</v>
      </c>
      <c r="H138" s="64" t="s">
        <v>8</v>
      </c>
      <c r="I138" s="64" t="s">
        <v>25</v>
      </c>
      <c r="J138" s="65" t="s">
        <v>20</v>
      </c>
      <c r="K138" s="62" t="s">
        <v>931</v>
      </c>
      <c r="L138" s="66">
        <v>12</v>
      </c>
      <c r="M138" s="67">
        <v>5</v>
      </c>
      <c r="N138" s="67">
        <v>1992</v>
      </c>
      <c r="O138" s="68">
        <f>DATE(Range!$N138,Range!$M138,Range!$L138)</f>
        <v>33736</v>
      </c>
      <c r="P138" s="68">
        <f t="shared" ca="1" si="2"/>
        <v>46071</v>
      </c>
      <c r="Q138" s="67">
        <f ca="1">DATEDIF(Range!$O138,Range!$P138,"Y")</f>
        <v>33</v>
      </c>
      <c r="R138" s="69">
        <v>7236</v>
      </c>
      <c r="S138" s="70">
        <f>Range!$R138*0.1</f>
        <v>723.6</v>
      </c>
      <c r="T138" s="71">
        <f>Range!$R138*0.03</f>
        <v>217.07999999999998</v>
      </c>
      <c r="U138" s="72">
        <f>Range!$R138-Range!$S138+Range!$T138</f>
        <v>6729.48</v>
      </c>
      <c r="V138" s="73" t="str">
        <f>IF(Range!$U138&gt;=6000,"Over","Normal")</f>
        <v>Over</v>
      </c>
      <c r="W138" s="74">
        <f>VLOOKUP(Range!$U138,$Z$10:$AA$14,2)</f>
        <v>0.02</v>
      </c>
    </row>
    <row r="139" spans="1:23" ht="15.75" customHeight="1">
      <c r="A139" s="75">
        <v>1138</v>
      </c>
      <c r="B139" s="76" t="s">
        <v>397</v>
      </c>
      <c r="C139" s="76" t="s">
        <v>398</v>
      </c>
      <c r="D139" s="77" t="str">
        <f>PROPER(TRIM(Range!$C139&amp;" "&amp;Range!$C139))</f>
        <v>Siedih Siedih</v>
      </c>
      <c r="E139" s="76" t="s">
        <v>100</v>
      </c>
      <c r="F139" s="76" t="s">
        <v>696</v>
      </c>
      <c r="G139" s="76" t="s">
        <v>1100</v>
      </c>
      <c r="H139" s="78" t="s">
        <v>22</v>
      </c>
      <c r="I139" s="78" t="s">
        <v>25</v>
      </c>
      <c r="J139" s="79" t="s">
        <v>12</v>
      </c>
      <c r="K139" s="76" t="s">
        <v>932</v>
      </c>
      <c r="L139" s="80">
        <v>18</v>
      </c>
      <c r="M139" s="81">
        <v>7</v>
      </c>
      <c r="N139" s="81">
        <v>2009</v>
      </c>
      <c r="O139" s="82">
        <f>DATE(Range!$N139,Range!$M139,Range!$L139)</f>
        <v>40012</v>
      </c>
      <c r="P139" s="82">
        <f t="shared" ca="1" si="2"/>
        <v>46071</v>
      </c>
      <c r="Q139" s="81">
        <f ca="1">DATEDIF(Range!$O139,Range!$P139,"Y")</f>
        <v>16</v>
      </c>
      <c r="R139" s="83">
        <v>6843</v>
      </c>
      <c r="S139" s="84">
        <f>Range!$R139*0.1</f>
        <v>684.30000000000007</v>
      </c>
      <c r="T139" s="85">
        <f>Range!$R139*0.03</f>
        <v>205.29</v>
      </c>
      <c r="U139" s="86">
        <f>Range!$R139-Range!$S139+Range!$T139</f>
        <v>6363.99</v>
      </c>
      <c r="V139" s="87" t="str">
        <f>IF(Range!$U139&gt;=6000,"Over","Normal")</f>
        <v>Over</v>
      </c>
      <c r="W139" s="88">
        <f>VLOOKUP(Range!$U139,$Z$10:$AA$14,2)</f>
        <v>0.02</v>
      </c>
    </row>
    <row r="140" spans="1:23" ht="15.75" customHeight="1">
      <c r="A140" s="61">
        <v>1139</v>
      </c>
      <c r="B140" s="62" t="s">
        <v>354</v>
      </c>
      <c r="C140" s="62" t="s">
        <v>399</v>
      </c>
      <c r="D140" s="63" t="str">
        <f>PROPER(TRIM(Range!$C140&amp;" "&amp;Range!$C140))</f>
        <v>Qisam Qisam</v>
      </c>
      <c r="E140" s="62" t="s">
        <v>99</v>
      </c>
      <c r="F140" s="62" t="s">
        <v>697</v>
      </c>
      <c r="G140" s="62" t="s">
        <v>1100</v>
      </c>
      <c r="H140" s="64" t="s">
        <v>11</v>
      </c>
      <c r="I140" s="64" t="s">
        <v>25</v>
      </c>
      <c r="J140" s="65" t="s">
        <v>12</v>
      </c>
      <c r="K140" s="62" t="s">
        <v>933</v>
      </c>
      <c r="L140" s="66">
        <v>9</v>
      </c>
      <c r="M140" s="67">
        <v>4</v>
      </c>
      <c r="N140" s="67">
        <v>2001</v>
      </c>
      <c r="O140" s="68">
        <f>DATE(Range!$N140,Range!$M140,Range!$L140)</f>
        <v>36990</v>
      </c>
      <c r="P140" s="68">
        <f t="shared" ca="1" si="2"/>
        <v>46071</v>
      </c>
      <c r="Q140" s="67">
        <f ca="1">DATEDIF(Range!$O140,Range!$P140,"Y")</f>
        <v>24</v>
      </c>
      <c r="R140" s="69">
        <v>1070</v>
      </c>
      <c r="S140" s="70">
        <f>Range!$R140*0.1</f>
        <v>107</v>
      </c>
      <c r="T140" s="71">
        <f>Range!$R140*0.03</f>
        <v>32.1</v>
      </c>
      <c r="U140" s="72">
        <f>Range!$R140-Range!$S140+Range!$T140</f>
        <v>995.1</v>
      </c>
      <c r="V140" s="73" t="str">
        <f>IF(Range!$U140&gt;=6000,"Over","Normal")</f>
        <v>Normal</v>
      </c>
      <c r="W140" s="74">
        <f>VLOOKUP(Range!$U140,$Z$10:$AA$14,2)</f>
        <v>0.1</v>
      </c>
    </row>
    <row r="141" spans="1:23" ht="15.75" customHeight="1">
      <c r="A141" s="75">
        <v>1140</v>
      </c>
      <c r="B141" s="76" t="s">
        <v>400</v>
      </c>
      <c r="C141" s="76" t="s">
        <v>401</v>
      </c>
      <c r="D141" s="77" t="str">
        <f>PROPER(TRIM(Range!$C141&amp;" "&amp;Range!$C141))</f>
        <v>Almueasaeas Almueasaeas</v>
      </c>
      <c r="E141" s="76" t="s">
        <v>99</v>
      </c>
      <c r="F141" s="76" t="s">
        <v>698</v>
      </c>
      <c r="G141" s="76" t="s">
        <v>13</v>
      </c>
      <c r="H141" s="78" t="s">
        <v>22</v>
      </c>
      <c r="I141" s="78" t="s">
        <v>25</v>
      </c>
      <c r="J141" s="79" t="s">
        <v>23</v>
      </c>
      <c r="K141" s="76" t="s">
        <v>934</v>
      </c>
      <c r="L141" s="80">
        <v>23</v>
      </c>
      <c r="M141" s="81">
        <v>3</v>
      </c>
      <c r="N141" s="81">
        <v>2011</v>
      </c>
      <c r="O141" s="82">
        <f>DATE(Range!$N141,Range!$M141,Range!$L141)</f>
        <v>40625</v>
      </c>
      <c r="P141" s="82">
        <f t="shared" ca="1" si="2"/>
        <v>46071</v>
      </c>
      <c r="Q141" s="81">
        <f ca="1">DATEDIF(Range!$O141,Range!$P141,"Y")</f>
        <v>14</v>
      </c>
      <c r="R141" s="83">
        <v>1493</v>
      </c>
      <c r="S141" s="84">
        <f>Range!$R141*0.1</f>
        <v>149.30000000000001</v>
      </c>
      <c r="T141" s="85">
        <f>Range!$R141*0.03</f>
        <v>44.79</v>
      </c>
      <c r="U141" s="86">
        <f>Range!$R141-Range!$S141+Range!$T141</f>
        <v>1388.49</v>
      </c>
      <c r="V141" s="87" t="str">
        <f>IF(Range!$U141&gt;=6000,"Over","Normal")</f>
        <v>Normal</v>
      </c>
      <c r="W141" s="88">
        <f>VLOOKUP(Range!$U141,$Z$10:$AA$14,2)</f>
        <v>0.08</v>
      </c>
    </row>
    <row r="142" spans="1:23" ht="15.75" customHeight="1">
      <c r="A142" s="61">
        <v>1141</v>
      </c>
      <c r="B142" s="62" t="s">
        <v>402</v>
      </c>
      <c r="C142" s="62" t="s">
        <v>403</v>
      </c>
      <c r="D142" s="63" t="str">
        <f>PROPER(TRIM(Range!$C142&amp;" "&amp;Range!$C142))</f>
        <v>Aljamal Aljamal</v>
      </c>
      <c r="E142" s="62" t="s">
        <v>100</v>
      </c>
      <c r="F142" s="62" t="s">
        <v>699</v>
      </c>
      <c r="G142" s="62" t="s">
        <v>19</v>
      </c>
      <c r="H142" s="64" t="s">
        <v>11</v>
      </c>
      <c r="I142" s="64" t="s">
        <v>25</v>
      </c>
      <c r="J142" s="65" t="s">
        <v>12</v>
      </c>
      <c r="K142" s="62" t="s">
        <v>935</v>
      </c>
      <c r="L142" s="66">
        <v>3</v>
      </c>
      <c r="M142" s="67">
        <v>7</v>
      </c>
      <c r="N142" s="67">
        <v>2020</v>
      </c>
      <c r="O142" s="68">
        <f>DATE(Range!$N142,Range!$M142,Range!$L142)</f>
        <v>44015</v>
      </c>
      <c r="P142" s="68">
        <f t="shared" ca="1" si="2"/>
        <v>46071</v>
      </c>
      <c r="Q142" s="67">
        <f ca="1">DATEDIF(Range!$O142,Range!$P142,"Y")</f>
        <v>5</v>
      </c>
      <c r="R142" s="69">
        <v>5857</v>
      </c>
      <c r="S142" s="70">
        <f>Range!$R142*0.1</f>
        <v>585.70000000000005</v>
      </c>
      <c r="T142" s="71">
        <f>Range!$R142*0.03</f>
        <v>175.70999999999998</v>
      </c>
      <c r="U142" s="72">
        <f>Range!$R142-Range!$S142+Range!$T142</f>
        <v>5447.01</v>
      </c>
      <c r="V142" s="73" t="str">
        <f>IF(Range!$U142&gt;=6000,"Over","Normal")</f>
        <v>Normal</v>
      </c>
      <c r="W142" s="74">
        <f>VLOOKUP(Range!$U142,$Z$10:$AA$14,2)</f>
        <v>0.05</v>
      </c>
    </row>
    <row r="143" spans="1:23" ht="15.75" customHeight="1">
      <c r="A143" s="75">
        <v>1142</v>
      </c>
      <c r="B143" s="76" t="s">
        <v>392</v>
      </c>
      <c r="C143" s="76" t="s">
        <v>404</v>
      </c>
      <c r="D143" s="77" t="str">
        <f>PROPER(TRIM(Range!$C143&amp;" "&amp;Range!$C143))</f>
        <v>Kahulus Kahulus</v>
      </c>
      <c r="E143" s="76" t="s">
        <v>100</v>
      </c>
      <c r="F143" s="76" t="s">
        <v>700</v>
      </c>
      <c r="G143" s="76" t="s">
        <v>19</v>
      </c>
      <c r="H143" s="78" t="s">
        <v>8</v>
      </c>
      <c r="I143" s="78" t="s">
        <v>264</v>
      </c>
      <c r="J143" s="79" t="s">
        <v>12</v>
      </c>
      <c r="K143" s="76" t="s">
        <v>936</v>
      </c>
      <c r="L143" s="80">
        <v>4</v>
      </c>
      <c r="M143" s="81">
        <v>3</v>
      </c>
      <c r="N143" s="81">
        <v>1991</v>
      </c>
      <c r="O143" s="82">
        <f>DATE(Range!$N143,Range!$M143,Range!$L143)</f>
        <v>33301</v>
      </c>
      <c r="P143" s="82">
        <f t="shared" ca="1" si="2"/>
        <v>46071</v>
      </c>
      <c r="Q143" s="81">
        <f ca="1">DATEDIF(Range!$O143,Range!$P143,"Y")</f>
        <v>34</v>
      </c>
      <c r="R143" s="83">
        <v>5278</v>
      </c>
      <c r="S143" s="84">
        <f>Range!$R143*0.1</f>
        <v>527.80000000000007</v>
      </c>
      <c r="T143" s="85">
        <f>Range!$R143*0.03</f>
        <v>158.34</v>
      </c>
      <c r="U143" s="86">
        <f>Range!$R143-Range!$S143+Range!$T143</f>
        <v>4908.54</v>
      </c>
      <c r="V143" s="87" t="str">
        <f>IF(Range!$U143&gt;=6000,"Over","Normal")</f>
        <v>Normal</v>
      </c>
      <c r="W143" s="88">
        <f>VLOOKUP(Range!$U143,$Z$10:$AA$14,2)</f>
        <v>0.05</v>
      </c>
    </row>
    <row r="144" spans="1:23" ht="15.75" customHeight="1">
      <c r="A144" s="61">
        <v>1143</v>
      </c>
      <c r="B144" s="62" t="s">
        <v>405</v>
      </c>
      <c r="C144" s="62" t="s">
        <v>406</v>
      </c>
      <c r="D144" s="63" t="str">
        <f>PROPER(TRIM(Range!$C144&amp;" "&amp;Range!$C144))</f>
        <v>Alyaghshiu Alyaghshiu</v>
      </c>
      <c r="E144" s="62" t="s">
        <v>99</v>
      </c>
      <c r="F144" s="62" t="s">
        <v>701</v>
      </c>
      <c r="G144" s="62" t="s">
        <v>1100</v>
      </c>
      <c r="H144" s="64" t="s">
        <v>8</v>
      </c>
      <c r="I144" s="64" t="s">
        <v>26</v>
      </c>
      <c r="J144" s="65" t="s">
        <v>10</v>
      </c>
      <c r="K144" s="62" t="s">
        <v>937</v>
      </c>
      <c r="L144" s="66">
        <v>18</v>
      </c>
      <c r="M144" s="67">
        <v>9</v>
      </c>
      <c r="N144" s="67">
        <v>2015</v>
      </c>
      <c r="O144" s="68">
        <f>DATE(Range!$N144,Range!$M144,Range!$L144)</f>
        <v>42265</v>
      </c>
      <c r="P144" s="68">
        <f t="shared" ca="1" si="2"/>
        <v>46071</v>
      </c>
      <c r="Q144" s="67">
        <f ca="1">DATEDIF(Range!$O144,Range!$P144,"Y")</f>
        <v>10</v>
      </c>
      <c r="R144" s="69">
        <v>5710</v>
      </c>
      <c r="S144" s="70">
        <f>Range!$R144*0.1</f>
        <v>571</v>
      </c>
      <c r="T144" s="71">
        <f>Range!$R144*0.03</f>
        <v>171.29999999999998</v>
      </c>
      <c r="U144" s="72">
        <f>Range!$R144-Range!$S144+Range!$T144</f>
        <v>5310.3</v>
      </c>
      <c r="V144" s="73" t="str">
        <f>IF(Range!$U144&gt;=6000,"Over","Normal")</f>
        <v>Normal</v>
      </c>
      <c r="W144" s="74">
        <f>VLOOKUP(Range!$U144,$Z$10:$AA$14,2)</f>
        <v>0.05</v>
      </c>
    </row>
    <row r="145" spans="1:23" ht="15.75" customHeight="1">
      <c r="A145" s="75">
        <v>1144</v>
      </c>
      <c r="B145" s="76" t="s">
        <v>102</v>
      </c>
      <c r="C145" s="76" t="s">
        <v>407</v>
      </c>
      <c r="D145" s="77" t="str">
        <f>PROPER(TRIM(Range!$C145&amp;" "&amp;Range!$C145))</f>
        <v>Zayd Zayd</v>
      </c>
      <c r="E145" s="76" t="s">
        <v>100</v>
      </c>
      <c r="F145" s="76" t="s">
        <v>702</v>
      </c>
      <c r="G145" s="76" t="s">
        <v>13</v>
      </c>
      <c r="H145" s="78" t="s">
        <v>8</v>
      </c>
      <c r="I145" s="78" t="s">
        <v>15</v>
      </c>
      <c r="J145" s="79" t="s">
        <v>23</v>
      </c>
      <c r="K145" s="76" t="s">
        <v>938</v>
      </c>
      <c r="L145" s="80">
        <v>8</v>
      </c>
      <c r="M145" s="81">
        <v>12</v>
      </c>
      <c r="N145" s="81">
        <v>1998</v>
      </c>
      <c r="O145" s="82">
        <f>DATE(Range!$N145,Range!$M145,Range!$L145)</f>
        <v>36137</v>
      </c>
      <c r="P145" s="82">
        <f t="shared" ca="1" si="2"/>
        <v>46071</v>
      </c>
      <c r="Q145" s="81">
        <f ca="1">DATEDIF(Range!$O145,Range!$P145,"Y")</f>
        <v>27</v>
      </c>
      <c r="R145" s="83">
        <v>6145</v>
      </c>
      <c r="S145" s="84">
        <f>Range!$R145*0.1</f>
        <v>614.5</v>
      </c>
      <c r="T145" s="85">
        <f>Range!$R145*0.03</f>
        <v>184.35</v>
      </c>
      <c r="U145" s="86">
        <f>Range!$R145-Range!$S145+Range!$T145</f>
        <v>5714.85</v>
      </c>
      <c r="V145" s="87" t="str">
        <f>IF(Range!$U145&gt;=6000,"Over","Normal")</f>
        <v>Normal</v>
      </c>
      <c r="W145" s="88">
        <f>VLOOKUP(Range!$U145,$Z$10:$AA$14,2)</f>
        <v>0.05</v>
      </c>
    </row>
    <row r="146" spans="1:23" ht="15.75" customHeight="1">
      <c r="A146" s="61">
        <v>1145</v>
      </c>
      <c r="B146" s="62" t="s">
        <v>408</v>
      </c>
      <c r="C146" s="62" t="s">
        <v>409</v>
      </c>
      <c r="D146" s="63" t="str">
        <f>PROPER(TRIM(Range!$C146&amp;" "&amp;Range!$C146))</f>
        <v>Ghunum Ghunum</v>
      </c>
      <c r="E146" s="62" t="s">
        <v>99</v>
      </c>
      <c r="F146" s="62" t="s">
        <v>703</v>
      </c>
      <c r="G146" s="62" t="s">
        <v>17</v>
      </c>
      <c r="H146" s="64" t="s">
        <v>11</v>
      </c>
      <c r="I146" s="64" t="s">
        <v>26</v>
      </c>
      <c r="J146" s="65" t="s">
        <v>10</v>
      </c>
      <c r="K146" s="62" t="s">
        <v>939</v>
      </c>
      <c r="L146" s="66">
        <v>23</v>
      </c>
      <c r="M146" s="67">
        <v>11</v>
      </c>
      <c r="N146" s="67">
        <v>2018</v>
      </c>
      <c r="O146" s="68">
        <f>DATE(Range!$N146,Range!$M146,Range!$L146)</f>
        <v>43427</v>
      </c>
      <c r="P146" s="68">
        <f t="shared" ca="1" si="2"/>
        <v>46071</v>
      </c>
      <c r="Q146" s="67">
        <f ca="1">DATEDIF(Range!$O146,Range!$P146,"Y")</f>
        <v>7</v>
      </c>
      <c r="R146" s="69">
        <v>5278</v>
      </c>
      <c r="S146" s="70">
        <f>Range!$R146*0.1</f>
        <v>527.80000000000007</v>
      </c>
      <c r="T146" s="71">
        <f>Range!$R146*0.03</f>
        <v>158.34</v>
      </c>
      <c r="U146" s="72">
        <f>Range!$R146-Range!$S146+Range!$T146</f>
        <v>4908.54</v>
      </c>
      <c r="V146" s="73" t="str">
        <f>IF(Range!$U146&gt;=6000,"Over","Normal")</f>
        <v>Normal</v>
      </c>
      <c r="W146" s="74">
        <f>VLOOKUP(Range!$U146,$Z$10:$AA$14,2)</f>
        <v>0.05</v>
      </c>
    </row>
    <row r="147" spans="1:23" ht="15.75" customHeight="1">
      <c r="A147" s="75">
        <v>1146</v>
      </c>
      <c r="B147" s="76" t="s">
        <v>410</v>
      </c>
      <c r="C147" s="76" t="s">
        <v>411</v>
      </c>
      <c r="D147" s="77" t="str">
        <f>PROPER(TRIM(Range!$C147&amp;" "&amp;Range!$C147))</f>
        <v>Bryghl Bryghl</v>
      </c>
      <c r="E147" s="76" t="s">
        <v>100</v>
      </c>
      <c r="F147" s="76" t="s">
        <v>704</v>
      </c>
      <c r="G147" s="76" t="s">
        <v>17</v>
      </c>
      <c r="H147" s="78" t="s">
        <v>22</v>
      </c>
      <c r="I147" s="78" t="s">
        <v>9</v>
      </c>
      <c r="J147" s="79" t="s">
        <v>12</v>
      </c>
      <c r="K147" s="76" t="s">
        <v>940</v>
      </c>
      <c r="L147" s="80">
        <v>21</v>
      </c>
      <c r="M147" s="81">
        <v>9</v>
      </c>
      <c r="N147" s="81">
        <v>2018</v>
      </c>
      <c r="O147" s="82">
        <f>DATE(Range!$N147,Range!$M147,Range!$L147)</f>
        <v>43364</v>
      </c>
      <c r="P147" s="82">
        <f t="shared" ca="1" si="2"/>
        <v>46071</v>
      </c>
      <c r="Q147" s="81">
        <f ca="1">DATEDIF(Range!$O147,Range!$P147,"Y")</f>
        <v>7</v>
      </c>
      <c r="R147" s="83">
        <v>6409</v>
      </c>
      <c r="S147" s="84">
        <f>Range!$R147*0.1</f>
        <v>640.90000000000009</v>
      </c>
      <c r="T147" s="85">
        <f>Range!$R147*0.03</f>
        <v>192.26999999999998</v>
      </c>
      <c r="U147" s="86">
        <f>Range!$R147-Range!$S147+Range!$T147</f>
        <v>5960.3700000000008</v>
      </c>
      <c r="V147" s="87" t="str">
        <f>IF(Range!$U147&gt;=6000,"Over","Normal")</f>
        <v>Normal</v>
      </c>
      <c r="W147" s="88">
        <f>VLOOKUP(Range!$U147,$Z$10:$AA$14,2)</f>
        <v>0.05</v>
      </c>
    </row>
    <row r="148" spans="1:23" ht="15.75" customHeight="1">
      <c r="A148" s="61">
        <v>1147</v>
      </c>
      <c r="B148" s="62" t="s">
        <v>140</v>
      </c>
      <c r="C148" s="62" t="s">
        <v>412</v>
      </c>
      <c r="D148" s="63" t="str">
        <f>PROPER(TRIM(Range!$C148&amp;" "&amp;Range!$C148))</f>
        <v>Abu Adhan Abu Adhan</v>
      </c>
      <c r="E148" s="62" t="s">
        <v>100</v>
      </c>
      <c r="F148" s="62" t="s">
        <v>705</v>
      </c>
      <c r="G148" s="62" t="s">
        <v>13</v>
      </c>
      <c r="H148" s="64" t="s">
        <v>8</v>
      </c>
      <c r="I148" s="64" t="s">
        <v>9</v>
      </c>
      <c r="J148" s="65" t="s">
        <v>12</v>
      </c>
      <c r="K148" s="62" t="s">
        <v>941</v>
      </c>
      <c r="L148" s="66">
        <v>4</v>
      </c>
      <c r="M148" s="67">
        <v>12</v>
      </c>
      <c r="N148" s="67">
        <v>1994</v>
      </c>
      <c r="O148" s="68">
        <f>DATE(Range!$N148,Range!$M148,Range!$L148)</f>
        <v>34672</v>
      </c>
      <c r="P148" s="68">
        <f t="shared" ca="1" si="2"/>
        <v>46071</v>
      </c>
      <c r="Q148" s="67">
        <f ca="1">DATEDIF(Range!$O148,Range!$P148,"Y")</f>
        <v>31</v>
      </c>
      <c r="R148" s="69">
        <v>7478</v>
      </c>
      <c r="S148" s="70">
        <f>Range!$R148*0.1</f>
        <v>747.80000000000007</v>
      </c>
      <c r="T148" s="71">
        <f>Range!$R148*0.03</f>
        <v>224.34</v>
      </c>
      <c r="U148" s="72">
        <f>Range!$R148-Range!$S148+Range!$T148</f>
        <v>6954.54</v>
      </c>
      <c r="V148" s="73" t="str">
        <f>IF(Range!$U148&gt;=6000,"Over","Normal")</f>
        <v>Over</v>
      </c>
      <c r="W148" s="74">
        <f>VLOOKUP(Range!$U148,$Z$10:$AA$14,2)</f>
        <v>0.02</v>
      </c>
    </row>
    <row r="149" spans="1:23" ht="15.75" customHeight="1">
      <c r="A149" s="75">
        <v>1148</v>
      </c>
      <c r="B149" s="76" t="s">
        <v>413</v>
      </c>
      <c r="C149" s="76" t="s">
        <v>414</v>
      </c>
      <c r="D149" s="77" t="str">
        <f>PROPER(TRIM(Range!$C149&amp;" "&amp;Range!$C149))</f>
        <v>Alkhibaz Alkhibaz</v>
      </c>
      <c r="E149" s="76" t="s">
        <v>100</v>
      </c>
      <c r="F149" s="76" t="s">
        <v>706</v>
      </c>
      <c r="G149" s="76" t="s">
        <v>1100</v>
      </c>
      <c r="H149" s="78" t="s">
        <v>8</v>
      </c>
      <c r="I149" s="78" t="s">
        <v>9</v>
      </c>
      <c r="J149" s="79" t="s">
        <v>23</v>
      </c>
      <c r="K149" s="76" t="s">
        <v>942</v>
      </c>
      <c r="L149" s="80">
        <v>2</v>
      </c>
      <c r="M149" s="81">
        <v>6</v>
      </c>
      <c r="N149" s="81">
        <v>2019</v>
      </c>
      <c r="O149" s="82">
        <f>DATE(Range!$N149,Range!$M149,Range!$L149)</f>
        <v>43618</v>
      </c>
      <c r="P149" s="82">
        <f t="shared" ca="1" si="2"/>
        <v>46071</v>
      </c>
      <c r="Q149" s="81">
        <f ca="1">DATEDIF(Range!$O149,Range!$P149,"Y")</f>
        <v>6</v>
      </c>
      <c r="R149" s="83">
        <v>4621</v>
      </c>
      <c r="S149" s="84">
        <f>Range!$R149*0.1</f>
        <v>462.1</v>
      </c>
      <c r="T149" s="85">
        <f>Range!$R149*0.03</f>
        <v>138.63</v>
      </c>
      <c r="U149" s="86">
        <f>Range!$R149-Range!$S149+Range!$T149</f>
        <v>4297.53</v>
      </c>
      <c r="V149" s="87" t="str">
        <f>IF(Range!$U149&gt;=6000,"Over","Normal")</f>
        <v>Normal</v>
      </c>
      <c r="W149" s="88">
        <f>VLOOKUP(Range!$U149,$Z$10:$AA$14,2)</f>
        <v>0.05</v>
      </c>
    </row>
    <row r="150" spans="1:23" ht="15.75" customHeight="1">
      <c r="A150" s="61">
        <v>1149</v>
      </c>
      <c r="B150" s="62" t="s">
        <v>415</v>
      </c>
      <c r="C150" s="62" t="s">
        <v>416</v>
      </c>
      <c r="D150" s="63" t="str">
        <f>PROPER(TRIM(Range!$C150&amp;" "&amp;Range!$C150))</f>
        <v>Alsydawi Alsydawi</v>
      </c>
      <c r="E150" s="62" t="s">
        <v>99</v>
      </c>
      <c r="F150" s="62" t="s">
        <v>707</v>
      </c>
      <c r="G150" s="62" t="s">
        <v>17</v>
      </c>
      <c r="H150" s="64" t="s">
        <v>11</v>
      </c>
      <c r="I150" s="64" t="s">
        <v>27</v>
      </c>
      <c r="J150" s="65" t="s">
        <v>12</v>
      </c>
      <c r="K150" s="62" t="s">
        <v>943</v>
      </c>
      <c r="L150" s="66">
        <v>6</v>
      </c>
      <c r="M150" s="67">
        <v>8</v>
      </c>
      <c r="N150" s="67">
        <v>2019</v>
      </c>
      <c r="O150" s="68">
        <f>DATE(Range!$N150,Range!$M150,Range!$L150)</f>
        <v>43683</v>
      </c>
      <c r="P150" s="68">
        <f t="shared" ca="1" si="2"/>
        <v>46071</v>
      </c>
      <c r="Q150" s="67">
        <f ca="1">DATEDIF(Range!$O150,Range!$P150,"Y")</f>
        <v>6</v>
      </c>
      <c r="R150" s="69">
        <v>2093</v>
      </c>
      <c r="S150" s="70">
        <f>Range!$R150*0.1</f>
        <v>209.3</v>
      </c>
      <c r="T150" s="71">
        <f>Range!$R150*0.03</f>
        <v>62.79</v>
      </c>
      <c r="U150" s="72">
        <f>Range!$R150-Range!$S150+Range!$T150</f>
        <v>1946.49</v>
      </c>
      <c r="V150" s="73" t="str">
        <f>IF(Range!$U150&gt;=6000,"Over","Normal")</f>
        <v>Normal</v>
      </c>
      <c r="W150" s="74">
        <f>VLOOKUP(Range!$U150,$Z$10:$AA$14,2)</f>
        <v>0.08</v>
      </c>
    </row>
    <row r="151" spans="1:23" ht="15.75" customHeight="1">
      <c r="A151" s="75">
        <v>1150</v>
      </c>
      <c r="B151" s="76" t="s">
        <v>118</v>
      </c>
      <c r="C151" s="76" t="s">
        <v>417</v>
      </c>
      <c r="D151" s="77" t="str">
        <f>PROPER(TRIM(Range!$C151&amp;" "&amp;Range!$C151))</f>
        <v>Almunzilijiu Almunzilijiu</v>
      </c>
      <c r="E151" s="76" t="s">
        <v>100</v>
      </c>
      <c r="F151" s="76" t="s">
        <v>708</v>
      </c>
      <c r="G151" s="76" t="s">
        <v>1100</v>
      </c>
      <c r="H151" s="78" t="s">
        <v>14</v>
      </c>
      <c r="I151" s="78" t="s">
        <v>264</v>
      </c>
      <c r="J151" s="79" t="s">
        <v>12</v>
      </c>
      <c r="K151" s="76" t="s">
        <v>944</v>
      </c>
      <c r="L151" s="80">
        <v>10</v>
      </c>
      <c r="M151" s="81">
        <v>2</v>
      </c>
      <c r="N151" s="81">
        <v>1992</v>
      </c>
      <c r="O151" s="82">
        <f>DATE(Range!$N151,Range!$M151,Range!$L151)</f>
        <v>33644</v>
      </c>
      <c r="P151" s="82">
        <f t="shared" ca="1" si="2"/>
        <v>46071</v>
      </c>
      <c r="Q151" s="81">
        <f ca="1">DATEDIF(Range!$O151,Range!$P151,"Y")</f>
        <v>34</v>
      </c>
      <c r="R151" s="83">
        <v>7333</v>
      </c>
      <c r="S151" s="84">
        <f>Range!$R151*0.1</f>
        <v>733.30000000000007</v>
      </c>
      <c r="T151" s="85">
        <f>Range!$R151*0.03</f>
        <v>219.98999999999998</v>
      </c>
      <c r="U151" s="86">
        <f>Range!$R151-Range!$S151+Range!$T151</f>
        <v>6819.69</v>
      </c>
      <c r="V151" s="87" t="str">
        <f>IF(Range!$U151&gt;=6000,"Over","Normal")</f>
        <v>Over</v>
      </c>
      <c r="W151" s="88">
        <f>VLOOKUP(Range!$U151,$Z$10:$AA$14,2)</f>
        <v>0.02</v>
      </c>
    </row>
    <row r="152" spans="1:23" ht="15.75" customHeight="1">
      <c r="A152" s="61">
        <v>1151</v>
      </c>
      <c r="B152" s="62" t="s">
        <v>392</v>
      </c>
      <c r="C152" s="62" t="s">
        <v>418</v>
      </c>
      <c r="D152" s="63" t="str">
        <f>PROPER(TRIM(Range!$C152&amp;" "&amp;Range!$C152))</f>
        <v>Milatu Milatu</v>
      </c>
      <c r="E152" s="62" t="s">
        <v>100</v>
      </c>
      <c r="F152" s="62" t="s">
        <v>709</v>
      </c>
      <c r="G152" s="62" t="s">
        <v>17</v>
      </c>
      <c r="H152" s="64" t="s">
        <v>14</v>
      </c>
      <c r="I152" s="64" t="s">
        <v>15</v>
      </c>
      <c r="J152" s="65" t="s">
        <v>10</v>
      </c>
      <c r="K152" s="62" t="s">
        <v>945</v>
      </c>
      <c r="L152" s="66">
        <v>22</v>
      </c>
      <c r="M152" s="67">
        <v>10</v>
      </c>
      <c r="N152" s="67">
        <v>1992</v>
      </c>
      <c r="O152" s="68">
        <f>DATE(Range!$N152,Range!$M152,Range!$L152)</f>
        <v>33899</v>
      </c>
      <c r="P152" s="68">
        <f t="shared" ca="1" si="2"/>
        <v>46071</v>
      </c>
      <c r="Q152" s="67">
        <f ca="1">DATEDIF(Range!$O152,Range!$P152,"Y")</f>
        <v>33</v>
      </c>
      <c r="R152" s="69">
        <v>1194</v>
      </c>
      <c r="S152" s="70">
        <f>Range!$R152*0.1</f>
        <v>119.4</v>
      </c>
      <c r="T152" s="71">
        <f>Range!$R152*0.03</f>
        <v>35.82</v>
      </c>
      <c r="U152" s="72">
        <f>Range!$R152-Range!$S152+Range!$T152</f>
        <v>1110.4199999999998</v>
      </c>
      <c r="V152" s="73" t="str">
        <f>IF(Range!$U152&gt;=6000,"Over","Normal")</f>
        <v>Normal</v>
      </c>
      <c r="W152" s="74">
        <f>VLOOKUP(Range!$U152,$Z$10:$AA$14,2)</f>
        <v>0.08</v>
      </c>
    </row>
    <row r="153" spans="1:23" ht="15.75" customHeight="1">
      <c r="A153" s="75">
        <v>1152</v>
      </c>
      <c r="B153" s="76" t="s">
        <v>419</v>
      </c>
      <c r="C153" s="76" t="s">
        <v>420</v>
      </c>
      <c r="D153" s="77" t="str">
        <f>PROPER(TRIM(Range!$C153&amp;" "&amp;Range!$C153))</f>
        <v>Eali Eali</v>
      </c>
      <c r="E153" s="76" t="s">
        <v>100</v>
      </c>
      <c r="F153" s="76" t="s">
        <v>710</v>
      </c>
      <c r="G153" s="76" t="s">
        <v>7</v>
      </c>
      <c r="H153" s="78" t="s">
        <v>11</v>
      </c>
      <c r="I153" s="78" t="s">
        <v>15</v>
      </c>
      <c r="J153" s="79" t="s">
        <v>10</v>
      </c>
      <c r="K153" s="76" t="s">
        <v>946</v>
      </c>
      <c r="L153" s="80">
        <v>8</v>
      </c>
      <c r="M153" s="81">
        <v>2</v>
      </c>
      <c r="N153" s="81">
        <v>1991</v>
      </c>
      <c r="O153" s="82">
        <f>DATE(Range!$N153,Range!$M153,Range!$L153)</f>
        <v>33277</v>
      </c>
      <c r="P153" s="82">
        <f t="shared" ca="1" si="2"/>
        <v>46071</v>
      </c>
      <c r="Q153" s="81">
        <f ca="1">DATEDIF(Range!$O153,Range!$P153,"Y")</f>
        <v>35</v>
      </c>
      <c r="R153" s="83">
        <v>5118</v>
      </c>
      <c r="S153" s="84">
        <f>Range!$R153*0.1</f>
        <v>511.8</v>
      </c>
      <c r="T153" s="85">
        <f>Range!$R153*0.03</f>
        <v>153.54</v>
      </c>
      <c r="U153" s="86">
        <f>Range!$R153-Range!$S153+Range!$T153</f>
        <v>4759.74</v>
      </c>
      <c r="V153" s="87" t="str">
        <f>IF(Range!$U153&gt;=6000,"Over","Normal")</f>
        <v>Normal</v>
      </c>
      <c r="W153" s="88">
        <f>VLOOKUP(Range!$U153,$Z$10:$AA$14,2)</f>
        <v>0.05</v>
      </c>
    </row>
    <row r="154" spans="1:23" ht="15.75" customHeight="1">
      <c r="A154" s="61">
        <v>1153</v>
      </c>
      <c r="B154" s="62" t="s">
        <v>421</v>
      </c>
      <c r="C154" s="62" t="s">
        <v>422</v>
      </c>
      <c r="D154" s="63" t="str">
        <f>PROPER(TRIM(Range!$C154&amp;" "&amp;Range!$C154))</f>
        <v>Hisan Hisan</v>
      </c>
      <c r="E154" s="62" t="s">
        <v>99</v>
      </c>
      <c r="F154" s="62" t="s">
        <v>711</v>
      </c>
      <c r="G154" s="62" t="s">
        <v>17</v>
      </c>
      <c r="H154" s="64" t="s">
        <v>11</v>
      </c>
      <c r="I154" s="64" t="s">
        <v>28</v>
      </c>
      <c r="J154" s="65" t="s">
        <v>23</v>
      </c>
      <c r="K154" s="62" t="s">
        <v>947</v>
      </c>
      <c r="L154" s="66">
        <v>15</v>
      </c>
      <c r="M154" s="67">
        <v>3</v>
      </c>
      <c r="N154" s="67">
        <v>2023</v>
      </c>
      <c r="O154" s="68">
        <f>DATE(Range!$N154,Range!$M154,Range!$L154)</f>
        <v>45000</v>
      </c>
      <c r="P154" s="68">
        <f t="shared" ca="1" si="2"/>
        <v>46071</v>
      </c>
      <c r="Q154" s="67">
        <f ca="1">DATEDIF(Range!$O154,Range!$P154,"Y")</f>
        <v>2</v>
      </c>
      <c r="R154" s="69">
        <v>5373</v>
      </c>
      <c r="S154" s="70">
        <f>Range!$R154*0.1</f>
        <v>537.30000000000007</v>
      </c>
      <c r="T154" s="71">
        <f>Range!$R154*0.03</f>
        <v>161.19</v>
      </c>
      <c r="U154" s="72">
        <f>Range!$R154-Range!$S154+Range!$T154</f>
        <v>4996.8899999999994</v>
      </c>
      <c r="V154" s="73" t="str">
        <f>IF(Range!$U154&gt;=6000,"Over","Normal")</f>
        <v>Normal</v>
      </c>
      <c r="W154" s="74">
        <f>VLOOKUP(Range!$U154,$Z$10:$AA$14,2)</f>
        <v>0.05</v>
      </c>
    </row>
    <row r="155" spans="1:23" ht="15.75" customHeight="1">
      <c r="A155" s="75">
        <v>1154</v>
      </c>
      <c r="B155" s="76" t="s">
        <v>423</v>
      </c>
      <c r="C155" s="76" t="s">
        <v>424</v>
      </c>
      <c r="D155" s="77" t="str">
        <f>PROPER(TRIM(Range!$C155&amp;" "&amp;Range!$C155))</f>
        <v>Yasin Yasin</v>
      </c>
      <c r="E155" s="76" t="s">
        <v>99</v>
      </c>
      <c r="F155" s="76" t="s">
        <v>712</v>
      </c>
      <c r="G155" s="76" t="s">
        <v>17</v>
      </c>
      <c r="H155" s="78" t="s">
        <v>8</v>
      </c>
      <c r="I155" s="78" t="s">
        <v>29</v>
      </c>
      <c r="J155" s="79" t="s">
        <v>12</v>
      </c>
      <c r="K155" s="76" t="s">
        <v>948</v>
      </c>
      <c r="L155" s="80">
        <v>20</v>
      </c>
      <c r="M155" s="81">
        <v>8</v>
      </c>
      <c r="N155" s="81">
        <v>2004</v>
      </c>
      <c r="O155" s="82">
        <f>DATE(Range!$N155,Range!$M155,Range!$L155)</f>
        <v>38219</v>
      </c>
      <c r="P155" s="82">
        <f t="shared" ca="1" si="2"/>
        <v>46071</v>
      </c>
      <c r="Q155" s="81">
        <f ca="1">DATEDIF(Range!$O155,Range!$P155,"Y")</f>
        <v>21</v>
      </c>
      <c r="R155" s="83">
        <v>1708</v>
      </c>
      <c r="S155" s="84">
        <f>Range!$R155*0.1</f>
        <v>170.8</v>
      </c>
      <c r="T155" s="85">
        <f>Range!$R155*0.03</f>
        <v>51.239999999999995</v>
      </c>
      <c r="U155" s="86">
        <f>Range!$R155-Range!$S155+Range!$T155</f>
        <v>1588.44</v>
      </c>
      <c r="V155" s="87" t="str">
        <f>IF(Range!$U155&gt;=6000,"Over","Normal")</f>
        <v>Normal</v>
      </c>
      <c r="W155" s="88">
        <f>VLOOKUP(Range!$U155,$Z$10:$AA$14,2)</f>
        <v>0.08</v>
      </c>
    </row>
    <row r="156" spans="1:23" ht="15.75" customHeight="1">
      <c r="A156" s="61">
        <v>1155</v>
      </c>
      <c r="B156" s="62" t="s">
        <v>425</v>
      </c>
      <c r="C156" s="62" t="s">
        <v>426</v>
      </c>
      <c r="D156" s="63" t="str">
        <f>PROPER(TRIM(Range!$C156&amp;" "&amp;Range!$C156))</f>
        <v>Ewad Ewad</v>
      </c>
      <c r="E156" s="62" t="s">
        <v>100</v>
      </c>
      <c r="F156" s="62" t="s">
        <v>713</v>
      </c>
      <c r="G156" s="62" t="s">
        <v>19</v>
      </c>
      <c r="H156" s="64" t="s">
        <v>8</v>
      </c>
      <c r="I156" s="64" t="s">
        <v>264</v>
      </c>
      <c r="J156" s="65" t="s">
        <v>10</v>
      </c>
      <c r="K156" s="62" t="s">
        <v>949</v>
      </c>
      <c r="L156" s="66">
        <v>10</v>
      </c>
      <c r="M156" s="67">
        <v>1</v>
      </c>
      <c r="N156" s="67">
        <v>1996</v>
      </c>
      <c r="O156" s="68">
        <f>DATE(Range!$N156,Range!$M156,Range!$L156)</f>
        <v>35074</v>
      </c>
      <c r="P156" s="68">
        <f t="shared" ca="1" si="2"/>
        <v>46071</v>
      </c>
      <c r="Q156" s="67">
        <f ca="1">DATEDIF(Range!$O156,Range!$P156,"Y")</f>
        <v>30</v>
      </c>
      <c r="R156" s="69">
        <v>2898</v>
      </c>
      <c r="S156" s="70">
        <f>Range!$R156*0.1</f>
        <v>289.8</v>
      </c>
      <c r="T156" s="71">
        <f>Range!$R156*0.03</f>
        <v>86.94</v>
      </c>
      <c r="U156" s="72">
        <f>Range!$R156-Range!$S156+Range!$T156</f>
        <v>2695.14</v>
      </c>
      <c r="V156" s="73" t="str">
        <f>IF(Range!$U156&gt;=6000,"Over","Normal")</f>
        <v>Normal</v>
      </c>
      <c r="W156" s="74">
        <f>VLOOKUP(Range!$U156,$Z$10:$AA$14,2)</f>
        <v>0.08</v>
      </c>
    </row>
    <row r="157" spans="1:23" ht="15.75" customHeight="1">
      <c r="A157" s="75">
        <v>1156</v>
      </c>
      <c r="B157" s="76" t="s">
        <v>427</v>
      </c>
      <c r="C157" s="76" t="s">
        <v>428</v>
      </c>
      <c r="D157" s="77" t="str">
        <f>PROPER(TRIM(Range!$C157&amp;" "&amp;Range!$C157))</f>
        <v>Alsaedi Alsaedi</v>
      </c>
      <c r="E157" s="76" t="s">
        <v>99</v>
      </c>
      <c r="F157" s="76" t="s">
        <v>714</v>
      </c>
      <c r="G157" s="76" t="s">
        <v>7</v>
      </c>
      <c r="H157" s="78" t="s">
        <v>8</v>
      </c>
      <c r="I157" s="78" t="s">
        <v>26</v>
      </c>
      <c r="J157" s="79" t="s">
        <v>20</v>
      </c>
      <c r="K157" s="76" t="s">
        <v>950</v>
      </c>
      <c r="L157" s="80">
        <v>17</v>
      </c>
      <c r="M157" s="81">
        <v>3</v>
      </c>
      <c r="N157" s="81">
        <v>2008</v>
      </c>
      <c r="O157" s="82">
        <f>DATE(Range!$N157,Range!$M157,Range!$L157)</f>
        <v>39524</v>
      </c>
      <c r="P157" s="82">
        <f t="shared" ca="1" si="2"/>
        <v>46071</v>
      </c>
      <c r="Q157" s="81">
        <f ca="1">DATEDIF(Range!$O157,Range!$P157,"Y")</f>
        <v>17</v>
      </c>
      <c r="R157" s="83">
        <v>6211</v>
      </c>
      <c r="S157" s="84">
        <f>Range!$R157*0.1</f>
        <v>621.1</v>
      </c>
      <c r="T157" s="85">
        <f>Range!$R157*0.03</f>
        <v>186.32999999999998</v>
      </c>
      <c r="U157" s="86">
        <f>Range!$R157-Range!$S157+Range!$T157</f>
        <v>5776.23</v>
      </c>
      <c r="V157" s="87" t="str">
        <f>IF(Range!$U157&gt;=6000,"Over","Normal")</f>
        <v>Normal</v>
      </c>
      <c r="W157" s="88">
        <f>VLOOKUP(Range!$U157,$Z$10:$AA$14,2)</f>
        <v>0.05</v>
      </c>
    </row>
    <row r="158" spans="1:23" ht="15.75" customHeight="1">
      <c r="A158" s="61">
        <v>1157</v>
      </c>
      <c r="B158" s="62" t="s">
        <v>429</v>
      </c>
      <c r="C158" s="62" t="s">
        <v>192</v>
      </c>
      <c r="D158" s="63" t="str">
        <f>PROPER(TRIM(Range!$C158&amp;" "&amp;Range!$C158))</f>
        <v>Almisri Almisri</v>
      </c>
      <c r="E158" s="62" t="s">
        <v>99</v>
      </c>
      <c r="F158" s="62" t="s">
        <v>715</v>
      </c>
      <c r="G158" s="62" t="s">
        <v>19</v>
      </c>
      <c r="H158" s="64" t="s">
        <v>11</v>
      </c>
      <c r="I158" s="64" t="s">
        <v>9</v>
      </c>
      <c r="J158" s="65" t="s">
        <v>12</v>
      </c>
      <c r="K158" s="62" t="s">
        <v>951</v>
      </c>
      <c r="L158" s="66">
        <v>4</v>
      </c>
      <c r="M158" s="67">
        <v>9</v>
      </c>
      <c r="N158" s="67">
        <v>2020</v>
      </c>
      <c r="O158" s="68">
        <f>DATE(Range!$N158,Range!$M158,Range!$L158)</f>
        <v>44078</v>
      </c>
      <c r="P158" s="68">
        <f t="shared" ca="1" si="2"/>
        <v>46071</v>
      </c>
      <c r="Q158" s="67">
        <f ca="1">DATEDIF(Range!$O158,Range!$P158,"Y")</f>
        <v>5</v>
      </c>
      <c r="R158" s="69">
        <v>5976</v>
      </c>
      <c r="S158" s="70">
        <f>Range!$R158*0.1</f>
        <v>597.6</v>
      </c>
      <c r="T158" s="71">
        <f>Range!$R158*0.03</f>
        <v>179.28</v>
      </c>
      <c r="U158" s="72">
        <f>Range!$R158-Range!$S158+Range!$T158</f>
        <v>5557.6799999999994</v>
      </c>
      <c r="V158" s="73" t="str">
        <f>IF(Range!$U158&gt;=6000,"Over","Normal")</f>
        <v>Normal</v>
      </c>
      <c r="W158" s="74">
        <f>VLOOKUP(Range!$U158,$Z$10:$AA$14,2)</f>
        <v>0.05</v>
      </c>
    </row>
    <row r="159" spans="1:23" ht="15.75" customHeight="1">
      <c r="A159" s="75">
        <v>1158</v>
      </c>
      <c r="B159" s="76" t="s">
        <v>330</v>
      </c>
      <c r="C159" s="76" t="s">
        <v>430</v>
      </c>
      <c r="D159" s="77" t="str">
        <f>PROPER(TRIM(Range!$C159&amp;" "&amp;Range!$C159))</f>
        <v>Alnasar Alnasar</v>
      </c>
      <c r="E159" s="76" t="s">
        <v>100</v>
      </c>
      <c r="F159" s="76" t="s">
        <v>716</v>
      </c>
      <c r="G159" s="76" t="s">
        <v>19</v>
      </c>
      <c r="H159" s="78" t="s">
        <v>11</v>
      </c>
      <c r="I159" s="78" t="s">
        <v>9</v>
      </c>
      <c r="J159" s="79" t="s">
        <v>10</v>
      </c>
      <c r="K159" s="76" t="s">
        <v>952</v>
      </c>
      <c r="L159" s="80">
        <v>20</v>
      </c>
      <c r="M159" s="81">
        <v>6</v>
      </c>
      <c r="N159" s="81">
        <v>2013</v>
      </c>
      <c r="O159" s="82">
        <f>DATE(Range!$N159,Range!$M159,Range!$L159)</f>
        <v>41445</v>
      </c>
      <c r="P159" s="82">
        <f t="shared" ca="1" si="2"/>
        <v>46071</v>
      </c>
      <c r="Q159" s="81">
        <f ca="1">DATEDIF(Range!$O159,Range!$P159,"Y")</f>
        <v>12</v>
      </c>
      <c r="R159" s="83">
        <v>742</v>
      </c>
      <c r="S159" s="84">
        <f>Range!$R159*0.1</f>
        <v>74.2</v>
      </c>
      <c r="T159" s="85">
        <f>Range!$R159*0.03</f>
        <v>22.259999999999998</v>
      </c>
      <c r="U159" s="86">
        <f>Range!$R159-Range!$S159+Range!$T159</f>
        <v>690.06</v>
      </c>
      <c r="V159" s="87" t="str">
        <f>IF(Range!$U159&gt;=6000,"Over","Normal")</f>
        <v>Normal</v>
      </c>
      <c r="W159" s="88">
        <f>VLOOKUP(Range!$U159,$Z$10:$AA$14,2)</f>
        <v>0.1</v>
      </c>
    </row>
    <row r="160" spans="1:23" ht="15.75" customHeight="1">
      <c r="A160" s="61">
        <v>1159</v>
      </c>
      <c r="B160" s="62" t="s">
        <v>151</v>
      </c>
      <c r="C160" s="62" t="s">
        <v>431</v>
      </c>
      <c r="D160" s="63" t="str">
        <f>PROPER(TRIM(Range!$C160&amp;" "&amp;Range!$C160))</f>
        <v>Dwalyby Dwalyby</v>
      </c>
      <c r="E160" s="62" t="s">
        <v>99</v>
      </c>
      <c r="F160" s="62" t="s">
        <v>717</v>
      </c>
      <c r="G160" s="62" t="s">
        <v>13</v>
      </c>
      <c r="H160" s="64" t="s">
        <v>8</v>
      </c>
      <c r="I160" s="64" t="s">
        <v>27</v>
      </c>
      <c r="J160" s="65" t="s">
        <v>10</v>
      </c>
      <c r="K160" s="62" t="s">
        <v>953</v>
      </c>
      <c r="L160" s="66">
        <v>13</v>
      </c>
      <c r="M160" s="67">
        <v>1</v>
      </c>
      <c r="N160" s="67">
        <v>2021</v>
      </c>
      <c r="O160" s="68">
        <f>DATE(Range!$N160,Range!$M160,Range!$L160)</f>
        <v>44209</v>
      </c>
      <c r="P160" s="68">
        <f t="shared" ca="1" si="2"/>
        <v>46071</v>
      </c>
      <c r="Q160" s="67">
        <f ca="1">DATEDIF(Range!$O160,Range!$P160,"Y")</f>
        <v>5</v>
      </c>
      <c r="R160" s="69">
        <v>5918</v>
      </c>
      <c r="S160" s="70">
        <f>Range!$R160*0.1</f>
        <v>591.80000000000007</v>
      </c>
      <c r="T160" s="71">
        <f>Range!$R160*0.03</f>
        <v>177.54</v>
      </c>
      <c r="U160" s="72">
        <f>Range!$R160-Range!$S160+Range!$T160</f>
        <v>5503.74</v>
      </c>
      <c r="V160" s="73" t="str">
        <f>IF(Range!$U160&gt;=6000,"Over","Normal")</f>
        <v>Normal</v>
      </c>
      <c r="W160" s="74">
        <f>VLOOKUP(Range!$U160,$Z$10:$AA$14,2)</f>
        <v>0.05</v>
      </c>
    </row>
    <row r="161" spans="1:23" ht="15.75" customHeight="1">
      <c r="A161" s="75">
        <v>1160</v>
      </c>
      <c r="B161" s="76" t="s">
        <v>432</v>
      </c>
      <c r="C161" s="76" t="s">
        <v>433</v>
      </c>
      <c r="D161" s="77" t="str">
        <f>PROPER(TRIM(Range!$C161&amp;" "&amp;Range!$C161))</f>
        <v>Iidris Iidris</v>
      </c>
      <c r="E161" s="76" t="s">
        <v>100</v>
      </c>
      <c r="F161" s="76" t="s">
        <v>718</v>
      </c>
      <c r="G161" s="76" t="s">
        <v>13</v>
      </c>
      <c r="H161" s="78" t="s">
        <v>22</v>
      </c>
      <c r="I161" s="78" t="s">
        <v>15</v>
      </c>
      <c r="J161" s="79" t="s">
        <v>23</v>
      </c>
      <c r="K161" s="76" t="s">
        <v>954</v>
      </c>
      <c r="L161" s="80">
        <v>25</v>
      </c>
      <c r="M161" s="81">
        <v>9</v>
      </c>
      <c r="N161" s="81">
        <v>2008</v>
      </c>
      <c r="O161" s="82">
        <f>DATE(Range!$N161,Range!$M161,Range!$L161)</f>
        <v>39716</v>
      </c>
      <c r="P161" s="82">
        <f t="shared" ca="1" si="2"/>
        <v>46071</v>
      </c>
      <c r="Q161" s="81">
        <f ca="1">DATEDIF(Range!$O161,Range!$P161,"Y")</f>
        <v>17</v>
      </c>
      <c r="R161" s="83">
        <v>3074</v>
      </c>
      <c r="S161" s="84">
        <f>Range!$R161*0.1</f>
        <v>307.40000000000003</v>
      </c>
      <c r="T161" s="85">
        <f>Range!$R161*0.03</f>
        <v>92.22</v>
      </c>
      <c r="U161" s="86">
        <f>Range!$R161-Range!$S161+Range!$T161</f>
        <v>2858.8199999999997</v>
      </c>
      <c r="V161" s="87" t="str">
        <f>IF(Range!$U161&gt;=6000,"Over","Normal")</f>
        <v>Normal</v>
      </c>
      <c r="W161" s="88">
        <f>VLOOKUP(Range!$U161,$Z$10:$AA$14,2)</f>
        <v>0.08</v>
      </c>
    </row>
    <row r="162" spans="1:23" ht="15.75" customHeight="1">
      <c r="A162" s="61">
        <v>1161</v>
      </c>
      <c r="B162" s="62" t="s">
        <v>434</v>
      </c>
      <c r="C162" s="62" t="s">
        <v>435</v>
      </c>
      <c r="D162" s="63" t="str">
        <f>PROPER(TRIM(Range!$C162&amp;" "&amp;Range!$C162))</f>
        <v>Alsyqly Alsyqly</v>
      </c>
      <c r="E162" s="62" t="s">
        <v>100</v>
      </c>
      <c r="F162" s="62" t="s">
        <v>719</v>
      </c>
      <c r="G162" s="62" t="s">
        <v>19</v>
      </c>
      <c r="H162" s="64" t="s">
        <v>8</v>
      </c>
      <c r="I162" s="64" t="s">
        <v>9</v>
      </c>
      <c r="J162" s="65" t="s">
        <v>23</v>
      </c>
      <c r="K162" s="62" t="s">
        <v>955</v>
      </c>
      <c r="L162" s="66">
        <v>11</v>
      </c>
      <c r="M162" s="67">
        <v>2</v>
      </c>
      <c r="N162" s="67">
        <v>1994</v>
      </c>
      <c r="O162" s="68">
        <f>DATE(Range!$N162,Range!$M162,Range!$L162)</f>
        <v>34376</v>
      </c>
      <c r="P162" s="68">
        <f t="shared" ca="1" si="2"/>
        <v>46071</v>
      </c>
      <c r="Q162" s="67">
        <f ca="1">DATEDIF(Range!$O162,Range!$P162,"Y")</f>
        <v>32</v>
      </c>
      <c r="R162" s="69">
        <v>5688</v>
      </c>
      <c r="S162" s="70">
        <f>Range!$R162*0.1</f>
        <v>568.80000000000007</v>
      </c>
      <c r="T162" s="71">
        <f>Range!$R162*0.03</f>
        <v>170.64</v>
      </c>
      <c r="U162" s="72">
        <f>Range!$R162-Range!$S162+Range!$T162</f>
        <v>5289.84</v>
      </c>
      <c r="V162" s="73" t="str">
        <f>IF(Range!$U162&gt;=6000,"Over","Normal")</f>
        <v>Normal</v>
      </c>
      <c r="W162" s="74">
        <f>VLOOKUP(Range!$U162,$Z$10:$AA$14,2)</f>
        <v>0.05</v>
      </c>
    </row>
    <row r="163" spans="1:23" ht="15.75" customHeight="1">
      <c r="A163" s="75">
        <v>1162</v>
      </c>
      <c r="B163" s="76" t="s">
        <v>97</v>
      </c>
      <c r="C163" s="76" t="s">
        <v>436</v>
      </c>
      <c r="D163" s="77" t="str">
        <f>PROPER(TRIM(Range!$C163&amp;" "&amp;Range!$C163))</f>
        <v>Alyasin Alyasin</v>
      </c>
      <c r="E163" s="76" t="s">
        <v>100</v>
      </c>
      <c r="F163" s="76" t="s">
        <v>720</v>
      </c>
      <c r="G163" s="76" t="s">
        <v>13</v>
      </c>
      <c r="H163" s="78" t="s">
        <v>11</v>
      </c>
      <c r="I163" s="78" t="s">
        <v>9</v>
      </c>
      <c r="J163" s="79" t="s">
        <v>20</v>
      </c>
      <c r="K163" s="76" t="s">
        <v>956</v>
      </c>
      <c r="L163" s="80">
        <v>22</v>
      </c>
      <c r="M163" s="81">
        <v>3</v>
      </c>
      <c r="N163" s="81">
        <v>2022</v>
      </c>
      <c r="O163" s="82">
        <f>DATE(Range!$N163,Range!$M163,Range!$L163)</f>
        <v>44642</v>
      </c>
      <c r="P163" s="82">
        <f t="shared" ca="1" si="2"/>
        <v>46071</v>
      </c>
      <c r="Q163" s="81">
        <f ca="1">DATEDIF(Range!$O163,Range!$P163,"Y")</f>
        <v>3</v>
      </c>
      <c r="R163" s="83">
        <v>3362</v>
      </c>
      <c r="S163" s="84">
        <f>Range!$R163*0.1</f>
        <v>336.20000000000005</v>
      </c>
      <c r="T163" s="85">
        <f>Range!$R163*0.03</f>
        <v>100.86</v>
      </c>
      <c r="U163" s="86">
        <f>Range!$R163-Range!$S163+Range!$T163</f>
        <v>3126.6600000000003</v>
      </c>
      <c r="V163" s="87" t="str">
        <f>IF(Range!$U163&gt;=6000,"Over","Normal")</f>
        <v>Normal</v>
      </c>
      <c r="W163" s="88">
        <f>VLOOKUP(Range!$U163,$Z$10:$AA$14,2)</f>
        <v>0.05</v>
      </c>
    </row>
    <row r="164" spans="1:23" ht="15.75" customHeight="1">
      <c r="A164" s="61">
        <v>1163</v>
      </c>
      <c r="B164" s="62" t="s">
        <v>105</v>
      </c>
      <c r="C164" s="62" t="s">
        <v>437</v>
      </c>
      <c r="D164" s="63" t="str">
        <f>PROPER(TRIM(Range!$C164&amp;" "&amp;Range!$C164))</f>
        <v>Mulaliyun Mulaliyun</v>
      </c>
      <c r="E164" s="62" t="s">
        <v>99</v>
      </c>
      <c r="F164" s="62" t="s">
        <v>721</v>
      </c>
      <c r="G164" s="62" t="s">
        <v>17</v>
      </c>
      <c r="H164" s="64" t="s">
        <v>14</v>
      </c>
      <c r="I164" s="64" t="s">
        <v>9</v>
      </c>
      <c r="J164" s="65" t="s">
        <v>10</v>
      </c>
      <c r="K164" s="62" t="s">
        <v>957</v>
      </c>
      <c r="L164" s="66">
        <v>4</v>
      </c>
      <c r="M164" s="67">
        <v>9</v>
      </c>
      <c r="N164" s="67">
        <v>2016</v>
      </c>
      <c r="O164" s="68">
        <f>DATE(Range!$N164,Range!$M164,Range!$L164)</f>
        <v>42617</v>
      </c>
      <c r="P164" s="68">
        <f t="shared" ca="1" si="2"/>
        <v>46071</v>
      </c>
      <c r="Q164" s="67">
        <f ca="1">DATEDIF(Range!$O164,Range!$P164,"Y")</f>
        <v>9</v>
      </c>
      <c r="R164" s="69">
        <v>6043</v>
      </c>
      <c r="S164" s="70">
        <f>Range!$R164*0.1</f>
        <v>604.30000000000007</v>
      </c>
      <c r="T164" s="71">
        <f>Range!$R164*0.03</f>
        <v>181.29</v>
      </c>
      <c r="U164" s="72">
        <f>Range!$R164-Range!$S164+Range!$T164</f>
        <v>5619.99</v>
      </c>
      <c r="V164" s="73" t="str">
        <f>IF(Range!$U164&gt;=6000,"Over","Normal")</f>
        <v>Normal</v>
      </c>
      <c r="W164" s="74">
        <f>VLOOKUP(Range!$U164,$Z$10:$AA$14,2)</f>
        <v>0.05</v>
      </c>
    </row>
    <row r="165" spans="1:23" ht="15.75" customHeight="1">
      <c r="A165" s="75">
        <v>1164</v>
      </c>
      <c r="B165" s="76" t="s">
        <v>438</v>
      </c>
      <c r="C165" s="76" t="s">
        <v>439</v>
      </c>
      <c r="D165" s="77" t="str">
        <f>PROPER(TRIM(Range!$C165&amp;" "&amp;Range!$C165))</f>
        <v>Abu Taqih Abu Taqih</v>
      </c>
      <c r="E165" s="76" t="s">
        <v>99</v>
      </c>
      <c r="F165" s="76" t="s">
        <v>722</v>
      </c>
      <c r="G165" s="76" t="s">
        <v>17</v>
      </c>
      <c r="H165" s="78" t="s">
        <v>11</v>
      </c>
      <c r="I165" s="78" t="s">
        <v>9</v>
      </c>
      <c r="J165" s="79" t="s">
        <v>12</v>
      </c>
      <c r="K165" s="76" t="s">
        <v>958</v>
      </c>
      <c r="L165" s="80">
        <v>28</v>
      </c>
      <c r="M165" s="81">
        <v>1</v>
      </c>
      <c r="N165" s="81">
        <v>1998</v>
      </c>
      <c r="O165" s="82">
        <f>DATE(Range!$N165,Range!$M165,Range!$L165)</f>
        <v>35823</v>
      </c>
      <c r="P165" s="82">
        <f t="shared" ca="1" si="2"/>
        <v>46071</v>
      </c>
      <c r="Q165" s="81">
        <f ca="1">DATEDIF(Range!$O165,Range!$P165,"Y")</f>
        <v>28</v>
      </c>
      <c r="R165" s="83">
        <v>6260</v>
      </c>
      <c r="S165" s="84">
        <f>Range!$R165*0.1</f>
        <v>626</v>
      </c>
      <c r="T165" s="85">
        <f>Range!$R165*0.03</f>
        <v>187.79999999999998</v>
      </c>
      <c r="U165" s="86">
        <f>Range!$R165-Range!$S165+Range!$T165</f>
        <v>5821.8</v>
      </c>
      <c r="V165" s="87" t="str">
        <f>IF(Range!$U165&gt;=6000,"Over","Normal")</f>
        <v>Normal</v>
      </c>
      <c r="W165" s="88">
        <f>VLOOKUP(Range!$U165,$Z$10:$AA$14,2)</f>
        <v>0.05</v>
      </c>
    </row>
    <row r="166" spans="1:23" ht="15.75" customHeight="1">
      <c r="A166" s="61">
        <v>1165</v>
      </c>
      <c r="B166" s="62" t="s">
        <v>440</v>
      </c>
      <c r="C166" s="62" t="s">
        <v>441</v>
      </c>
      <c r="D166" s="63" t="str">
        <f>PROPER(TRIM(Range!$C166&amp;" "&amp;Range!$C166))</f>
        <v>Antun Antun</v>
      </c>
      <c r="E166" s="62" t="s">
        <v>99</v>
      </c>
      <c r="F166" s="62" t="s">
        <v>723</v>
      </c>
      <c r="G166" s="62" t="s">
        <v>17</v>
      </c>
      <c r="H166" s="64" t="s">
        <v>22</v>
      </c>
      <c r="I166" s="64" t="s">
        <v>9</v>
      </c>
      <c r="J166" s="65" t="s">
        <v>23</v>
      </c>
      <c r="K166" s="62" t="s">
        <v>959</v>
      </c>
      <c r="L166" s="66">
        <v>15</v>
      </c>
      <c r="M166" s="67">
        <v>1</v>
      </c>
      <c r="N166" s="67">
        <v>2023</v>
      </c>
      <c r="O166" s="68">
        <f>DATE(Range!$N166,Range!$M166,Range!$L166)</f>
        <v>44941</v>
      </c>
      <c r="P166" s="68">
        <f t="shared" ca="1" si="2"/>
        <v>46071</v>
      </c>
      <c r="Q166" s="67">
        <f ca="1">DATEDIF(Range!$O166,Range!$P166,"Y")</f>
        <v>3</v>
      </c>
      <c r="R166" s="69">
        <v>3754</v>
      </c>
      <c r="S166" s="70">
        <f>Range!$R166*0.1</f>
        <v>375.40000000000003</v>
      </c>
      <c r="T166" s="71">
        <f>Range!$R166*0.03</f>
        <v>112.61999999999999</v>
      </c>
      <c r="U166" s="72">
        <f>Range!$R166-Range!$S166+Range!$T166</f>
        <v>3491.22</v>
      </c>
      <c r="V166" s="73" t="str">
        <f>IF(Range!$U166&gt;=6000,"Over","Normal")</f>
        <v>Normal</v>
      </c>
      <c r="W166" s="74">
        <f>VLOOKUP(Range!$U166,$Z$10:$AA$14,2)</f>
        <v>0.05</v>
      </c>
    </row>
    <row r="167" spans="1:23" ht="15.75" customHeight="1">
      <c r="A167" s="75">
        <v>1166</v>
      </c>
      <c r="B167" s="76" t="s">
        <v>410</v>
      </c>
      <c r="C167" s="76" t="s">
        <v>442</v>
      </c>
      <c r="D167" s="77" t="str">
        <f>PROPER(TRIM(Range!$C167&amp;" "&amp;Range!$C167))</f>
        <v>Alkinaya Alkinaya</v>
      </c>
      <c r="E167" s="76" t="s">
        <v>100</v>
      </c>
      <c r="F167" s="76" t="s">
        <v>724</v>
      </c>
      <c r="G167" s="76" t="s">
        <v>13</v>
      </c>
      <c r="H167" s="78" t="s">
        <v>14</v>
      </c>
      <c r="I167" s="78" t="s">
        <v>25</v>
      </c>
      <c r="J167" s="79" t="s">
        <v>20</v>
      </c>
      <c r="K167" s="76" t="s">
        <v>960</v>
      </c>
      <c r="L167" s="80">
        <v>1</v>
      </c>
      <c r="M167" s="81">
        <v>12</v>
      </c>
      <c r="N167" s="81">
        <v>2010</v>
      </c>
      <c r="O167" s="82">
        <f>DATE(Range!$N167,Range!$M167,Range!$L167)</f>
        <v>40513</v>
      </c>
      <c r="P167" s="82">
        <f t="shared" ca="1" si="2"/>
        <v>46071</v>
      </c>
      <c r="Q167" s="81">
        <f ca="1">DATEDIF(Range!$O167,Range!$P167,"Y")</f>
        <v>15</v>
      </c>
      <c r="R167" s="83">
        <v>6579</v>
      </c>
      <c r="S167" s="84">
        <f>Range!$R167*0.1</f>
        <v>657.90000000000009</v>
      </c>
      <c r="T167" s="85">
        <f>Range!$R167*0.03</f>
        <v>197.37</v>
      </c>
      <c r="U167" s="86">
        <f>Range!$R167-Range!$S167+Range!$T167</f>
        <v>6118.47</v>
      </c>
      <c r="V167" s="87" t="str">
        <f>IF(Range!$U167&gt;=6000,"Over","Normal")</f>
        <v>Over</v>
      </c>
      <c r="W167" s="88">
        <f>VLOOKUP(Range!$U167,$Z$10:$AA$14,2)</f>
        <v>0.02</v>
      </c>
    </row>
    <row r="168" spans="1:23" ht="15.75" customHeight="1">
      <c r="A168" s="61">
        <v>1167</v>
      </c>
      <c r="B168" s="62" t="s">
        <v>167</v>
      </c>
      <c r="C168" s="62" t="s">
        <v>443</v>
      </c>
      <c r="D168" s="63" t="str">
        <f>PROPER(TRIM(Range!$C168&amp;" "&amp;Range!$C168))</f>
        <v>Qareush Qareush</v>
      </c>
      <c r="E168" s="62" t="s">
        <v>100</v>
      </c>
      <c r="F168" s="62" t="s">
        <v>725</v>
      </c>
      <c r="G168" s="62" t="s">
        <v>17</v>
      </c>
      <c r="H168" s="64" t="s">
        <v>8</v>
      </c>
      <c r="I168" s="64" t="s">
        <v>18</v>
      </c>
      <c r="J168" s="65" t="s">
        <v>12</v>
      </c>
      <c r="K168" s="62" t="s">
        <v>961</v>
      </c>
      <c r="L168" s="66">
        <v>25</v>
      </c>
      <c r="M168" s="67">
        <v>2</v>
      </c>
      <c r="N168" s="67">
        <v>2004</v>
      </c>
      <c r="O168" s="68">
        <f>DATE(Range!$N168,Range!$M168,Range!$L168)</f>
        <v>38042</v>
      </c>
      <c r="P168" s="68">
        <f t="shared" ca="1" si="2"/>
        <v>46071</v>
      </c>
      <c r="Q168" s="67">
        <f ca="1">DATEDIF(Range!$O168,Range!$P168,"Y")</f>
        <v>21</v>
      </c>
      <c r="R168" s="69">
        <v>5373</v>
      </c>
      <c r="S168" s="70">
        <f>Range!$R168*0.1</f>
        <v>537.30000000000007</v>
      </c>
      <c r="T168" s="71">
        <f>Range!$R168*0.03</f>
        <v>161.19</v>
      </c>
      <c r="U168" s="72">
        <f>Range!$R168-Range!$S168+Range!$T168</f>
        <v>4996.8899999999994</v>
      </c>
      <c r="V168" s="73" t="str">
        <f>IF(Range!$U168&gt;=6000,"Over","Normal")</f>
        <v>Normal</v>
      </c>
      <c r="W168" s="74">
        <f>VLOOKUP(Range!$U168,$Z$10:$AA$14,2)</f>
        <v>0.05</v>
      </c>
    </row>
    <row r="169" spans="1:23" ht="15.75" customHeight="1">
      <c r="A169" s="75">
        <v>1168</v>
      </c>
      <c r="B169" s="76" t="s">
        <v>444</v>
      </c>
      <c r="C169" s="76" t="s">
        <v>445</v>
      </c>
      <c r="D169" s="77" t="str">
        <f>PROPER(TRIM(Range!$C169&amp;" "&amp;Range!$C169))</f>
        <v>Khayti Khayti</v>
      </c>
      <c r="E169" s="76" t="s">
        <v>99</v>
      </c>
      <c r="F169" s="76" t="s">
        <v>726</v>
      </c>
      <c r="G169" s="76" t="s">
        <v>13</v>
      </c>
      <c r="H169" s="78" t="s">
        <v>8</v>
      </c>
      <c r="I169" s="78" t="s">
        <v>15</v>
      </c>
      <c r="J169" s="79" t="s">
        <v>12</v>
      </c>
      <c r="K169" s="76" t="s">
        <v>962</v>
      </c>
      <c r="L169" s="80">
        <v>6</v>
      </c>
      <c r="M169" s="81">
        <v>10</v>
      </c>
      <c r="N169" s="81">
        <v>1990</v>
      </c>
      <c r="O169" s="82">
        <f>DATE(Range!$N169,Range!$M169,Range!$L169)</f>
        <v>33152</v>
      </c>
      <c r="P169" s="82">
        <f t="shared" ca="1" si="2"/>
        <v>46071</v>
      </c>
      <c r="Q169" s="81">
        <f ca="1">DATEDIF(Range!$O169,Range!$P169,"Y")</f>
        <v>35</v>
      </c>
      <c r="R169" s="83">
        <v>1391</v>
      </c>
      <c r="S169" s="84">
        <f>Range!$R169*0.1</f>
        <v>139.1</v>
      </c>
      <c r="T169" s="85">
        <f>Range!$R169*0.03</f>
        <v>41.73</v>
      </c>
      <c r="U169" s="86">
        <f>Range!$R169-Range!$S169+Range!$T169</f>
        <v>1293.6300000000001</v>
      </c>
      <c r="V169" s="87" t="str">
        <f>IF(Range!$U169&gt;=6000,"Over","Normal")</f>
        <v>Normal</v>
      </c>
      <c r="W169" s="88">
        <f>VLOOKUP(Range!$U169,$Z$10:$AA$14,2)</f>
        <v>0.08</v>
      </c>
    </row>
    <row r="170" spans="1:23" ht="15.75" customHeight="1">
      <c r="A170" s="61">
        <v>1169</v>
      </c>
      <c r="B170" s="62" t="s">
        <v>446</v>
      </c>
      <c r="C170" s="62" t="s">
        <v>447</v>
      </c>
      <c r="D170" s="63" t="str">
        <f>PROPER(TRIM(Range!$C170&amp;" "&amp;Range!$C170))</f>
        <v>Alaqre Alaqre</v>
      </c>
      <c r="E170" s="62" t="s">
        <v>99</v>
      </c>
      <c r="F170" s="62" t="s">
        <v>727</v>
      </c>
      <c r="G170" s="62" t="s">
        <v>17</v>
      </c>
      <c r="H170" s="64" t="s">
        <v>11</v>
      </c>
      <c r="I170" s="64" t="s">
        <v>264</v>
      </c>
      <c r="J170" s="65" t="s">
        <v>12</v>
      </c>
      <c r="K170" s="62" t="s">
        <v>963</v>
      </c>
      <c r="L170" s="66">
        <v>23</v>
      </c>
      <c r="M170" s="67">
        <v>10</v>
      </c>
      <c r="N170" s="67">
        <v>1992</v>
      </c>
      <c r="O170" s="68">
        <f>DATE(Range!$N170,Range!$M170,Range!$L170)</f>
        <v>33900</v>
      </c>
      <c r="P170" s="68">
        <f t="shared" ca="1" si="2"/>
        <v>46071</v>
      </c>
      <c r="Q170" s="67">
        <f ca="1">DATEDIF(Range!$O170,Range!$P170,"Y")</f>
        <v>33</v>
      </c>
      <c r="R170" s="69">
        <v>2528</v>
      </c>
      <c r="S170" s="70">
        <f>Range!$R170*0.1</f>
        <v>252.8</v>
      </c>
      <c r="T170" s="71">
        <f>Range!$R170*0.03</f>
        <v>75.84</v>
      </c>
      <c r="U170" s="72">
        <f>Range!$R170-Range!$S170+Range!$T170</f>
        <v>2351.04</v>
      </c>
      <c r="V170" s="73" t="str">
        <f>IF(Range!$U170&gt;=6000,"Over","Normal")</f>
        <v>Normal</v>
      </c>
      <c r="W170" s="74">
        <f>VLOOKUP(Range!$U170,$Z$10:$AA$14,2)</f>
        <v>0.08</v>
      </c>
    </row>
    <row r="171" spans="1:23" ht="15.75" customHeight="1">
      <c r="A171" s="75">
        <v>1170</v>
      </c>
      <c r="B171" s="76" t="s">
        <v>102</v>
      </c>
      <c r="C171" s="76" t="s">
        <v>448</v>
      </c>
      <c r="D171" s="77" t="str">
        <f>PROPER(TRIM(Range!$C171&amp;" "&amp;Range!$C171))</f>
        <v>Eurman Eurman</v>
      </c>
      <c r="E171" s="76" t="s">
        <v>100</v>
      </c>
      <c r="F171" s="76" t="s">
        <v>728</v>
      </c>
      <c r="G171" s="76" t="s">
        <v>17</v>
      </c>
      <c r="H171" s="78" t="s">
        <v>11</v>
      </c>
      <c r="I171" s="78" t="s">
        <v>29</v>
      </c>
      <c r="J171" s="79" t="s">
        <v>10</v>
      </c>
      <c r="K171" s="76" t="s">
        <v>964</v>
      </c>
      <c r="L171" s="80">
        <v>9</v>
      </c>
      <c r="M171" s="81">
        <v>11</v>
      </c>
      <c r="N171" s="81">
        <v>2020</v>
      </c>
      <c r="O171" s="82">
        <f>DATE(Range!$N171,Range!$M171,Range!$L171)</f>
        <v>44144</v>
      </c>
      <c r="P171" s="82">
        <f t="shared" ca="1" si="2"/>
        <v>46071</v>
      </c>
      <c r="Q171" s="81">
        <f ca="1">DATEDIF(Range!$O171,Range!$P171,"Y")</f>
        <v>5</v>
      </c>
      <c r="R171" s="83">
        <v>6040</v>
      </c>
      <c r="S171" s="84">
        <f>Range!$R171*0.1</f>
        <v>604</v>
      </c>
      <c r="T171" s="85">
        <f>Range!$R171*0.03</f>
        <v>181.2</v>
      </c>
      <c r="U171" s="86">
        <f>Range!$R171-Range!$S171+Range!$T171</f>
        <v>5617.2</v>
      </c>
      <c r="V171" s="87" t="str">
        <f>IF(Range!$U171&gt;=6000,"Over","Normal")</f>
        <v>Normal</v>
      </c>
      <c r="W171" s="88">
        <f>VLOOKUP(Range!$U171,$Z$10:$AA$14,2)</f>
        <v>0.05</v>
      </c>
    </row>
    <row r="172" spans="1:23" ht="15.75" customHeight="1">
      <c r="A172" s="61">
        <v>1171</v>
      </c>
      <c r="B172" s="62" t="s">
        <v>449</v>
      </c>
      <c r="C172" s="62" t="s">
        <v>123</v>
      </c>
      <c r="D172" s="63" t="str">
        <f>PROPER(TRIM(Range!$C172&amp;" "&amp;Range!$C172))</f>
        <v>Salim Salim</v>
      </c>
      <c r="E172" s="62" t="s">
        <v>100</v>
      </c>
      <c r="F172" s="62" t="s">
        <v>729</v>
      </c>
      <c r="G172" s="62" t="s">
        <v>1100</v>
      </c>
      <c r="H172" s="64" t="s">
        <v>22</v>
      </c>
      <c r="I172" s="64" t="s">
        <v>18</v>
      </c>
      <c r="J172" s="65" t="s">
        <v>23</v>
      </c>
      <c r="K172" s="62" t="s">
        <v>222</v>
      </c>
      <c r="L172" s="66">
        <v>15</v>
      </c>
      <c r="M172" s="67">
        <v>12</v>
      </c>
      <c r="N172" s="67">
        <v>2009</v>
      </c>
      <c r="O172" s="68">
        <f>DATE(Range!$N172,Range!$M172,Range!$L172)</f>
        <v>40162</v>
      </c>
      <c r="P172" s="68">
        <f t="shared" ca="1" si="2"/>
        <v>46071</v>
      </c>
      <c r="Q172" s="67">
        <f ca="1">DATEDIF(Range!$O172,Range!$P172,"Y")</f>
        <v>16</v>
      </c>
      <c r="R172" s="69">
        <v>3842</v>
      </c>
      <c r="S172" s="70">
        <f>Range!$R172*0.1</f>
        <v>384.20000000000005</v>
      </c>
      <c r="T172" s="71">
        <f>Range!$R172*0.03</f>
        <v>115.25999999999999</v>
      </c>
      <c r="U172" s="72">
        <f>Range!$R172-Range!$S172+Range!$T172</f>
        <v>3573.0600000000004</v>
      </c>
      <c r="V172" s="73" t="str">
        <f>IF(Range!$U172&gt;=6000,"Over","Normal")</f>
        <v>Normal</v>
      </c>
      <c r="W172" s="74">
        <f>VLOOKUP(Range!$U172,$Z$10:$AA$14,2)</f>
        <v>0.05</v>
      </c>
    </row>
    <row r="173" spans="1:23" ht="15.75" customHeight="1">
      <c r="A173" s="75">
        <v>1172</v>
      </c>
      <c r="B173" s="76" t="s">
        <v>118</v>
      </c>
      <c r="C173" s="76" t="s">
        <v>450</v>
      </c>
      <c r="D173" s="77" t="str">
        <f>PROPER(TRIM(Range!$C173&amp;" "&amp;Range!$C173))</f>
        <v>Altahhan Altahhan</v>
      </c>
      <c r="E173" s="76" t="s">
        <v>99</v>
      </c>
      <c r="F173" s="76" t="s">
        <v>730</v>
      </c>
      <c r="G173" s="76" t="s">
        <v>17</v>
      </c>
      <c r="H173" s="78" t="s">
        <v>8</v>
      </c>
      <c r="I173" s="78" t="s">
        <v>264</v>
      </c>
      <c r="J173" s="79" t="s">
        <v>12</v>
      </c>
      <c r="K173" s="76" t="s">
        <v>965</v>
      </c>
      <c r="L173" s="80">
        <v>6</v>
      </c>
      <c r="M173" s="81">
        <v>12</v>
      </c>
      <c r="N173" s="81">
        <v>1992</v>
      </c>
      <c r="O173" s="82">
        <f>DATE(Range!$N173,Range!$M173,Range!$L173)</f>
        <v>33944</v>
      </c>
      <c r="P173" s="82">
        <f t="shared" ca="1" si="2"/>
        <v>46071</v>
      </c>
      <c r="Q173" s="81">
        <f ca="1">DATEDIF(Range!$O173,Range!$P173,"Y")</f>
        <v>33</v>
      </c>
      <c r="R173" s="83">
        <v>1542</v>
      </c>
      <c r="S173" s="84">
        <f>Range!$R173*0.1</f>
        <v>154.20000000000002</v>
      </c>
      <c r="T173" s="85">
        <f>Range!$R173*0.03</f>
        <v>46.26</v>
      </c>
      <c r="U173" s="86">
        <f>Range!$R173-Range!$S173+Range!$T173</f>
        <v>1434.06</v>
      </c>
      <c r="V173" s="87" t="str">
        <f>IF(Range!$U173&gt;=6000,"Over","Normal")</f>
        <v>Normal</v>
      </c>
      <c r="W173" s="88">
        <f>VLOOKUP(Range!$U173,$Z$10:$AA$14,2)</f>
        <v>0.08</v>
      </c>
    </row>
    <row r="174" spans="1:23" ht="15.75" customHeight="1">
      <c r="A174" s="61">
        <v>1173</v>
      </c>
      <c r="B174" s="62" t="s">
        <v>451</v>
      </c>
      <c r="C174" s="62" t="s">
        <v>452</v>
      </c>
      <c r="D174" s="63" t="str">
        <f>PROPER(TRIM(Range!$C174&amp;" "&amp;Range!$C174))</f>
        <v>Shakur Shakur</v>
      </c>
      <c r="E174" s="62" t="s">
        <v>100</v>
      </c>
      <c r="F174" s="62" t="s">
        <v>731</v>
      </c>
      <c r="G174" s="62" t="s">
        <v>17</v>
      </c>
      <c r="H174" s="64" t="s">
        <v>14</v>
      </c>
      <c r="I174" s="64" t="s">
        <v>9</v>
      </c>
      <c r="J174" s="65" t="s">
        <v>10</v>
      </c>
      <c r="K174" s="62" t="s">
        <v>966</v>
      </c>
      <c r="L174" s="66">
        <v>8</v>
      </c>
      <c r="M174" s="67">
        <v>10</v>
      </c>
      <c r="N174" s="67">
        <v>2011</v>
      </c>
      <c r="O174" s="68">
        <f>DATE(Range!$N174,Range!$M174,Range!$L174)</f>
        <v>40824</v>
      </c>
      <c r="P174" s="68">
        <f t="shared" ca="1" si="2"/>
        <v>46071</v>
      </c>
      <c r="Q174" s="67">
        <f ca="1">DATEDIF(Range!$O174,Range!$P174,"Y")</f>
        <v>14</v>
      </c>
      <c r="R174" s="69">
        <v>3134</v>
      </c>
      <c r="S174" s="70">
        <f>Range!$R174*0.1</f>
        <v>313.40000000000003</v>
      </c>
      <c r="T174" s="71">
        <f>Range!$R174*0.03</f>
        <v>94.02</v>
      </c>
      <c r="U174" s="72">
        <f>Range!$R174-Range!$S174+Range!$T174</f>
        <v>2914.62</v>
      </c>
      <c r="V174" s="73" t="str">
        <f>IF(Range!$U174&gt;=6000,"Over","Normal")</f>
        <v>Normal</v>
      </c>
      <c r="W174" s="74">
        <f>VLOOKUP(Range!$U174,$Z$10:$AA$14,2)</f>
        <v>0.08</v>
      </c>
    </row>
    <row r="175" spans="1:23" ht="15.75" customHeight="1">
      <c r="A175" s="75">
        <v>1174</v>
      </c>
      <c r="B175" s="76" t="s">
        <v>453</v>
      </c>
      <c r="C175" s="76" t="s">
        <v>454</v>
      </c>
      <c r="D175" s="77" t="str">
        <f>PROPER(TRIM(Range!$C175&amp;" "&amp;Range!$C175))</f>
        <v>Eabidin Eabidin</v>
      </c>
      <c r="E175" s="76" t="s">
        <v>100</v>
      </c>
      <c r="F175" s="76" t="s">
        <v>732</v>
      </c>
      <c r="G175" s="76" t="s">
        <v>17</v>
      </c>
      <c r="H175" s="78" t="s">
        <v>11</v>
      </c>
      <c r="I175" s="78" t="s">
        <v>25</v>
      </c>
      <c r="J175" s="79" t="s">
        <v>12</v>
      </c>
      <c r="K175" s="76" t="s">
        <v>967</v>
      </c>
      <c r="L175" s="80">
        <v>24</v>
      </c>
      <c r="M175" s="81">
        <v>4</v>
      </c>
      <c r="N175" s="81">
        <v>1993</v>
      </c>
      <c r="O175" s="82">
        <f>DATE(Range!$N175,Range!$M175,Range!$L175)</f>
        <v>34083</v>
      </c>
      <c r="P175" s="82">
        <f t="shared" ca="1" si="2"/>
        <v>46071</v>
      </c>
      <c r="Q175" s="81">
        <f ca="1">DATEDIF(Range!$O175,Range!$P175,"Y")</f>
        <v>32</v>
      </c>
      <c r="R175" s="83">
        <v>4921</v>
      </c>
      <c r="S175" s="84">
        <f>Range!$R175*0.1</f>
        <v>492.1</v>
      </c>
      <c r="T175" s="85">
        <f>Range!$R175*0.03</f>
        <v>147.63</v>
      </c>
      <c r="U175" s="86">
        <f>Range!$R175-Range!$S175+Range!$T175</f>
        <v>4576.53</v>
      </c>
      <c r="V175" s="87" t="str">
        <f>IF(Range!$U175&gt;=6000,"Over","Normal")</f>
        <v>Normal</v>
      </c>
      <c r="W175" s="88">
        <f>VLOOKUP(Range!$U175,$Z$10:$AA$14,2)</f>
        <v>0.05</v>
      </c>
    </row>
    <row r="176" spans="1:23" ht="15.75" customHeight="1">
      <c r="A176" s="61">
        <v>1175</v>
      </c>
      <c r="B176" s="62" t="s">
        <v>455</v>
      </c>
      <c r="C176" s="62" t="s">
        <v>456</v>
      </c>
      <c r="D176" s="63" t="str">
        <f>PROPER(TRIM(Range!$C176&amp;" "&amp;Range!$C176))</f>
        <v>Sadqawi Sadqawi</v>
      </c>
      <c r="E176" s="62" t="s">
        <v>99</v>
      </c>
      <c r="F176" s="62" t="s">
        <v>733</v>
      </c>
      <c r="G176" s="62" t="s">
        <v>17</v>
      </c>
      <c r="H176" s="64" t="s">
        <v>11</v>
      </c>
      <c r="I176" s="64" t="s">
        <v>264</v>
      </c>
      <c r="J176" s="65" t="s">
        <v>10</v>
      </c>
      <c r="K176" s="62" t="s">
        <v>968</v>
      </c>
      <c r="L176" s="66">
        <v>21</v>
      </c>
      <c r="M176" s="67">
        <v>5</v>
      </c>
      <c r="N176" s="67">
        <v>2008</v>
      </c>
      <c r="O176" s="68">
        <f>DATE(Range!$N176,Range!$M176,Range!$L176)</f>
        <v>39589</v>
      </c>
      <c r="P176" s="68">
        <f t="shared" ca="1" si="2"/>
        <v>46071</v>
      </c>
      <c r="Q176" s="67">
        <f ca="1">DATEDIF(Range!$O176,Range!$P176,"Y")</f>
        <v>17</v>
      </c>
      <c r="R176" s="69">
        <v>1948</v>
      </c>
      <c r="S176" s="70">
        <f>Range!$R176*0.1</f>
        <v>194.8</v>
      </c>
      <c r="T176" s="71">
        <f>Range!$R176*0.03</f>
        <v>58.44</v>
      </c>
      <c r="U176" s="72">
        <f>Range!$R176-Range!$S176+Range!$T176</f>
        <v>1811.64</v>
      </c>
      <c r="V176" s="73" t="str">
        <f>IF(Range!$U176&gt;=6000,"Over","Normal")</f>
        <v>Normal</v>
      </c>
      <c r="W176" s="74">
        <f>VLOOKUP(Range!$U176,$Z$10:$AA$14,2)</f>
        <v>0.08</v>
      </c>
    </row>
    <row r="177" spans="1:23" ht="15.75" customHeight="1">
      <c r="A177" s="75">
        <v>1176</v>
      </c>
      <c r="B177" s="76" t="s">
        <v>126</v>
      </c>
      <c r="C177" s="76" t="s">
        <v>457</v>
      </c>
      <c r="D177" s="77" t="str">
        <f>PROPER(TRIM(Range!$C177&amp;" "&amp;Range!$C177))</f>
        <v>Altaynawi Altaynawi</v>
      </c>
      <c r="E177" s="76" t="s">
        <v>100</v>
      </c>
      <c r="F177" s="76" t="s">
        <v>734</v>
      </c>
      <c r="G177" s="76" t="s">
        <v>19</v>
      </c>
      <c r="H177" s="78" t="s">
        <v>11</v>
      </c>
      <c r="I177" s="78" t="s">
        <v>25</v>
      </c>
      <c r="J177" s="79" t="s">
        <v>20</v>
      </c>
      <c r="K177" s="76" t="s">
        <v>969</v>
      </c>
      <c r="L177" s="80">
        <v>23</v>
      </c>
      <c r="M177" s="81">
        <v>6</v>
      </c>
      <c r="N177" s="81">
        <v>2004</v>
      </c>
      <c r="O177" s="82">
        <f>DATE(Range!$N177,Range!$M177,Range!$L177)</f>
        <v>38161</v>
      </c>
      <c r="P177" s="82">
        <f t="shared" ca="1" si="2"/>
        <v>46071</v>
      </c>
      <c r="Q177" s="81">
        <f ca="1">DATEDIF(Range!$O177,Range!$P177,"Y")</f>
        <v>21</v>
      </c>
      <c r="R177" s="83">
        <v>3294</v>
      </c>
      <c r="S177" s="84">
        <f>Range!$R177*0.1</f>
        <v>329.40000000000003</v>
      </c>
      <c r="T177" s="85">
        <f>Range!$R177*0.03</f>
        <v>98.82</v>
      </c>
      <c r="U177" s="86">
        <f>Range!$R177-Range!$S177+Range!$T177</f>
        <v>3063.42</v>
      </c>
      <c r="V177" s="87" t="str">
        <f>IF(Range!$U177&gt;=6000,"Over","Normal")</f>
        <v>Normal</v>
      </c>
      <c r="W177" s="88">
        <f>VLOOKUP(Range!$U177,$Z$10:$AA$14,2)</f>
        <v>0.05</v>
      </c>
    </row>
    <row r="178" spans="1:23" ht="15.75" customHeight="1">
      <c r="A178" s="61">
        <v>1177</v>
      </c>
      <c r="B178" s="62" t="s">
        <v>458</v>
      </c>
      <c r="C178" s="62" t="s">
        <v>459</v>
      </c>
      <c r="D178" s="63" t="str">
        <f>PROPER(TRIM(Range!$C178&amp;" "&amp;Range!$C178))</f>
        <v>Fahd Fahd</v>
      </c>
      <c r="E178" s="62" t="s">
        <v>100</v>
      </c>
      <c r="F178" s="62" t="s">
        <v>735</v>
      </c>
      <c r="G178" s="62" t="s">
        <v>1100</v>
      </c>
      <c r="H178" s="64" t="s">
        <v>22</v>
      </c>
      <c r="I178" s="64" t="s">
        <v>264</v>
      </c>
      <c r="J178" s="65" t="s">
        <v>10</v>
      </c>
      <c r="K178" s="62" t="s">
        <v>970</v>
      </c>
      <c r="L178" s="66">
        <v>26</v>
      </c>
      <c r="M178" s="67">
        <v>7</v>
      </c>
      <c r="N178" s="67">
        <v>2010</v>
      </c>
      <c r="O178" s="68">
        <f>DATE(Range!$N178,Range!$M178,Range!$L178)</f>
        <v>40385</v>
      </c>
      <c r="P178" s="68">
        <f t="shared" ca="1" si="2"/>
        <v>46071</v>
      </c>
      <c r="Q178" s="67">
        <f ca="1">DATEDIF(Range!$O178,Range!$P178,"Y")</f>
        <v>15</v>
      </c>
      <c r="R178" s="69">
        <v>7123</v>
      </c>
      <c r="S178" s="70">
        <f>Range!$R178*0.1</f>
        <v>712.30000000000007</v>
      </c>
      <c r="T178" s="71">
        <f>Range!$R178*0.03</f>
        <v>213.69</v>
      </c>
      <c r="U178" s="72">
        <f>Range!$R178-Range!$S178+Range!$T178</f>
        <v>6624.3899999999994</v>
      </c>
      <c r="V178" s="73" t="str">
        <f>IF(Range!$U178&gt;=6000,"Over","Normal")</f>
        <v>Over</v>
      </c>
      <c r="W178" s="74">
        <f>VLOOKUP(Range!$U178,$Z$10:$AA$14,2)</f>
        <v>0.02</v>
      </c>
    </row>
    <row r="179" spans="1:23" ht="15.75" customHeight="1">
      <c r="A179" s="75">
        <v>1178</v>
      </c>
      <c r="B179" s="76" t="s">
        <v>123</v>
      </c>
      <c r="C179" s="76" t="s">
        <v>460</v>
      </c>
      <c r="D179" s="77" t="str">
        <f>PROPER(TRIM(Range!$C179&amp;" "&amp;Range!$C179))</f>
        <v>Aleabd Aleabd</v>
      </c>
      <c r="E179" s="76" t="s">
        <v>100</v>
      </c>
      <c r="F179" s="76" t="s">
        <v>736</v>
      </c>
      <c r="G179" s="76" t="s">
        <v>13</v>
      </c>
      <c r="H179" s="78" t="s">
        <v>14</v>
      </c>
      <c r="I179" s="78" t="s">
        <v>25</v>
      </c>
      <c r="J179" s="79" t="s">
        <v>23</v>
      </c>
      <c r="K179" s="76" t="s">
        <v>971</v>
      </c>
      <c r="L179" s="80">
        <v>24</v>
      </c>
      <c r="M179" s="81">
        <v>6</v>
      </c>
      <c r="N179" s="81">
        <v>2015</v>
      </c>
      <c r="O179" s="82">
        <f>DATE(Range!$N179,Range!$M179,Range!$L179)</f>
        <v>42179</v>
      </c>
      <c r="P179" s="82">
        <f t="shared" ca="1" si="2"/>
        <v>46071</v>
      </c>
      <c r="Q179" s="81">
        <f ca="1">DATEDIF(Range!$O179,Range!$P179,"Y")</f>
        <v>10</v>
      </c>
      <c r="R179" s="83">
        <v>7236</v>
      </c>
      <c r="S179" s="84">
        <f>Range!$R179*0.1</f>
        <v>723.6</v>
      </c>
      <c r="T179" s="85">
        <f>Range!$R179*0.03</f>
        <v>217.07999999999998</v>
      </c>
      <c r="U179" s="86">
        <f>Range!$R179-Range!$S179+Range!$T179</f>
        <v>6729.48</v>
      </c>
      <c r="V179" s="87" t="str">
        <f>IF(Range!$U179&gt;=6000,"Over","Normal")</f>
        <v>Over</v>
      </c>
      <c r="W179" s="88">
        <f>VLOOKUP(Range!$U179,$Z$10:$AA$14,2)</f>
        <v>0.02</v>
      </c>
    </row>
    <row r="180" spans="1:23" ht="15.75" customHeight="1">
      <c r="A180" s="61">
        <v>1179</v>
      </c>
      <c r="B180" s="62" t="s">
        <v>330</v>
      </c>
      <c r="C180" s="62" t="s">
        <v>461</v>
      </c>
      <c r="D180" s="63" t="str">
        <f>PROPER(TRIM(Range!$C180&amp;" "&amp;Range!$C180))</f>
        <v>Allaham Allaham</v>
      </c>
      <c r="E180" s="62" t="s">
        <v>100</v>
      </c>
      <c r="F180" s="62" t="s">
        <v>737</v>
      </c>
      <c r="G180" s="62" t="s">
        <v>1100</v>
      </c>
      <c r="H180" s="64" t="s">
        <v>11</v>
      </c>
      <c r="I180" s="64" t="s">
        <v>25</v>
      </c>
      <c r="J180" s="65" t="s">
        <v>12</v>
      </c>
      <c r="K180" s="62" t="s">
        <v>972</v>
      </c>
      <c r="L180" s="66">
        <v>4</v>
      </c>
      <c r="M180" s="67">
        <v>8</v>
      </c>
      <c r="N180" s="67">
        <v>2004</v>
      </c>
      <c r="O180" s="68">
        <f>DATE(Range!$N180,Range!$M180,Range!$L180)</f>
        <v>38203</v>
      </c>
      <c r="P180" s="68">
        <f t="shared" ca="1" si="2"/>
        <v>46071</v>
      </c>
      <c r="Q180" s="67">
        <f ca="1">DATEDIF(Range!$O180,Range!$P180,"Y")</f>
        <v>21</v>
      </c>
      <c r="R180" s="69">
        <v>6843</v>
      </c>
      <c r="S180" s="70">
        <f>Range!$R180*0.1</f>
        <v>684.30000000000007</v>
      </c>
      <c r="T180" s="71">
        <f>Range!$R180*0.03</f>
        <v>205.29</v>
      </c>
      <c r="U180" s="72">
        <f>Range!$R180-Range!$S180+Range!$T180</f>
        <v>6363.99</v>
      </c>
      <c r="V180" s="73" t="str">
        <f>IF(Range!$U180&gt;=6000,"Over","Normal")</f>
        <v>Over</v>
      </c>
      <c r="W180" s="74">
        <f>VLOOKUP(Range!$U180,$Z$10:$AA$14,2)</f>
        <v>0.02</v>
      </c>
    </row>
    <row r="181" spans="1:23" ht="15.75" customHeight="1">
      <c r="A181" s="75">
        <v>1180</v>
      </c>
      <c r="B181" s="76" t="s">
        <v>462</v>
      </c>
      <c r="C181" s="76" t="s">
        <v>463</v>
      </c>
      <c r="D181" s="77" t="str">
        <f>PROPER(TRIM(Range!$C181&amp;" "&amp;Range!$C181))</f>
        <v>Eisaf Eisaf</v>
      </c>
      <c r="E181" s="76" t="s">
        <v>99</v>
      </c>
      <c r="F181" s="76" t="s">
        <v>738</v>
      </c>
      <c r="G181" s="76" t="s">
        <v>1100</v>
      </c>
      <c r="H181" s="78" t="s">
        <v>11</v>
      </c>
      <c r="I181" s="78" t="s">
        <v>25</v>
      </c>
      <c r="J181" s="79" t="s">
        <v>10</v>
      </c>
      <c r="K181" s="76" t="s">
        <v>973</v>
      </c>
      <c r="L181" s="80">
        <v>26</v>
      </c>
      <c r="M181" s="81">
        <v>3</v>
      </c>
      <c r="N181" s="81">
        <v>2014</v>
      </c>
      <c r="O181" s="82">
        <f>DATE(Range!$N181,Range!$M181,Range!$L181)</f>
        <v>41724</v>
      </c>
      <c r="P181" s="82">
        <f t="shared" ca="1" si="2"/>
        <v>46071</v>
      </c>
      <c r="Q181" s="81">
        <f ca="1">DATEDIF(Range!$O181,Range!$P181,"Y")</f>
        <v>11</v>
      </c>
      <c r="R181" s="83">
        <v>1070</v>
      </c>
      <c r="S181" s="84">
        <f>Range!$R181*0.1</f>
        <v>107</v>
      </c>
      <c r="T181" s="85">
        <f>Range!$R181*0.03</f>
        <v>32.1</v>
      </c>
      <c r="U181" s="86">
        <f>Range!$R181-Range!$S181+Range!$T181</f>
        <v>995.1</v>
      </c>
      <c r="V181" s="87" t="str">
        <f>IF(Range!$U181&gt;=6000,"Over","Normal")</f>
        <v>Normal</v>
      </c>
      <c r="W181" s="88">
        <f>VLOOKUP(Range!$U181,$Z$10:$AA$14,2)</f>
        <v>0.1</v>
      </c>
    </row>
    <row r="182" spans="1:23" ht="15.75" customHeight="1">
      <c r="A182" s="61">
        <v>1181</v>
      </c>
      <c r="B182" s="62" t="s">
        <v>464</v>
      </c>
      <c r="C182" s="62" t="s">
        <v>465</v>
      </c>
      <c r="D182" s="63" t="str">
        <f>PROPER(TRIM(Range!$C182&amp;" "&amp;Range!$C182))</f>
        <v>Qadish Qadish</v>
      </c>
      <c r="E182" s="62" t="s">
        <v>99</v>
      </c>
      <c r="F182" s="62" t="s">
        <v>739</v>
      </c>
      <c r="G182" s="62" t="s">
        <v>13</v>
      </c>
      <c r="H182" s="64" t="s">
        <v>8</v>
      </c>
      <c r="I182" s="64" t="s">
        <v>25</v>
      </c>
      <c r="J182" s="65" t="s">
        <v>20</v>
      </c>
      <c r="K182" s="62" t="s">
        <v>974</v>
      </c>
      <c r="L182" s="66">
        <v>27</v>
      </c>
      <c r="M182" s="67">
        <v>5</v>
      </c>
      <c r="N182" s="67">
        <v>2013</v>
      </c>
      <c r="O182" s="68">
        <f>DATE(Range!$N182,Range!$M182,Range!$L182)</f>
        <v>41421</v>
      </c>
      <c r="P182" s="68">
        <f t="shared" ca="1" si="2"/>
        <v>46071</v>
      </c>
      <c r="Q182" s="67">
        <f ca="1">DATEDIF(Range!$O182,Range!$P182,"Y")</f>
        <v>12</v>
      </c>
      <c r="R182" s="69">
        <v>1493</v>
      </c>
      <c r="S182" s="70">
        <f>Range!$R182*0.1</f>
        <v>149.30000000000001</v>
      </c>
      <c r="T182" s="71">
        <f>Range!$R182*0.03</f>
        <v>44.79</v>
      </c>
      <c r="U182" s="72">
        <f>Range!$R182-Range!$S182+Range!$T182</f>
        <v>1388.49</v>
      </c>
      <c r="V182" s="73" t="str">
        <f>IF(Range!$U182&gt;=6000,"Over","Normal")</f>
        <v>Normal</v>
      </c>
      <c r="W182" s="74">
        <f>VLOOKUP(Range!$U182,$Z$10:$AA$14,2)</f>
        <v>0.08</v>
      </c>
    </row>
    <row r="183" spans="1:23" ht="15.75" customHeight="1">
      <c r="A183" s="75">
        <v>1182</v>
      </c>
      <c r="B183" s="76" t="s">
        <v>466</v>
      </c>
      <c r="C183" s="76" t="s">
        <v>192</v>
      </c>
      <c r="D183" s="77" t="str">
        <f>PROPER(TRIM(Range!$C183&amp;" "&amp;Range!$C183))</f>
        <v>Almisri Almisri</v>
      </c>
      <c r="E183" s="76" t="s">
        <v>99</v>
      </c>
      <c r="F183" s="76" t="s">
        <v>740</v>
      </c>
      <c r="G183" s="76" t="s">
        <v>19</v>
      </c>
      <c r="H183" s="78" t="s">
        <v>11</v>
      </c>
      <c r="I183" s="78" t="s">
        <v>25</v>
      </c>
      <c r="J183" s="79" t="s">
        <v>12</v>
      </c>
      <c r="K183" s="76" t="s">
        <v>975</v>
      </c>
      <c r="L183" s="80">
        <v>25</v>
      </c>
      <c r="M183" s="81">
        <v>3</v>
      </c>
      <c r="N183" s="81">
        <v>2012</v>
      </c>
      <c r="O183" s="82">
        <f>DATE(Range!$N183,Range!$M183,Range!$L183)</f>
        <v>40993</v>
      </c>
      <c r="P183" s="82">
        <f t="shared" ca="1" si="2"/>
        <v>46071</v>
      </c>
      <c r="Q183" s="81">
        <f ca="1">DATEDIF(Range!$O183,Range!$P183,"Y")</f>
        <v>13</v>
      </c>
      <c r="R183" s="83">
        <v>5857</v>
      </c>
      <c r="S183" s="84">
        <f>Range!$R183*0.1</f>
        <v>585.70000000000005</v>
      </c>
      <c r="T183" s="85">
        <f>Range!$R183*0.03</f>
        <v>175.70999999999998</v>
      </c>
      <c r="U183" s="86">
        <f>Range!$R183-Range!$S183+Range!$T183</f>
        <v>5447.01</v>
      </c>
      <c r="V183" s="87" t="str">
        <f>IF(Range!$U183&gt;=6000,"Over","Normal")</f>
        <v>Normal</v>
      </c>
      <c r="W183" s="88">
        <f>VLOOKUP(Range!$U183,$Z$10:$AA$14,2)</f>
        <v>0.05</v>
      </c>
    </row>
    <row r="184" spans="1:23" ht="15.75" customHeight="1">
      <c r="A184" s="61">
        <v>1183</v>
      </c>
      <c r="B184" s="62" t="s">
        <v>446</v>
      </c>
      <c r="C184" s="62" t="s">
        <v>467</v>
      </c>
      <c r="D184" s="63" t="str">
        <f>PROPER(TRIM(Range!$C184&amp;" "&amp;Range!$C184))</f>
        <v>Zaki Zaki</v>
      </c>
      <c r="E184" s="62" t="s">
        <v>99</v>
      </c>
      <c r="F184" s="62" t="s">
        <v>741</v>
      </c>
      <c r="G184" s="62" t="s">
        <v>19</v>
      </c>
      <c r="H184" s="64" t="s">
        <v>8</v>
      </c>
      <c r="I184" s="64" t="s">
        <v>264</v>
      </c>
      <c r="J184" s="65" t="s">
        <v>10</v>
      </c>
      <c r="K184" s="62" t="s">
        <v>976</v>
      </c>
      <c r="L184" s="66">
        <v>22</v>
      </c>
      <c r="M184" s="67">
        <v>9</v>
      </c>
      <c r="N184" s="67">
        <v>2004</v>
      </c>
      <c r="O184" s="68">
        <f>DATE(Range!$N184,Range!$M184,Range!$L184)</f>
        <v>38252</v>
      </c>
      <c r="P184" s="68">
        <f t="shared" ca="1" si="2"/>
        <v>46071</v>
      </c>
      <c r="Q184" s="67">
        <f ca="1">DATEDIF(Range!$O184,Range!$P184,"Y")</f>
        <v>21</v>
      </c>
      <c r="R184" s="69">
        <v>5278</v>
      </c>
      <c r="S184" s="70">
        <f>Range!$R184*0.1</f>
        <v>527.80000000000007</v>
      </c>
      <c r="T184" s="71">
        <f>Range!$R184*0.03</f>
        <v>158.34</v>
      </c>
      <c r="U184" s="72">
        <f>Range!$R184-Range!$S184+Range!$T184</f>
        <v>4908.54</v>
      </c>
      <c r="V184" s="73" t="str">
        <f>IF(Range!$U184&gt;=6000,"Over","Normal")</f>
        <v>Normal</v>
      </c>
      <c r="W184" s="74">
        <f>VLOOKUP(Range!$U184,$Z$10:$AA$14,2)</f>
        <v>0.05</v>
      </c>
    </row>
    <row r="185" spans="1:23" ht="15.75" customHeight="1">
      <c r="A185" s="75">
        <v>1184</v>
      </c>
      <c r="B185" s="76" t="s">
        <v>388</v>
      </c>
      <c r="C185" s="76" t="s">
        <v>468</v>
      </c>
      <c r="D185" s="77" t="str">
        <f>PROPER(TRIM(Range!$C185&amp;" "&amp;Range!$C185))</f>
        <v>Zarie Zarie</v>
      </c>
      <c r="E185" s="76" t="s">
        <v>100</v>
      </c>
      <c r="F185" s="76" t="s">
        <v>742</v>
      </c>
      <c r="G185" s="76" t="s">
        <v>1100</v>
      </c>
      <c r="H185" s="78" t="s">
        <v>11</v>
      </c>
      <c r="I185" s="78" t="s">
        <v>26</v>
      </c>
      <c r="J185" s="79" t="s">
        <v>12</v>
      </c>
      <c r="K185" s="76" t="s">
        <v>977</v>
      </c>
      <c r="L185" s="80">
        <v>21</v>
      </c>
      <c r="M185" s="81">
        <v>11</v>
      </c>
      <c r="N185" s="81">
        <v>2018</v>
      </c>
      <c r="O185" s="82">
        <f>DATE(Range!$N185,Range!$M185,Range!$L185)</f>
        <v>43425</v>
      </c>
      <c r="P185" s="82">
        <f t="shared" ca="1" si="2"/>
        <v>46071</v>
      </c>
      <c r="Q185" s="81">
        <f ca="1">DATEDIF(Range!$O185,Range!$P185,"Y")</f>
        <v>7</v>
      </c>
      <c r="R185" s="83">
        <v>5710</v>
      </c>
      <c r="S185" s="84">
        <f>Range!$R185*0.1</f>
        <v>571</v>
      </c>
      <c r="T185" s="85">
        <f>Range!$R185*0.03</f>
        <v>171.29999999999998</v>
      </c>
      <c r="U185" s="86">
        <f>Range!$R185-Range!$S185+Range!$T185</f>
        <v>5310.3</v>
      </c>
      <c r="V185" s="87" t="str">
        <f>IF(Range!$U185&gt;=6000,"Over","Normal")</f>
        <v>Normal</v>
      </c>
      <c r="W185" s="88">
        <f>VLOOKUP(Range!$U185,$Z$10:$AA$14,2)</f>
        <v>0.05</v>
      </c>
    </row>
    <row r="186" spans="1:23" ht="15.75" customHeight="1">
      <c r="A186" s="61">
        <v>1185</v>
      </c>
      <c r="B186" s="62" t="s">
        <v>128</v>
      </c>
      <c r="C186" s="62" t="s">
        <v>469</v>
      </c>
      <c r="D186" s="63" t="str">
        <f>PROPER(TRIM(Range!$C186&amp;" "&amp;Range!$C186))</f>
        <v>Einziin Einziin</v>
      </c>
      <c r="E186" s="62" t="s">
        <v>100</v>
      </c>
      <c r="F186" s="62" t="s">
        <v>743</v>
      </c>
      <c r="G186" s="62" t="s">
        <v>13</v>
      </c>
      <c r="H186" s="64" t="s">
        <v>11</v>
      </c>
      <c r="I186" s="64" t="s">
        <v>15</v>
      </c>
      <c r="J186" s="65" t="s">
        <v>12</v>
      </c>
      <c r="K186" s="62" t="s">
        <v>978</v>
      </c>
      <c r="L186" s="66">
        <v>12</v>
      </c>
      <c r="M186" s="67">
        <v>2</v>
      </c>
      <c r="N186" s="67">
        <v>2018</v>
      </c>
      <c r="O186" s="68">
        <f>DATE(Range!$N186,Range!$M186,Range!$L186)</f>
        <v>43143</v>
      </c>
      <c r="P186" s="68">
        <f t="shared" ca="1" si="2"/>
        <v>46071</v>
      </c>
      <c r="Q186" s="67">
        <f ca="1">DATEDIF(Range!$O186,Range!$P186,"Y")</f>
        <v>8</v>
      </c>
      <c r="R186" s="69">
        <v>6145</v>
      </c>
      <c r="S186" s="70">
        <f>Range!$R186*0.1</f>
        <v>614.5</v>
      </c>
      <c r="T186" s="71">
        <f>Range!$R186*0.03</f>
        <v>184.35</v>
      </c>
      <c r="U186" s="72">
        <f>Range!$R186-Range!$S186+Range!$T186</f>
        <v>5714.85</v>
      </c>
      <c r="V186" s="73" t="str">
        <f>IF(Range!$U186&gt;=6000,"Over","Normal")</f>
        <v>Normal</v>
      </c>
      <c r="W186" s="74">
        <f>VLOOKUP(Range!$U186,$Z$10:$AA$14,2)</f>
        <v>0.05</v>
      </c>
    </row>
    <row r="187" spans="1:23" ht="15.75" customHeight="1">
      <c r="A187" s="75">
        <v>1186</v>
      </c>
      <c r="B187" s="76" t="s">
        <v>470</v>
      </c>
      <c r="C187" s="76" t="s">
        <v>471</v>
      </c>
      <c r="D187" s="77" t="str">
        <f>PROPER(TRIM(Range!$C187&amp;" "&amp;Range!$C187))</f>
        <v>Eiwad Eiwad</v>
      </c>
      <c r="E187" s="76" t="s">
        <v>100</v>
      </c>
      <c r="F187" s="76" t="s">
        <v>744</v>
      </c>
      <c r="G187" s="76" t="s">
        <v>17</v>
      </c>
      <c r="H187" s="78" t="s">
        <v>14</v>
      </c>
      <c r="I187" s="78" t="s">
        <v>26</v>
      </c>
      <c r="J187" s="79" t="s">
        <v>10</v>
      </c>
      <c r="K187" s="76" t="s">
        <v>979</v>
      </c>
      <c r="L187" s="80">
        <v>16</v>
      </c>
      <c r="M187" s="81">
        <v>8</v>
      </c>
      <c r="N187" s="81">
        <v>1991</v>
      </c>
      <c r="O187" s="82">
        <f>DATE(Range!$N187,Range!$M187,Range!$L187)</f>
        <v>33466</v>
      </c>
      <c r="P187" s="82">
        <f t="shared" ca="1" si="2"/>
        <v>46071</v>
      </c>
      <c r="Q187" s="81">
        <f ca="1">DATEDIF(Range!$O187,Range!$P187,"Y")</f>
        <v>34</v>
      </c>
      <c r="R187" s="83">
        <v>5278</v>
      </c>
      <c r="S187" s="84">
        <f>Range!$R187*0.1</f>
        <v>527.80000000000007</v>
      </c>
      <c r="T187" s="85">
        <f>Range!$R187*0.03</f>
        <v>158.34</v>
      </c>
      <c r="U187" s="86">
        <f>Range!$R187-Range!$S187+Range!$T187</f>
        <v>4908.54</v>
      </c>
      <c r="V187" s="87" t="str">
        <f>IF(Range!$U187&gt;=6000,"Over","Normal")</f>
        <v>Normal</v>
      </c>
      <c r="W187" s="88">
        <f>VLOOKUP(Range!$U187,$Z$10:$AA$14,2)</f>
        <v>0.05</v>
      </c>
    </row>
    <row r="188" spans="1:23" ht="15.75" customHeight="1">
      <c r="A188" s="61">
        <v>1187</v>
      </c>
      <c r="B188" s="62" t="s">
        <v>472</v>
      </c>
      <c r="C188" s="62" t="s">
        <v>473</v>
      </c>
      <c r="D188" s="63" t="str">
        <f>PROPER(TRIM(Range!$C188&amp;" "&amp;Range!$C188))</f>
        <v>Maseud Maseud</v>
      </c>
      <c r="E188" s="62" t="s">
        <v>100</v>
      </c>
      <c r="F188" s="62" t="s">
        <v>745</v>
      </c>
      <c r="G188" s="62" t="s">
        <v>1100</v>
      </c>
      <c r="H188" s="64" t="s">
        <v>8</v>
      </c>
      <c r="I188" s="64" t="s">
        <v>9</v>
      </c>
      <c r="J188" s="65" t="s">
        <v>10</v>
      </c>
      <c r="K188" s="62" t="s">
        <v>980</v>
      </c>
      <c r="L188" s="66">
        <v>17</v>
      </c>
      <c r="M188" s="67">
        <v>1</v>
      </c>
      <c r="N188" s="67">
        <v>1992</v>
      </c>
      <c r="O188" s="68">
        <f>DATE(Range!$N188,Range!$M188,Range!$L188)</f>
        <v>33620</v>
      </c>
      <c r="P188" s="68">
        <f t="shared" ca="1" si="2"/>
        <v>46071</v>
      </c>
      <c r="Q188" s="67">
        <f ca="1">DATEDIF(Range!$O188,Range!$P188,"Y")</f>
        <v>34</v>
      </c>
      <c r="R188" s="69">
        <v>6548</v>
      </c>
      <c r="S188" s="70">
        <f>Range!$R188*0.1</f>
        <v>654.80000000000007</v>
      </c>
      <c r="T188" s="71">
        <f>Range!$R188*0.03</f>
        <v>196.44</v>
      </c>
      <c r="U188" s="72">
        <f>Range!$R188-Range!$S188+Range!$T188</f>
        <v>6089.6399999999994</v>
      </c>
      <c r="V188" s="73" t="str">
        <f>IF(Range!$U188&gt;=6000,"Over","Normal")</f>
        <v>Over</v>
      </c>
      <c r="W188" s="74">
        <f>VLOOKUP(Range!$U188,$Z$10:$AA$14,2)</f>
        <v>0.02</v>
      </c>
    </row>
    <row r="189" spans="1:23" ht="15.75" customHeight="1">
      <c r="A189" s="75">
        <v>1188</v>
      </c>
      <c r="B189" s="76" t="s">
        <v>102</v>
      </c>
      <c r="C189" s="76" t="s">
        <v>433</v>
      </c>
      <c r="D189" s="77" t="str">
        <f>PROPER(TRIM(Range!$C189&amp;" "&amp;Range!$C189))</f>
        <v>Iidris Iidris</v>
      </c>
      <c r="E189" s="76" t="s">
        <v>100</v>
      </c>
      <c r="F189" s="76" t="s">
        <v>746</v>
      </c>
      <c r="G189" s="76" t="s">
        <v>7</v>
      </c>
      <c r="H189" s="78" t="s">
        <v>11</v>
      </c>
      <c r="I189" s="78" t="s">
        <v>25</v>
      </c>
      <c r="J189" s="79" t="s">
        <v>10</v>
      </c>
      <c r="K189" s="76" t="s">
        <v>981</v>
      </c>
      <c r="L189" s="80">
        <v>3</v>
      </c>
      <c r="M189" s="81">
        <v>10</v>
      </c>
      <c r="N189" s="81">
        <v>1998</v>
      </c>
      <c r="O189" s="82">
        <f>DATE(Range!$N189,Range!$M189,Range!$L189)</f>
        <v>36071</v>
      </c>
      <c r="P189" s="82">
        <f t="shared" ca="1" si="2"/>
        <v>46071</v>
      </c>
      <c r="Q189" s="81">
        <f ca="1">DATEDIF(Range!$O189,Range!$P189,"Y")</f>
        <v>27</v>
      </c>
      <c r="R189" s="83">
        <v>7175</v>
      </c>
      <c r="S189" s="84">
        <f>Range!$R189*0.1</f>
        <v>717.5</v>
      </c>
      <c r="T189" s="85">
        <f>Range!$R189*0.03</f>
        <v>215.25</v>
      </c>
      <c r="U189" s="86">
        <f>Range!$R189-Range!$S189+Range!$T189</f>
        <v>6672.75</v>
      </c>
      <c r="V189" s="87" t="str">
        <f>IF(Range!$U189&gt;=6000,"Over","Normal")</f>
        <v>Over</v>
      </c>
      <c r="W189" s="88">
        <f>VLOOKUP(Range!$U189,$Z$10:$AA$14,2)</f>
        <v>0.02</v>
      </c>
    </row>
    <row r="190" spans="1:23" ht="15.75" customHeight="1">
      <c r="A190" s="61">
        <v>1189</v>
      </c>
      <c r="B190" s="62" t="s">
        <v>474</v>
      </c>
      <c r="C190" s="62" t="s">
        <v>475</v>
      </c>
      <c r="D190" s="63" t="str">
        <f>PROPER(TRIM(Range!$C190&amp;" "&amp;Range!$C190))</f>
        <v>Taysir Taysir</v>
      </c>
      <c r="E190" s="62" t="s">
        <v>100</v>
      </c>
      <c r="F190" s="62" t="s">
        <v>747</v>
      </c>
      <c r="G190" s="62" t="s">
        <v>13</v>
      </c>
      <c r="H190" s="64" t="s">
        <v>8</v>
      </c>
      <c r="I190" s="64" t="s">
        <v>9</v>
      </c>
      <c r="J190" s="65" t="s">
        <v>20</v>
      </c>
      <c r="K190" s="62" t="s">
        <v>982</v>
      </c>
      <c r="L190" s="66">
        <v>26</v>
      </c>
      <c r="M190" s="67">
        <v>9</v>
      </c>
      <c r="N190" s="67">
        <v>2017</v>
      </c>
      <c r="O190" s="68">
        <f>DATE(Range!$N190,Range!$M190,Range!$L190)</f>
        <v>43004</v>
      </c>
      <c r="P190" s="68">
        <f t="shared" ca="1" si="2"/>
        <v>46071</v>
      </c>
      <c r="Q190" s="67">
        <f ca="1">DATEDIF(Range!$O190,Range!$P190,"Y")</f>
        <v>8</v>
      </c>
      <c r="R190" s="69">
        <v>4070</v>
      </c>
      <c r="S190" s="70">
        <f>Range!$R190*0.1</f>
        <v>407</v>
      </c>
      <c r="T190" s="71">
        <f>Range!$R190*0.03</f>
        <v>122.1</v>
      </c>
      <c r="U190" s="72">
        <f>Range!$R190-Range!$S190+Range!$T190</f>
        <v>3785.1</v>
      </c>
      <c r="V190" s="73" t="str">
        <f>IF(Range!$U190&gt;=6000,"Over","Normal")</f>
        <v>Normal</v>
      </c>
      <c r="W190" s="74">
        <f>VLOOKUP(Range!$U190,$Z$10:$AA$14,2)</f>
        <v>0.05</v>
      </c>
    </row>
    <row r="191" spans="1:23" ht="15.75" customHeight="1">
      <c r="A191" s="75">
        <v>1190</v>
      </c>
      <c r="B191" s="76" t="s">
        <v>124</v>
      </c>
      <c r="C191" s="76" t="s">
        <v>476</v>
      </c>
      <c r="D191" s="77" t="str">
        <f>PROPER(TRIM(Range!$C191&amp;" "&amp;Range!$C191))</f>
        <v>Sharfah Sharfah</v>
      </c>
      <c r="E191" s="76" t="s">
        <v>100</v>
      </c>
      <c r="F191" s="76" t="s">
        <v>748</v>
      </c>
      <c r="G191" s="76" t="s">
        <v>1100</v>
      </c>
      <c r="H191" s="78" t="s">
        <v>8</v>
      </c>
      <c r="I191" s="78" t="s">
        <v>15</v>
      </c>
      <c r="J191" s="79" t="s">
        <v>20</v>
      </c>
      <c r="K191" s="76" t="s">
        <v>983</v>
      </c>
      <c r="L191" s="80">
        <v>22</v>
      </c>
      <c r="M191" s="81">
        <v>10</v>
      </c>
      <c r="N191" s="81">
        <v>1997</v>
      </c>
      <c r="O191" s="82">
        <f>DATE(Range!$N191,Range!$M191,Range!$L191)</f>
        <v>35725</v>
      </c>
      <c r="P191" s="82">
        <f t="shared" ca="1" si="2"/>
        <v>46071</v>
      </c>
      <c r="Q191" s="81">
        <f ca="1">DATEDIF(Range!$O191,Range!$P191,"Y")</f>
        <v>28</v>
      </c>
      <c r="R191" s="83">
        <v>1906</v>
      </c>
      <c r="S191" s="84">
        <f>Range!$R191*0.1</f>
        <v>190.60000000000002</v>
      </c>
      <c r="T191" s="85">
        <f>Range!$R191*0.03</f>
        <v>57.18</v>
      </c>
      <c r="U191" s="86">
        <f>Range!$R191-Range!$S191+Range!$T191</f>
        <v>1772.5800000000002</v>
      </c>
      <c r="V191" s="87" t="str">
        <f>IF(Range!$U191&gt;=6000,"Over","Normal")</f>
        <v>Normal</v>
      </c>
      <c r="W191" s="88">
        <f>VLOOKUP(Range!$U191,$Z$10:$AA$14,2)</f>
        <v>0.08</v>
      </c>
    </row>
    <row r="192" spans="1:23" ht="15.75" customHeight="1">
      <c r="A192" s="61">
        <v>1191</v>
      </c>
      <c r="B192" s="62" t="s">
        <v>313</v>
      </c>
      <c r="C192" s="62" t="s">
        <v>192</v>
      </c>
      <c r="D192" s="63" t="str">
        <f>PROPER(TRIM(Range!$C192&amp;" "&amp;Range!$C192))</f>
        <v>Almisri Almisri</v>
      </c>
      <c r="E192" s="62" t="s">
        <v>99</v>
      </c>
      <c r="F192" s="62" t="s">
        <v>749</v>
      </c>
      <c r="G192" s="62" t="s">
        <v>17</v>
      </c>
      <c r="H192" s="64" t="s">
        <v>8</v>
      </c>
      <c r="I192" s="64" t="s">
        <v>15</v>
      </c>
      <c r="J192" s="65" t="s">
        <v>12</v>
      </c>
      <c r="K192" s="62" t="s">
        <v>984</v>
      </c>
      <c r="L192" s="66">
        <v>2</v>
      </c>
      <c r="M192" s="67">
        <v>4</v>
      </c>
      <c r="N192" s="67">
        <v>2000</v>
      </c>
      <c r="O192" s="68">
        <f>DATE(Range!$N192,Range!$M192,Range!$L192)</f>
        <v>36618</v>
      </c>
      <c r="P192" s="68">
        <f t="shared" ca="1" si="2"/>
        <v>46071</v>
      </c>
      <c r="Q192" s="67">
        <f ca="1">DATEDIF(Range!$O192,Range!$P192,"Y")</f>
        <v>25</v>
      </c>
      <c r="R192" s="69">
        <v>2600</v>
      </c>
      <c r="S192" s="70">
        <f>Range!$R192*0.1</f>
        <v>260</v>
      </c>
      <c r="T192" s="71">
        <f>Range!$R192*0.03</f>
        <v>78</v>
      </c>
      <c r="U192" s="72">
        <f>Range!$R192-Range!$S192+Range!$T192</f>
        <v>2418</v>
      </c>
      <c r="V192" s="73" t="str">
        <f>IF(Range!$U192&gt;=6000,"Over","Normal")</f>
        <v>Normal</v>
      </c>
      <c r="W192" s="74">
        <f>VLOOKUP(Range!$U192,$Z$10:$AA$14,2)</f>
        <v>0.08</v>
      </c>
    </row>
    <row r="193" spans="1:23" ht="15.75" customHeight="1">
      <c r="A193" s="75">
        <v>1192</v>
      </c>
      <c r="B193" s="76" t="s">
        <v>477</v>
      </c>
      <c r="C193" s="76" t="s">
        <v>478</v>
      </c>
      <c r="D193" s="77" t="str">
        <f>PROPER(TRIM(Range!$C193&amp;" "&amp;Range!$C193))</f>
        <v>Hamuwda Hamuwda</v>
      </c>
      <c r="E193" s="76" t="s">
        <v>100</v>
      </c>
      <c r="F193" s="76" t="s">
        <v>750</v>
      </c>
      <c r="G193" s="76" t="s">
        <v>13</v>
      </c>
      <c r="H193" s="78" t="s">
        <v>22</v>
      </c>
      <c r="I193" s="78" t="s">
        <v>18</v>
      </c>
      <c r="J193" s="79" t="s">
        <v>23</v>
      </c>
      <c r="K193" s="76" t="s">
        <v>985</v>
      </c>
      <c r="L193" s="80">
        <v>25</v>
      </c>
      <c r="M193" s="81">
        <v>10</v>
      </c>
      <c r="N193" s="81">
        <v>1997</v>
      </c>
      <c r="O193" s="82">
        <f>DATE(Range!$N193,Range!$M193,Range!$L193)</f>
        <v>35728</v>
      </c>
      <c r="P193" s="82">
        <f t="shared" ca="1" si="2"/>
        <v>46071</v>
      </c>
      <c r="Q193" s="81">
        <f ca="1">DATEDIF(Range!$O193,Range!$P193,"Y")</f>
        <v>28</v>
      </c>
      <c r="R193" s="83">
        <v>3753</v>
      </c>
      <c r="S193" s="84">
        <f>Range!$R193*0.1</f>
        <v>375.3</v>
      </c>
      <c r="T193" s="85">
        <f>Range!$R193*0.03</f>
        <v>112.58999999999999</v>
      </c>
      <c r="U193" s="86">
        <f>Range!$R193-Range!$S193+Range!$T193</f>
        <v>3490.29</v>
      </c>
      <c r="V193" s="87" t="str">
        <f>IF(Range!$U193&gt;=6000,"Over","Normal")</f>
        <v>Normal</v>
      </c>
      <c r="W193" s="88">
        <f>VLOOKUP(Range!$U193,$Z$10:$AA$14,2)</f>
        <v>0.05</v>
      </c>
    </row>
    <row r="194" spans="1:23" ht="15.75" customHeight="1">
      <c r="A194" s="61">
        <v>1193</v>
      </c>
      <c r="B194" s="62" t="s">
        <v>472</v>
      </c>
      <c r="C194" s="62" t="s">
        <v>134</v>
      </c>
      <c r="D194" s="63" t="str">
        <f>PROPER(TRIM(Range!$C194&amp;" "&amp;Range!$C194))</f>
        <v>Abu Abu</v>
      </c>
      <c r="E194" s="62" t="s">
        <v>99</v>
      </c>
      <c r="F194" s="62" t="s">
        <v>751</v>
      </c>
      <c r="G194" s="62" t="s">
        <v>19</v>
      </c>
      <c r="H194" s="64" t="s">
        <v>11</v>
      </c>
      <c r="I194" s="64" t="s">
        <v>264</v>
      </c>
      <c r="J194" s="65" t="s">
        <v>10</v>
      </c>
      <c r="K194" s="62" t="s">
        <v>986</v>
      </c>
      <c r="L194" s="66">
        <v>4</v>
      </c>
      <c r="M194" s="67">
        <v>7</v>
      </c>
      <c r="N194" s="67">
        <v>2013</v>
      </c>
      <c r="O194" s="68">
        <f>DATE(Range!$N194,Range!$M194,Range!$L194)</f>
        <v>41459</v>
      </c>
      <c r="P194" s="68">
        <f t="shared" ref="P194:P257" ca="1" si="3">TODAY()</f>
        <v>46071</v>
      </c>
      <c r="Q194" s="67">
        <f ca="1">DATEDIF(Range!$O194,Range!$P194,"Y")</f>
        <v>12</v>
      </c>
      <c r="R194" s="69">
        <v>5086</v>
      </c>
      <c r="S194" s="70">
        <f>Range!$R194*0.1</f>
        <v>508.6</v>
      </c>
      <c r="T194" s="71">
        <f>Range!$R194*0.03</f>
        <v>152.57999999999998</v>
      </c>
      <c r="U194" s="72">
        <f>Range!$R194-Range!$S194+Range!$T194</f>
        <v>4729.9799999999996</v>
      </c>
      <c r="V194" s="73" t="str">
        <f>IF(Range!$U194&gt;=6000,"Over","Normal")</f>
        <v>Normal</v>
      </c>
      <c r="W194" s="74">
        <f>VLOOKUP(Range!$U194,$Z$10:$AA$14,2)</f>
        <v>0.05</v>
      </c>
    </row>
    <row r="195" spans="1:23" ht="15.75" customHeight="1">
      <c r="A195" s="75">
        <v>1194</v>
      </c>
      <c r="B195" s="76" t="s">
        <v>479</v>
      </c>
      <c r="C195" s="76" t="s">
        <v>480</v>
      </c>
      <c r="D195" s="77" t="str">
        <f>PROPER(TRIM(Range!$C195&amp;" "&amp;Range!$C195))</f>
        <v>Nafae Nafae</v>
      </c>
      <c r="E195" s="76" t="s">
        <v>99</v>
      </c>
      <c r="F195" s="76" t="s">
        <v>752</v>
      </c>
      <c r="G195" s="76" t="s">
        <v>13</v>
      </c>
      <c r="H195" s="78" t="s">
        <v>11</v>
      </c>
      <c r="I195" s="78" t="s">
        <v>9</v>
      </c>
      <c r="J195" s="79" t="s">
        <v>20</v>
      </c>
      <c r="K195" s="76" t="s">
        <v>987</v>
      </c>
      <c r="L195" s="80">
        <v>9</v>
      </c>
      <c r="M195" s="81">
        <v>10</v>
      </c>
      <c r="N195" s="81">
        <v>2023</v>
      </c>
      <c r="O195" s="82">
        <f>DATE(Range!$N195,Range!$M195,Range!$L195)</f>
        <v>45208</v>
      </c>
      <c r="P195" s="82">
        <f t="shared" ca="1" si="3"/>
        <v>46071</v>
      </c>
      <c r="Q195" s="81">
        <f ca="1">DATEDIF(Range!$O195,Range!$P195,"Y")</f>
        <v>2</v>
      </c>
      <c r="R195" s="83">
        <v>2431</v>
      </c>
      <c r="S195" s="84">
        <f>Range!$R195*0.1</f>
        <v>243.10000000000002</v>
      </c>
      <c r="T195" s="85">
        <f>Range!$R195*0.03</f>
        <v>72.929999999999993</v>
      </c>
      <c r="U195" s="86">
        <f>Range!$R195-Range!$S195+Range!$T195</f>
        <v>2260.83</v>
      </c>
      <c r="V195" s="87" t="str">
        <f>IF(Range!$U195&gt;=6000,"Over","Normal")</f>
        <v>Normal</v>
      </c>
      <c r="W195" s="88">
        <f>VLOOKUP(Range!$U195,$Z$10:$AA$14,2)</f>
        <v>0.08</v>
      </c>
    </row>
    <row r="196" spans="1:23" ht="15.75" customHeight="1">
      <c r="A196" s="61">
        <v>1195</v>
      </c>
      <c r="B196" s="62" t="s">
        <v>459</v>
      </c>
      <c r="C196" s="62" t="s">
        <v>315</v>
      </c>
      <c r="D196" s="63" t="str">
        <f>PROPER(TRIM(Range!$C196&amp;" "&amp;Range!$C196))</f>
        <v>Shaykh Shaykh</v>
      </c>
      <c r="E196" s="62" t="s">
        <v>100</v>
      </c>
      <c r="F196" s="62" t="s">
        <v>753</v>
      </c>
      <c r="G196" s="62" t="s">
        <v>17</v>
      </c>
      <c r="H196" s="64" t="s">
        <v>8</v>
      </c>
      <c r="I196" s="64" t="s">
        <v>9</v>
      </c>
      <c r="J196" s="65" t="s">
        <v>12</v>
      </c>
      <c r="K196" s="62" t="s">
        <v>880</v>
      </c>
      <c r="L196" s="66">
        <v>8</v>
      </c>
      <c r="M196" s="67">
        <v>3</v>
      </c>
      <c r="N196" s="67">
        <v>2014</v>
      </c>
      <c r="O196" s="68">
        <f>DATE(Range!$N196,Range!$M196,Range!$L196)</f>
        <v>41706</v>
      </c>
      <c r="P196" s="68">
        <f t="shared" ca="1" si="3"/>
        <v>46071</v>
      </c>
      <c r="Q196" s="67">
        <f ca="1">DATEDIF(Range!$O196,Range!$P196,"Y")</f>
        <v>11</v>
      </c>
      <c r="R196" s="69">
        <v>2955</v>
      </c>
      <c r="S196" s="70">
        <f>Range!$R196*0.1</f>
        <v>295.5</v>
      </c>
      <c r="T196" s="71">
        <f>Range!$R196*0.03</f>
        <v>88.649999999999991</v>
      </c>
      <c r="U196" s="72">
        <f>Range!$R196-Range!$S196+Range!$T196</f>
        <v>2748.15</v>
      </c>
      <c r="V196" s="73" t="str">
        <f>IF(Range!$U196&gt;=6000,"Over","Normal")</f>
        <v>Normal</v>
      </c>
      <c r="W196" s="74">
        <f>VLOOKUP(Range!$U196,$Z$10:$AA$14,2)</f>
        <v>0.08</v>
      </c>
    </row>
    <row r="197" spans="1:23" ht="15.75" customHeight="1">
      <c r="A197" s="75">
        <v>1196</v>
      </c>
      <c r="B197" s="76" t="s">
        <v>479</v>
      </c>
      <c r="C197" s="76" t="s">
        <v>481</v>
      </c>
      <c r="D197" s="77" t="str">
        <f>PROPER(TRIM(Range!$C197&amp;" "&amp;Range!$C197))</f>
        <v>Kashik Kashik</v>
      </c>
      <c r="E197" s="76" t="s">
        <v>99</v>
      </c>
      <c r="F197" s="76" t="s">
        <v>754</v>
      </c>
      <c r="G197" s="76" t="s">
        <v>17</v>
      </c>
      <c r="H197" s="78" t="s">
        <v>8</v>
      </c>
      <c r="I197" s="78" t="s">
        <v>264</v>
      </c>
      <c r="J197" s="79" t="s">
        <v>20</v>
      </c>
      <c r="K197" s="76" t="s">
        <v>988</v>
      </c>
      <c r="L197" s="80">
        <v>20</v>
      </c>
      <c r="M197" s="81">
        <v>4</v>
      </c>
      <c r="N197" s="81">
        <v>2001</v>
      </c>
      <c r="O197" s="82">
        <f>DATE(Range!$N197,Range!$M197,Range!$L197)</f>
        <v>37001</v>
      </c>
      <c r="P197" s="82">
        <f t="shared" ca="1" si="3"/>
        <v>46071</v>
      </c>
      <c r="Q197" s="81">
        <f ca="1">DATEDIF(Range!$O197,Range!$P197,"Y")</f>
        <v>24</v>
      </c>
      <c r="R197" s="83">
        <v>1948</v>
      </c>
      <c r="S197" s="84">
        <f>Range!$R197*0.1</f>
        <v>194.8</v>
      </c>
      <c r="T197" s="85">
        <f>Range!$R197*0.03</f>
        <v>58.44</v>
      </c>
      <c r="U197" s="86">
        <f>Range!$R197-Range!$S197+Range!$T197</f>
        <v>1811.64</v>
      </c>
      <c r="V197" s="87" t="str">
        <f>IF(Range!$U197&gt;=6000,"Over","Normal")</f>
        <v>Normal</v>
      </c>
      <c r="W197" s="88">
        <f>VLOOKUP(Range!$U197,$Z$10:$AA$14,2)</f>
        <v>0.08</v>
      </c>
    </row>
    <row r="198" spans="1:23" ht="15.75" customHeight="1">
      <c r="A198" s="61">
        <v>1197</v>
      </c>
      <c r="B198" s="62" t="s">
        <v>482</v>
      </c>
      <c r="C198" s="62" t="s">
        <v>483</v>
      </c>
      <c r="D198" s="63" t="str">
        <f>PROPER(TRIM(Range!$C198&amp;" "&amp;Range!$C198))</f>
        <v>Aldahan Aldahan</v>
      </c>
      <c r="E198" s="62" t="s">
        <v>100</v>
      </c>
      <c r="F198" s="62" t="s">
        <v>755</v>
      </c>
      <c r="G198" s="62" t="s">
        <v>19</v>
      </c>
      <c r="H198" s="64" t="s">
        <v>11</v>
      </c>
      <c r="I198" s="64" t="s">
        <v>25</v>
      </c>
      <c r="J198" s="65" t="s">
        <v>10</v>
      </c>
      <c r="K198" s="62" t="s">
        <v>989</v>
      </c>
      <c r="L198" s="66">
        <v>26</v>
      </c>
      <c r="M198" s="67">
        <v>1</v>
      </c>
      <c r="N198" s="67">
        <v>1998</v>
      </c>
      <c r="O198" s="68">
        <f>DATE(Range!$N198,Range!$M198,Range!$L198)</f>
        <v>35821</v>
      </c>
      <c r="P198" s="68">
        <f t="shared" ca="1" si="3"/>
        <v>46071</v>
      </c>
      <c r="Q198" s="67">
        <f ca="1">DATEDIF(Range!$O198,Range!$P198,"Y")</f>
        <v>28</v>
      </c>
      <c r="R198" s="69">
        <v>3294</v>
      </c>
      <c r="S198" s="70">
        <f>Range!$R198*0.1</f>
        <v>329.40000000000003</v>
      </c>
      <c r="T198" s="71">
        <f>Range!$R198*0.03</f>
        <v>98.82</v>
      </c>
      <c r="U198" s="72">
        <f>Range!$R198-Range!$S198+Range!$T198</f>
        <v>3063.42</v>
      </c>
      <c r="V198" s="73" t="str">
        <f>IF(Range!$U198&gt;=6000,"Over","Normal")</f>
        <v>Normal</v>
      </c>
      <c r="W198" s="74">
        <f>VLOOKUP(Range!$U198,$Z$10:$AA$14,2)</f>
        <v>0.05</v>
      </c>
    </row>
    <row r="199" spans="1:23" ht="15.75" customHeight="1">
      <c r="A199" s="75">
        <v>1198</v>
      </c>
      <c r="B199" s="76" t="s">
        <v>367</v>
      </c>
      <c r="C199" s="76" t="s">
        <v>484</v>
      </c>
      <c r="D199" s="77" t="str">
        <f>PROPER(TRIM(Range!$C199&amp;" "&amp;Range!$C199))</f>
        <v>Alkhawam Alkhawam</v>
      </c>
      <c r="E199" s="76" t="s">
        <v>100</v>
      </c>
      <c r="F199" s="76" t="s">
        <v>756</v>
      </c>
      <c r="G199" s="76" t="s">
        <v>1100</v>
      </c>
      <c r="H199" s="78" t="s">
        <v>11</v>
      </c>
      <c r="I199" s="78" t="s">
        <v>264</v>
      </c>
      <c r="J199" s="79" t="s">
        <v>10</v>
      </c>
      <c r="K199" s="76" t="s">
        <v>990</v>
      </c>
      <c r="L199" s="80">
        <v>26</v>
      </c>
      <c r="M199" s="81">
        <v>7</v>
      </c>
      <c r="N199" s="81">
        <v>2017</v>
      </c>
      <c r="O199" s="82">
        <f>DATE(Range!$N199,Range!$M199,Range!$L199)</f>
        <v>42942</v>
      </c>
      <c r="P199" s="82">
        <f t="shared" ca="1" si="3"/>
        <v>46071</v>
      </c>
      <c r="Q199" s="81">
        <f ca="1">DATEDIF(Range!$O199,Range!$P199,"Y")</f>
        <v>8</v>
      </c>
      <c r="R199" s="83">
        <v>7123</v>
      </c>
      <c r="S199" s="84">
        <f>Range!$R199*0.1</f>
        <v>712.30000000000007</v>
      </c>
      <c r="T199" s="85">
        <f>Range!$R199*0.03</f>
        <v>213.69</v>
      </c>
      <c r="U199" s="86">
        <f>Range!$R199-Range!$S199+Range!$T199</f>
        <v>6624.3899999999994</v>
      </c>
      <c r="V199" s="87" t="str">
        <f>IF(Range!$U199&gt;=6000,"Over","Normal")</f>
        <v>Over</v>
      </c>
      <c r="W199" s="88">
        <f>VLOOKUP(Range!$U199,$Z$10:$AA$14,2)</f>
        <v>0.02</v>
      </c>
    </row>
    <row r="200" spans="1:23" ht="15.75" customHeight="1">
      <c r="A200" s="61">
        <v>1199</v>
      </c>
      <c r="B200" s="62" t="s">
        <v>485</v>
      </c>
      <c r="C200" s="62" t="s">
        <v>486</v>
      </c>
      <c r="D200" s="63" t="str">
        <f>PROPER(TRIM(Range!$C200&amp;" "&amp;Range!$C200))</f>
        <v>Alqintar Alqintar</v>
      </c>
      <c r="E200" s="62" t="s">
        <v>100</v>
      </c>
      <c r="F200" s="62" t="s">
        <v>757</v>
      </c>
      <c r="G200" s="62" t="s">
        <v>13</v>
      </c>
      <c r="H200" s="64" t="s">
        <v>22</v>
      </c>
      <c r="I200" s="64" t="s">
        <v>25</v>
      </c>
      <c r="J200" s="65" t="s">
        <v>12</v>
      </c>
      <c r="K200" s="62" t="s">
        <v>991</v>
      </c>
      <c r="L200" s="66">
        <v>6</v>
      </c>
      <c r="M200" s="67">
        <v>6</v>
      </c>
      <c r="N200" s="67">
        <v>2016</v>
      </c>
      <c r="O200" s="68">
        <f>DATE(Range!$N200,Range!$M200,Range!$L200)</f>
        <v>42527</v>
      </c>
      <c r="P200" s="68">
        <f t="shared" ca="1" si="3"/>
        <v>46071</v>
      </c>
      <c r="Q200" s="67">
        <f ca="1">DATEDIF(Range!$O200,Range!$P200,"Y")</f>
        <v>9</v>
      </c>
      <c r="R200" s="69">
        <v>7236</v>
      </c>
      <c r="S200" s="70">
        <f>Range!$R200*0.1</f>
        <v>723.6</v>
      </c>
      <c r="T200" s="71">
        <f>Range!$R200*0.03</f>
        <v>217.07999999999998</v>
      </c>
      <c r="U200" s="72">
        <f>Range!$R200-Range!$S200+Range!$T200</f>
        <v>6729.48</v>
      </c>
      <c r="V200" s="73" t="str">
        <f>IF(Range!$U200&gt;=6000,"Over","Normal")</f>
        <v>Over</v>
      </c>
      <c r="W200" s="74">
        <f>VLOOKUP(Range!$U200,$Z$10:$AA$14,2)</f>
        <v>0.02</v>
      </c>
    </row>
    <row r="201" spans="1:23" ht="15.75" customHeight="1">
      <c r="A201" s="75">
        <v>1200</v>
      </c>
      <c r="B201" s="76" t="s">
        <v>487</v>
      </c>
      <c r="C201" s="76" t="s">
        <v>488</v>
      </c>
      <c r="D201" s="77" t="str">
        <f>PROPER(TRIM(Range!$C201&amp;" "&amp;Range!$C201))</f>
        <v>Altibae Altibae</v>
      </c>
      <c r="E201" s="76" t="s">
        <v>100</v>
      </c>
      <c r="F201" s="76" t="s">
        <v>758</v>
      </c>
      <c r="G201" s="76" t="s">
        <v>1100</v>
      </c>
      <c r="H201" s="78" t="s">
        <v>8</v>
      </c>
      <c r="I201" s="78" t="s">
        <v>25</v>
      </c>
      <c r="J201" s="79" t="s">
        <v>10</v>
      </c>
      <c r="K201" s="76" t="s">
        <v>992</v>
      </c>
      <c r="L201" s="80">
        <v>20</v>
      </c>
      <c r="M201" s="81">
        <v>5</v>
      </c>
      <c r="N201" s="81">
        <v>1999</v>
      </c>
      <c r="O201" s="82">
        <f>DATE(Range!$N201,Range!$M201,Range!$L201)</f>
        <v>36300</v>
      </c>
      <c r="P201" s="82">
        <f t="shared" ca="1" si="3"/>
        <v>46071</v>
      </c>
      <c r="Q201" s="81">
        <f ca="1">DATEDIF(Range!$O201,Range!$P201,"Y")</f>
        <v>26</v>
      </c>
      <c r="R201" s="83">
        <v>6843</v>
      </c>
      <c r="S201" s="84">
        <f>Range!$R201*0.1</f>
        <v>684.30000000000007</v>
      </c>
      <c r="T201" s="85">
        <f>Range!$R201*0.03</f>
        <v>205.29</v>
      </c>
      <c r="U201" s="86">
        <f>Range!$R201-Range!$S201+Range!$T201</f>
        <v>6363.99</v>
      </c>
      <c r="V201" s="87" t="str">
        <f>IF(Range!$U201&gt;=6000,"Over","Normal")</f>
        <v>Over</v>
      </c>
      <c r="W201" s="88">
        <f>VLOOKUP(Range!$U201,$Z$10:$AA$14,2)</f>
        <v>0.02</v>
      </c>
    </row>
    <row r="202" spans="1:23" ht="15.75" customHeight="1">
      <c r="A202" s="61">
        <v>1201</v>
      </c>
      <c r="B202" s="62" t="s">
        <v>489</v>
      </c>
      <c r="C202" s="62" t="s">
        <v>103</v>
      </c>
      <c r="D202" s="63" t="str">
        <f>PROPER(TRIM(Range!$C202&amp;" "&amp;Range!$C202))</f>
        <v>Muhamad Muhamad</v>
      </c>
      <c r="E202" s="62" t="s">
        <v>99</v>
      </c>
      <c r="F202" s="62" t="s">
        <v>759</v>
      </c>
      <c r="G202" s="62" t="s">
        <v>1100</v>
      </c>
      <c r="H202" s="64" t="s">
        <v>8</v>
      </c>
      <c r="I202" s="64" t="s">
        <v>25</v>
      </c>
      <c r="J202" s="65" t="s">
        <v>10</v>
      </c>
      <c r="K202" s="62" t="s">
        <v>993</v>
      </c>
      <c r="L202" s="66">
        <v>25</v>
      </c>
      <c r="M202" s="67">
        <v>2</v>
      </c>
      <c r="N202" s="67">
        <v>2023</v>
      </c>
      <c r="O202" s="68">
        <f>DATE(Range!$N202,Range!$M202,Range!$L202)</f>
        <v>44982</v>
      </c>
      <c r="P202" s="68">
        <f t="shared" ca="1" si="3"/>
        <v>46071</v>
      </c>
      <c r="Q202" s="67">
        <f ca="1">DATEDIF(Range!$O202,Range!$P202,"Y")</f>
        <v>2</v>
      </c>
      <c r="R202" s="69">
        <v>1070</v>
      </c>
      <c r="S202" s="70">
        <f>Range!$R202*0.1</f>
        <v>107</v>
      </c>
      <c r="T202" s="71">
        <f>Range!$R202*0.03</f>
        <v>32.1</v>
      </c>
      <c r="U202" s="72">
        <f>Range!$R202-Range!$S202+Range!$T202</f>
        <v>995.1</v>
      </c>
      <c r="V202" s="73" t="str">
        <f>IF(Range!$U202&gt;=6000,"Over","Normal")</f>
        <v>Normal</v>
      </c>
      <c r="W202" s="74">
        <f>VLOOKUP(Range!$U202,$Z$10:$AA$14,2)</f>
        <v>0.1</v>
      </c>
    </row>
    <row r="203" spans="1:23" ht="15.75" customHeight="1">
      <c r="A203" s="75">
        <v>1202</v>
      </c>
      <c r="B203" s="76" t="s">
        <v>377</v>
      </c>
      <c r="C203" s="76" t="s">
        <v>490</v>
      </c>
      <c r="D203" s="77" t="str">
        <f>PROPER(TRIM(Range!$C203&amp;" "&amp;Range!$C203))</f>
        <v>Aljabaei Aljabaei</v>
      </c>
      <c r="E203" s="76" t="s">
        <v>99</v>
      </c>
      <c r="F203" s="76" t="s">
        <v>760</v>
      </c>
      <c r="G203" s="76" t="s">
        <v>13</v>
      </c>
      <c r="H203" s="78" t="s">
        <v>8</v>
      </c>
      <c r="I203" s="78" t="s">
        <v>25</v>
      </c>
      <c r="J203" s="79" t="s">
        <v>12</v>
      </c>
      <c r="K203" s="76" t="s">
        <v>994</v>
      </c>
      <c r="L203" s="80">
        <v>7</v>
      </c>
      <c r="M203" s="81">
        <v>9</v>
      </c>
      <c r="N203" s="81">
        <v>2011</v>
      </c>
      <c r="O203" s="82">
        <f>DATE(Range!$N203,Range!$M203,Range!$L203)</f>
        <v>40793</v>
      </c>
      <c r="P203" s="82">
        <f t="shared" ca="1" si="3"/>
        <v>46071</v>
      </c>
      <c r="Q203" s="81">
        <f ca="1">DATEDIF(Range!$O203,Range!$P203,"Y")</f>
        <v>14</v>
      </c>
      <c r="R203" s="83">
        <v>1493</v>
      </c>
      <c r="S203" s="84">
        <f>Range!$R203*0.1</f>
        <v>149.30000000000001</v>
      </c>
      <c r="T203" s="85">
        <f>Range!$R203*0.03</f>
        <v>44.79</v>
      </c>
      <c r="U203" s="86">
        <f>Range!$R203-Range!$S203+Range!$T203</f>
        <v>1388.49</v>
      </c>
      <c r="V203" s="87" t="str">
        <f>IF(Range!$U203&gt;=6000,"Over","Normal")</f>
        <v>Normal</v>
      </c>
      <c r="W203" s="88">
        <f>VLOOKUP(Range!$U203,$Z$10:$AA$14,2)</f>
        <v>0.08</v>
      </c>
    </row>
    <row r="204" spans="1:23" ht="15.75" customHeight="1">
      <c r="A204" s="61">
        <v>1203</v>
      </c>
      <c r="B204" s="62" t="s">
        <v>491</v>
      </c>
      <c r="C204" s="62" t="s">
        <v>492</v>
      </c>
      <c r="D204" s="63" t="str">
        <f>PROPER(TRIM(Range!$C204&amp;" "&amp;Range!$C204))</f>
        <v>Shwk Shwk</v>
      </c>
      <c r="E204" s="62" t="s">
        <v>100</v>
      </c>
      <c r="F204" s="62" t="s">
        <v>761</v>
      </c>
      <c r="G204" s="62" t="s">
        <v>19</v>
      </c>
      <c r="H204" s="64" t="s">
        <v>11</v>
      </c>
      <c r="I204" s="64" t="s">
        <v>25</v>
      </c>
      <c r="J204" s="65" t="s">
        <v>12</v>
      </c>
      <c r="K204" s="62" t="s">
        <v>995</v>
      </c>
      <c r="L204" s="66">
        <v>24</v>
      </c>
      <c r="M204" s="67">
        <v>12</v>
      </c>
      <c r="N204" s="67">
        <v>2001</v>
      </c>
      <c r="O204" s="68">
        <f>DATE(Range!$N204,Range!$M204,Range!$L204)</f>
        <v>37249</v>
      </c>
      <c r="P204" s="68">
        <f t="shared" ca="1" si="3"/>
        <v>46071</v>
      </c>
      <c r="Q204" s="67">
        <f ca="1">DATEDIF(Range!$O204,Range!$P204,"Y")</f>
        <v>24</v>
      </c>
      <c r="R204" s="69">
        <v>5857</v>
      </c>
      <c r="S204" s="70">
        <f>Range!$R204*0.1</f>
        <v>585.70000000000005</v>
      </c>
      <c r="T204" s="71">
        <f>Range!$R204*0.03</f>
        <v>175.70999999999998</v>
      </c>
      <c r="U204" s="72">
        <f>Range!$R204-Range!$S204+Range!$T204</f>
        <v>5447.01</v>
      </c>
      <c r="V204" s="73" t="str">
        <f>IF(Range!$U204&gt;=6000,"Over","Normal")</f>
        <v>Normal</v>
      </c>
      <c r="W204" s="74">
        <f>VLOOKUP(Range!$U204,$Z$10:$AA$14,2)</f>
        <v>0.05</v>
      </c>
    </row>
    <row r="205" spans="1:23" ht="15.75" customHeight="1">
      <c r="A205" s="75">
        <v>1204</v>
      </c>
      <c r="B205" s="76" t="s">
        <v>102</v>
      </c>
      <c r="C205" s="76" t="s">
        <v>493</v>
      </c>
      <c r="D205" s="77" t="str">
        <f>PROPER(TRIM(Range!$C205&amp;" "&amp;Range!$C205))</f>
        <v>Hamuwdatan Hamuwdatan</v>
      </c>
      <c r="E205" s="76" t="s">
        <v>100</v>
      </c>
      <c r="F205" s="76" t="s">
        <v>762</v>
      </c>
      <c r="G205" s="76" t="s">
        <v>19</v>
      </c>
      <c r="H205" s="78" t="s">
        <v>8</v>
      </c>
      <c r="I205" s="78" t="s">
        <v>264</v>
      </c>
      <c r="J205" s="79" t="s">
        <v>12</v>
      </c>
      <c r="K205" s="76" t="s">
        <v>996</v>
      </c>
      <c r="L205" s="80">
        <v>28</v>
      </c>
      <c r="M205" s="81">
        <v>5</v>
      </c>
      <c r="N205" s="81">
        <v>2003</v>
      </c>
      <c r="O205" s="82">
        <f>DATE(Range!$N205,Range!$M205,Range!$L205)</f>
        <v>37769</v>
      </c>
      <c r="P205" s="82">
        <f t="shared" ca="1" si="3"/>
        <v>46071</v>
      </c>
      <c r="Q205" s="81">
        <f ca="1">DATEDIF(Range!$O205,Range!$P205,"Y")</f>
        <v>22</v>
      </c>
      <c r="R205" s="83">
        <v>5278</v>
      </c>
      <c r="S205" s="84">
        <f>Range!$R205*0.1</f>
        <v>527.80000000000007</v>
      </c>
      <c r="T205" s="85">
        <f>Range!$R205*0.03</f>
        <v>158.34</v>
      </c>
      <c r="U205" s="86">
        <f>Range!$R205-Range!$S205+Range!$T205</f>
        <v>4908.54</v>
      </c>
      <c r="V205" s="87" t="str">
        <f>IF(Range!$U205&gt;=6000,"Over","Normal")</f>
        <v>Normal</v>
      </c>
      <c r="W205" s="88">
        <f>VLOOKUP(Range!$U205,$Z$10:$AA$14,2)</f>
        <v>0.05</v>
      </c>
    </row>
    <row r="206" spans="1:23" ht="15.75" customHeight="1">
      <c r="A206" s="61">
        <v>1205</v>
      </c>
      <c r="B206" s="62" t="s">
        <v>30</v>
      </c>
      <c r="C206" s="62" t="s">
        <v>494</v>
      </c>
      <c r="D206" s="63" t="str">
        <f>PROPER(TRIM(Range!$C206&amp;" "&amp;Range!$C206))</f>
        <v>Almiqdad Almiqdad</v>
      </c>
      <c r="E206" s="62" t="s">
        <v>100</v>
      </c>
      <c r="F206" s="62" t="s">
        <v>763</v>
      </c>
      <c r="G206" s="62" t="s">
        <v>1100</v>
      </c>
      <c r="H206" s="64" t="s">
        <v>11</v>
      </c>
      <c r="I206" s="64" t="s">
        <v>26</v>
      </c>
      <c r="J206" s="65" t="s">
        <v>20</v>
      </c>
      <c r="K206" s="62" t="s">
        <v>997</v>
      </c>
      <c r="L206" s="66">
        <v>10</v>
      </c>
      <c r="M206" s="67">
        <v>9</v>
      </c>
      <c r="N206" s="67">
        <v>1995</v>
      </c>
      <c r="O206" s="68">
        <f>DATE(Range!$N206,Range!$M206,Range!$L206)</f>
        <v>34952</v>
      </c>
      <c r="P206" s="68">
        <f t="shared" ca="1" si="3"/>
        <v>46071</v>
      </c>
      <c r="Q206" s="67">
        <f ca="1">DATEDIF(Range!$O206,Range!$P206,"Y")</f>
        <v>30</v>
      </c>
      <c r="R206" s="69">
        <v>5710</v>
      </c>
      <c r="S206" s="70">
        <f>Range!$R206*0.1</f>
        <v>571</v>
      </c>
      <c r="T206" s="71">
        <f>Range!$R206*0.03</f>
        <v>171.29999999999998</v>
      </c>
      <c r="U206" s="72">
        <f>Range!$R206-Range!$S206+Range!$T206</f>
        <v>5310.3</v>
      </c>
      <c r="V206" s="73" t="str">
        <f>IF(Range!$U206&gt;=6000,"Over","Normal")</f>
        <v>Normal</v>
      </c>
      <c r="W206" s="74">
        <f>VLOOKUP(Range!$U206,$Z$10:$AA$14,2)</f>
        <v>0.05</v>
      </c>
    </row>
    <row r="207" spans="1:23" ht="15.75" customHeight="1">
      <c r="A207" s="75">
        <v>1206</v>
      </c>
      <c r="B207" s="76" t="s">
        <v>289</v>
      </c>
      <c r="C207" s="76" t="s">
        <v>276</v>
      </c>
      <c r="D207" s="77" t="str">
        <f>PROPER(TRIM(Range!$C207&amp;" "&amp;Range!$C207))</f>
        <v>Alkhatib Alkhatib</v>
      </c>
      <c r="E207" s="76" t="s">
        <v>99</v>
      </c>
      <c r="F207" s="76" t="s">
        <v>764</v>
      </c>
      <c r="G207" s="76" t="s">
        <v>13</v>
      </c>
      <c r="H207" s="78" t="s">
        <v>8</v>
      </c>
      <c r="I207" s="78" t="s">
        <v>15</v>
      </c>
      <c r="J207" s="79" t="s">
        <v>10</v>
      </c>
      <c r="K207" s="76" t="s">
        <v>863</v>
      </c>
      <c r="L207" s="80">
        <v>12</v>
      </c>
      <c r="M207" s="81">
        <v>1</v>
      </c>
      <c r="N207" s="81">
        <v>2011</v>
      </c>
      <c r="O207" s="82">
        <f>DATE(Range!$N207,Range!$M207,Range!$L207)</f>
        <v>40555</v>
      </c>
      <c r="P207" s="82">
        <f t="shared" ca="1" si="3"/>
        <v>46071</v>
      </c>
      <c r="Q207" s="81">
        <f ca="1">DATEDIF(Range!$O207,Range!$P207,"Y")</f>
        <v>15</v>
      </c>
      <c r="R207" s="83">
        <v>6145</v>
      </c>
      <c r="S207" s="84">
        <f>Range!$R207*0.1</f>
        <v>614.5</v>
      </c>
      <c r="T207" s="85">
        <f>Range!$R207*0.03</f>
        <v>184.35</v>
      </c>
      <c r="U207" s="86">
        <f>Range!$R207-Range!$S207+Range!$T207</f>
        <v>5714.85</v>
      </c>
      <c r="V207" s="87" t="str">
        <f>IF(Range!$U207&gt;=6000,"Over","Normal")</f>
        <v>Normal</v>
      </c>
      <c r="W207" s="88">
        <f>VLOOKUP(Range!$U207,$Z$10:$AA$14,2)</f>
        <v>0.05</v>
      </c>
    </row>
    <row r="208" spans="1:23" ht="15.75" customHeight="1">
      <c r="A208" s="61">
        <v>1207</v>
      </c>
      <c r="B208" s="62" t="s">
        <v>167</v>
      </c>
      <c r="C208" s="62" t="s">
        <v>495</v>
      </c>
      <c r="D208" s="63" t="str">
        <f>PROPER(TRIM(Range!$C208&amp;" "&amp;Range!$C208))</f>
        <v>Alsyd Ahmad Alsyd Ahmad</v>
      </c>
      <c r="E208" s="62" t="s">
        <v>100</v>
      </c>
      <c r="F208" s="62" t="s">
        <v>765</v>
      </c>
      <c r="G208" s="62" t="s">
        <v>17</v>
      </c>
      <c r="H208" s="64" t="s">
        <v>14</v>
      </c>
      <c r="I208" s="64" t="s">
        <v>26</v>
      </c>
      <c r="J208" s="65" t="s">
        <v>10</v>
      </c>
      <c r="K208" s="62" t="s">
        <v>998</v>
      </c>
      <c r="L208" s="66">
        <v>18</v>
      </c>
      <c r="M208" s="67">
        <v>5</v>
      </c>
      <c r="N208" s="67">
        <v>1990</v>
      </c>
      <c r="O208" s="68">
        <f>DATE(Range!$N208,Range!$M208,Range!$L208)</f>
        <v>33011</v>
      </c>
      <c r="P208" s="68">
        <f t="shared" ca="1" si="3"/>
        <v>46071</v>
      </c>
      <c r="Q208" s="67">
        <f ca="1">DATEDIF(Range!$O208,Range!$P208,"Y")</f>
        <v>35</v>
      </c>
      <c r="R208" s="69">
        <v>5278</v>
      </c>
      <c r="S208" s="70">
        <f>Range!$R208*0.1</f>
        <v>527.80000000000007</v>
      </c>
      <c r="T208" s="71">
        <f>Range!$R208*0.03</f>
        <v>158.34</v>
      </c>
      <c r="U208" s="72">
        <f>Range!$R208-Range!$S208+Range!$T208</f>
        <v>4908.54</v>
      </c>
      <c r="V208" s="73" t="str">
        <f>IF(Range!$U208&gt;=6000,"Over","Normal")</f>
        <v>Normal</v>
      </c>
      <c r="W208" s="74">
        <f>VLOOKUP(Range!$U208,$Z$10:$AA$14,2)</f>
        <v>0.05</v>
      </c>
    </row>
    <row r="209" spans="1:23" ht="15.75" customHeight="1">
      <c r="A209" s="75">
        <v>1208</v>
      </c>
      <c r="B209" s="76" t="s">
        <v>174</v>
      </c>
      <c r="C209" s="76" t="s">
        <v>496</v>
      </c>
      <c r="D209" s="77" t="str">
        <f>PROPER(TRIM(Range!$C209&amp;" "&amp;Range!$C209))</f>
        <v>Aldhiyab Aldhiyab</v>
      </c>
      <c r="E209" s="76" t="s">
        <v>100</v>
      </c>
      <c r="F209" s="76" t="s">
        <v>766</v>
      </c>
      <c r="G209" s="76" t="s">
        <v>17</v>
      </c>
      <c r="H209" s="78" t="s">
        <v>22</v>
      </c>
      <c r="I209" s="78" t="s">
        <v>9</v>
      </c>
      <c r="J209" s="79" t="s">
        <v>10</v>
      </c>
      <c r="K209" s="76" t="s">
        <v>999</v>
      </c>
      <c r="L209" s="80">
        <v>16</v>
      </c>
      <c r="M209" s="81">
        <v>10</v>
      </c>
      <c r="N209" s="81">
        <v>2021</v>
      </c>
      <c r="O209" s="82">
        <f>DATE(Range!$N209,Range!$M209,Range!$L209)</f>
        <v>44485</v>
      </c>
      <c r="P209" s="82">
        <f t="shared" ca="1" si="3"/>
        <v>46071</v>
      </c>
      <c r="Q209" s="81">
        <f ca="1">DATEDIF(Range!$O209,Range!$P209,"Y")</f>
        <v>4</v>
      </c>
      <c r="R209" s="83">
        <v>6409</v>
      </c>
      <c r="S209" s="84">
        <f>Range!$R209*0.1</f>
        <v>640.90000000000009</v>
      </c>
      <c r="T209" s="85">
        <f>Range!$R209*0.03</f>
        <v>192.26999999999998</v>
      </c>
      <c r="U209" s="86">
        <f>Range!$R209-Range!$S209+Range!$T209</f>
        <v>5960.3700000000008</v>
      </c>
      <c r="V209" s="87" t="str">
        <f>IF(Range!$U209&gt;=6000,"Over","Normal")</f>
        <v>Normal</v>
      </c>
      <c r="W209" s="88">
        <f>VLOOKUP(Range!$U209,$Z$10:$AA$14,2)</f>
        <v>0.05</v>
      </c>
    </row>
    <row r="210" spans="1:23" ht="15.75" customHeight="1">
      <c r="A210" s="61">
        <v>1209</v>
      </c>
      <c r="B210" s="62" t="s">
        <v>425</v>
      </c>
      <c r="C210" s="62" t="s">
        <v>497</v>
      </c>
      <c r="D210" s="63" t="str">
        <f>PROPER(TRIM(Range!$C210&amp;" "&amp;Range!$C210))</f>
        <v>Almujahid Almujahid</v>
      </c>
      <c r="E210" s="62" t="s">
        <v>100</v>
      </c>
      <c r="F210" s="62" t="s">
        <v>767</v>
      </c>
      <c r="G210" s="62" t="s">
        <v>13</v>
      </c>
      <c r="H210" s="64" t="s">
        <v>8</v>
      </c>
      <c r="I210" s="64" t="s">
        <v>9</v>
      </c>
      <c r="J210" s="65" t="s">
        <v>20</v>
      </c>
      <c r="K210" s="62" t="s">
        <v>1000</v>
      </c>
      <c r="L210" s="66">
        <v>18</v>
      </c>
      <c r="M210" s="67">
        <v>11</v>
      </c>
      <c r="N210" s="67">
        <v>1996</v>
      </c>
      <c r="O210" s="68">
        <f>DATE(Range!$N210,Range!$M210,Range!$L210)</f>
        <v>35387</v>
      </c>
      <c r="P210" s="68">
        <f t="shared" ca="1" si="3"/>
        <v>46071</v>
      </c>
      <c r="Q210" s="67">
        <f ca="1">DATEDIF(Range!$O210,Range!$P210,"Y")</f>
        <v>29</v>
      </c>
      <c r="R210" s="69">
        <v>7478</v>
      </c>
      <c r="S210" s="70">
        <f>Range!$R210*0.1</f>
        <v>747.80000000000007</v>
      </c>
      <c r="T210" s="71">
        <f>Range!$R210*0.03</f>
        <v>224.34</v>
      </c>
      <c r="U210" s="72">
        <f>Range!$R210-Range!$S210+Range!$T210</f>
        <v>6954.54</v>
      </c>
      <c r="V210" s="73" t="str">
        <f>IF(Range!$U210&gt;=6000,"Over","Normal")</f>
        <v>Over</v>
      </c>
      <c r="W210" s="74">
        <f>VLOOKUP(Range!$U210,$Z$10:$AA$14,2)</f>
        <v>0.02</v>
      </c>
    </row>
    <row r="211" spans="1:23" ht="15.75" customHeight="1">
      <c r="A211" s="75">
        <v>1210</v>
      </c>
      <c r="B211" s="76" t="s">
        <v>96</v>
      </c>
      <c r="C211" s="76" t="s">
        <v>332</v>
      </c>
      <c r="D211" s="77" t="str">
        <f>PROPER(TRIM(Range!$C211&amp;" "&amp;Range!$C211))</f>
        <v>Alhumwi Alhumwi</v>
      </c>
      <c r="E211" s="76" t="s">
        <v>99</v>
      </c>
      <c r="F211" s="76" t="s">
        <v>768</v>
      </c>
      <c r="G211" s="76" t="s">
        <v>1100</v>
      </c>
      <c r="H211" s="78" t="s">
        <v>8</v>
      </c>
      <c r="I211" s="78" t="s">
        <v>9</v>
      </c>
      <c r="J211" s="79" t="s">
        <v>10</v>
      </c>
      <c r="K211" s="76" t="s">
        <v>1001</v>
      </c>
      <c r="L211" s="80">
        <v>5</v>
      </c>
      <c r="M211" s="81">
        <v>4</v>
      </c>
      <c r="N211" s="81">
        <v>1991</v>
      </c>
      <c r="O211" s="82">
        <f>DATE(Range!$N211,Range!$M211,Range!$L211)</f>
        <v>33333</v>
      </c>
      <c r="P211" s="82">
        <f t="shared" ca="1" si="3"/>
        <v>46071</v>
      </c>
      <c r="Q211" s="81">
        <f ca="1">DATEDIF(Range!$O211,Range!$P211,"Y")</f>
        <v>34</v>
      </c>
      <c r="R211" s="83">
        <v>4621</v>
      </c>
      <c r="S211" s="84">
        <f>Range!$R211*0.1</f>
        <v>462.1</v>
      </c>
      <c r="T211" s="85">
        <f>Range!$R211*0.03</f>
        <v>138.63</v>
      </c>
      <c r="U211" s="86">
        <f>Range!$R211-Range!$S211+Range!$T211</f>
        <v>4297.53</v>
      </c>
      <c r="V211" s="87" t="str">
        <f>IF(Range!$U211&gt;=6000,"Over","Normal")</f>
        <v>Normal</v>
      </c>
      <c r="W211" s="88">
        <f>VLOOKUP(Range!$U211,$Z$10:$AA$14,2)</f>
        <v>0.05</v>
      </c>
    </row>
    <row r="212" spans="1:23" ht="15.75" customHeight="1">
      <c r="A212" s="61">
        <v>1211</v>
      </c>
      <c r="B212" s="62" t="s">
        <v>121</v>
      </c>
      <c r="C212" s="62" t="s">
        <v>498</v>
      </c>
      <c r="D212" s="63" t="str">
        <f>PROPER(TRIM(Range!$C212&amp;" "&amp;Range!$C212))</f>
        <v>Hawria Hawria</v>
      </c>
      <c r="E212" s="62" t="s">
        <v>100</v>
      </c>
      <c r="F212" s="62" t="s">
        <v>769</v>
      </c>
      <c r="G212" s="62" t="s">
        <v>17</v>
      </c>
      <c r="H212" s="64" t="s">
        <v>11</v>
      </c>
      <c r="I212" s="64" t="s">
        <v>27</v>
      </c>
      <c r="J212" s="65" t="s">
        <v>12</v>
      </c>
      <c r="K212" s="62" t="s">
        <v>1002</v>
      </c>
      <c r="L212" s="66">
        <v>1</v>
      </c>
      <c r="M212" s="67">
        <v>2</v>
      </c>
      <c r="N212" s="67">
        <v>2019</v>
      </c>
      <c r="O212" s="68">
        <f>DATE(Range!$N212,Range!$M212,Range!$L212)</f>
        <v>43497</v>
      </c>
      <c r="P212" s="68">
        <f t="shared" ca="1" si="3"/>
        <v>46071</v>
      </c>
      <c r="Q212" s="67">
        <f ca="1">DATEDIF(Range!$O212,Range!$P212,"Y")</f>
        <v>7</v>
      </c>
      <c r="R212" s="69">
        <v>2093</v>
      </c>
      <c r="S212" s="70">
        <f>Range!$R212*0.1</f>
        <v>209.3</v>
      </c>
      <c r="T212" s="71">
        <f>Range!$R212*0.03</f>
        <v>62.79</v>
      </c>
      <c r="U212" s="72">
        <f>Range!$R212-Range!$S212+Range!$T212</f>
        <v>1946.49</v>
      </c>
      <c r="V212" s="73" t="str">
        <f>IF(Range!$U212&gt;=6000,"Over","Normal")</f>
        <v>Normal</v>
      </c>
      <c r="W212" s="74">
        <f>VLOOKUP(Range!$U212,$Z$10:$AA$14,2)</f>
        <v>0.08</v>
      </c>
    </row>
    <row r="213" spans="1:23" ht="15.75" customHeight="1">
      <c r="A213" s="75">
        <v>1212</v>
      </c>
      <c r="B213" s="76" t="s">
        <v>499</v>
      </c>
      <c r="C213" s="76" t="s">
        <v>500</v>
      </c>
      <c r="D213" s="77" t="str">
        <f>PROPER(TRIM(Range!$C213&amp;" "&amp;Range!$C213))</f>
        <v>Ghrz Aldiyn Ghrz Aldiyn</v>
      </c>
      <c r="E213" s="76" t="s">
        <v>99</v>
      </c>
      <c r="F213" s="76" t="s">
        <v>770</v>
      </c>
      <c r="G213" s="76" t="s">
        <v>1100</v>
      </c>
      <c r="H213" s="78" t="s">
        <v>11</v>
      </c>
      <c r="I213" s="78" t="s">
        <v>264</v>
      </c>
      <c r="J213" s="79" t="s">
        <v>10</v>
      </c>
      <c r="K213" s="76" t="s">
        <v>1003</v>
      </c>
      <c r="L213" s="80">
        <v>24</v>
      </c>
      <c r="M213" s="81">
        <v>8</v>
      </c>
      <c r="N213" s="81">
        <v>1995</v>
      </c>
      <c r="O213" s="82">
        <f>DATE(Range!$N213,Range!$M213,Range!$L213)</f>
        <v>34935</v>
      </c>
      <c r="P213" s="82">
        <f t="shared" ca="1" si="3"/>
        <v>46071</v>
      </c>
      <c r="Q213" s="81">
        <f ca="1">DATEDIF(Range!$O213,Range!$P213,"Y")</f>
        <v>30</v>
      </c>
      <c r="R213" s="83">
        <v>7333</v>
      </c>
      <c r="S213" s="84">
        <f>Range!$R213*0.1</f>
        <v>733.30000000000007</v>
      </c>
      <c r="T213" s="85">
        <f>Range!$R213*0.03</f>
        <v>219.98999999999998</v>
      </c>
      <c r="U213" s="86">
        <f>Range!$R213-Range!$S213+Range!$T213</f>
        <v>6819.69</v>
      </c>
      <c r="V213" s="87" t="str">
        <f>IF(Range!$U213&gt;=6000,"Over","Normal")</f>
        <v>Over</v>
      </c>
      <c r="W213" s="88">
        <f>VLOOKUP(Range!$U213,$Z$10:$AA$14,2)</f>
        <v>0.02</v>
      </c>
    </row>
    <row r="214" spans="1:23" ht="15.75" customHeight="1">
      <c r="A214" s="61">
        <v>1213</v>
      </c>
      <c r="B214" s="62" t="s">
        <v>501</v>
      </c>
      <c r="C214" s="62" t="s">
        <v>502</v>
      </c>
      <c r="D214" s="63" t="str">
        <f>PROPER(TRIM(Range!$C214&amp;" "&amp;Range!$C214))</f>
        <v>Hanna Hanna</v>
      </c>
      <c r="E214" s="62" t="s">
        <v>100</v>
      </c>
      <c r="F214" s="62" t="s">
        <v>771</v>
      </c>
      <c r="G214" s="62" t="s">
        <v>17</v>
      </c>
      <c r="H214" s="64" t="s">
        <v>8</v>
      </c>
      <c r="I214" s="64" t="s">
        <v>15</v>
      </c>
      <c r="J214" s="65" t="s">
        <v>12</v>
      </c>
      <c r="K214" s="62" t="s">
        <v>1004</v>
      </c>
      <c r="L214" s="66">
        <v>17</v>
      </c>
      <c r="M214" s="67">
        <v>4</v>
      </c>
      <c r="N214" s="67">
        <v>1996</v>
      </c>
      <c r="O214" s="68">
        <f>DATE(Range!$N214,Range!$M214,Range!$L214)</f>
        <v>35172</v>
      </c>
      <c r="P214" s="68">
        <f t="shared" ca="1" si="3"/>
        <v>46071</v>
      </c>
      <c r="Q214" s="67">
        <f ca="1">DATEDIF(Range!$O214,Range!$P214,"Y")</f>
        <v>29</v>
      </c>
      <c r="R214" s="69">
        <v>1194</v>
      </c>
      <c r="S214" s="70">
        <f>Range!$R214*0.1</f>
        <v>119.4</v>
      </c>
      <c r="T214" s="71">
        <f>Range!$R214*0.03</f>
        <v>35.82</v>
      </c>
      <c r="U214" s="72">
        <f>Range!$R214-Range!$S214+Range!$T214</f>
        <v>1110.4199999999998</v>
      </c>
      <c r="V214" s="73" t="str">
        <f>IF(Range!$U214&gt;=6000,"Over","Normal")</f>
        <v>Normal</v>
      </c>
      <c r="W214" s="74">
        <f>VLOOKUP(Range!$U214,$Z$10:$AA$14,2)</f>
        <v>0.08</v>
      </c>
    </row>
    <row r="215" spans="1:23" ht="15.75" customHeight="1">
      <c r="A215" s="75">
        <v>1214</v>
      </c>
      <c r="B215" s="76" t="s">
        <v>301</v>
      </c>
      <c r="C215" s="76" t="s">
        <v>503</v>
      </c>
      <c r="D215" s="77" t="str">
        <f>PROPER(TRIM(Range!$C215&amp;" "&amp;Range!$C215))</f>
        <v>Alkalu Alkalu</v>
      </c>
      <c r="E215" s="76" t="s">
        <v>100</v>
      </c>
      <c r="F215" s="76" t="s">
        <v>772</v>
      </c>
      <c r="G215" s="76" t="s">
        <v>7</v>
      </c>
      <c r="H215" s="78" t="s">
        <v>8</v>
      </c>
      <c r="I215" s="78" t="s">
        <v>15</v>
      </c>
      <c r="J215" s="79" t="s">
        <v>23</v>
      </c>
      <c r="K215" s="76" t="s">
        <v>1005</v>
      </c>
      <c r="L215" s="80">
        <v>9</v>
      </c>
      <c r="M215" s="81">
        <v>2</v>
      </c>
      <c r="N215" s="81">
        <v>2002</v>
      </c>
      <c r="O215" s="82">
        <f>DATE(Range!$N215,Range!$M215,Range!$L215)</f>
        <v>37296</v>
      </c>
      <c r="P215" s="82">
        <f t="shared" ca="1" si="3"/>
        <v>46071</v>
      </c>
      <c r="Q215" s="81">
        <f ca="1">DATEDIF(Range!$O215,Range!$P215,"Y")</f>
        <v>24</v>
      </c>
      <c r="R215" s="83">
        <v>5118</v>
      </c>
      <c r="S215" s="84">
        <f>Range!$R215*0.1</f>
        <v>511.8</v>
      </c>
      <c r="T215" s="85">
        <f>Range!$R215*0.03</f>
        <v>153.54</v>
      </c>
      <c r="U215" s="86">
        <f>Range!$R215-Range!$S215+Range!$T215</f>
        <v>4759.74</v>
      </c>
      <c r="V215" s="87" t="str">
        <f>IF(Range!$U215&gt;=6000,"Over","Normal")</f>
        <v>Normal</v>
      </c>
      <c r="W215" s="88">
        <f>VLOOKUP(Range!$U215,$Z$10:$AA$14,2)</f>
        <v>0.05</v>
      </c>
    </row>
    <row r="216" spans="1:23" ht="15.75" customHeight="1">
      <c r="A216" s="61">
        <v>1215</v>
      </c>
      <c r="B216" s="62" t="s">
        <v>115</v>
      </c>
      <c r="C216" s="62" t="s">
        <v>116</v>
      </c>
      <c r="D216" s="63" t="str">
        <f>PROPER(TRIM(Range!$C216&amp;" "&amp;Range!$C216))</f>
        <v>Dbs Dbs</v>
      </c>
      <c r="E216" s="62" t="s">
        <v>99</v>
      </c>
      <c r="F216" s="62" t="s">
        <v>773</v>
      </c>
      <c r="G216" s="62" t="s">
        <v>17</v>
      </c>
      <c r="H216" s="64" t="s">
        <v>22</v>
      </c>
      <c r="I216" s="64" t="s">
        <v>28</v>
      </c>
      <c r="J216" s="65" t="s">
        <v>12</v>
      </c>
      <c r="K216" s="62" t="s">
        <v>218</v>
      </c>
      <c r="L216" s="66">
        <v>13</v>
      </c>
      <c r="M216" s="67">
        <v>1</v>
      </c>
      <c r="N216" s="67">
        <v>1996</v>
      </c>
      <c r="O216" s="68">
        <f>DATE(Range!$N216,Range!$M216,Range!$L216)</f>
        <v>35077</v>
      </c>
      <c r="P216" s="68">
        <f t="shared" ca="1" si="3"/>
        <v>46071</v>
      </c>
      <c r="Q216" s="67">
        <f ca="1">DATEDIF(Range!$O216,Range!$P216,"Y")</f>
        <v>30</v>
      </c>
      <c r="R216" s="69">
        <v>5373</v>
      </c>
      <c r="S216" s="70">
        <f>Range!$R216*0.1</f>
        <v>537.30000000000007</v>
      </c>
      <c r="T216" s="71">
        <f>Range!$R216*0.03</f>
        <v>161.19</v>
      </c>
      <c r="U216" s="72">
        <f>Range!$R216-Range!$S216+Range!$T216</f>
        <v>4996.8899999999994</v>
      </c>
      <c r="V216" s="73" t="str">
        <f>IF(Range!$U216&gt;=6000,"Over","Normal")</f>
        <v>Normal</v>
      </c>
      <c r="W216" s="74">
        <f>VLOOKUP(Range!$U216,$Z$10:$AA$14,2)</f>
        <v>0.05</v>
      </c>
    </row>
    <row r="217" spans="1:23" ht="15.75" customHeight="1">
      <c r="A217" s="75">
        <v>1216</v>
      </c>
      <c r="B217" s="76" t="s">
        <v>167</v>
      </c>
      <c r="C217" s="76" t="s">
        <v>504</v>
      </c>
      <c r="D217" s="77" t="str">
        <f>PROPER(TRIM(Range!$C217&amp;" "&amp;Range!$C217))</f>
        <v>Alkhayrat Alkhayrat</v>
      </c>
      <c r="E217" s="76" t="s">
        <v>100</v>
      </c>
      <c r="F217" s="76" t="s">
        <v>774</v>
      </c>
      <c r="G217" s="76" t="s">
        <v>17</v>
      </c>
      <c r="H217" s="78" t="s">
        <v>8</v>
      </c>
      <c r="I217" s="78" t="s">
        <v>29</v>
      </c>
      <c r="J217" s="79" t="s">
        <v>12</v>
      </c>
      <c r="K217" s="76" t="s">
        <v>1006</v>
      </c>
      <c r="L217" s="80">
        <v>23</v>
      </c>
      <c r="M217" s="81">
        <v>3</v>
      </c>
      <c r="N217" s="81">
        <v>2005</v>
      </c>
      <c r="O217" s="82">
        <f>DATE(Range!$N217,Range!$M217,Range!$L217)</f>
        <v>38434</v>
      </c>
      <c r="P217" s="82">
        <f t="shared" ca="1" si="3"/>
        <v>46071</v>
      </c>
      <c r="Q217" s="81">
        <f ca="1">DATEDIF(Range!$O217,Range!$P217,"Y")</f>
        <v>20</v>
      </c>
      <c r="R217" s="83">
        <v>1708</v>
      </c>
      <c r="S217" s="84">
        <f>Range!$R217*0.1</f>
        <v>170.8</v>
      </c>
      <c r="T217" s="85">
        <f>Range!$R217*0.03</f>
        <v>51.239999999999995</v>
      </c>
      <c r="U217" s="86">
        <f>Range!$R217-Range!$S217+Range!$T217</f>
        <v>1588.44</v>
      </c>
      <c r="V217" s="87" t="str">
        <f>IF(Range!$U217&gt;=6000,"Over","Normal")</f>
        <v>Normal</v>
      </c>
      <c r="W217" s="88">
        <f>VLOOKUP(Range!$U217,$Z$10:$AA$14,2)</f>
        <v>0.08</v>
      </c>
    </row>
    <row r="218" spans="1:23" ht="15.75" customHeight="1">
      <c r="A218" s="61">
        <v>1217</v>
      </c>
      <c r="B218" s="62" t="s">
        <v>505</v>
      </c>
      <c r="C218" s="62" t="s">
        <v>506</v>
      </c>
      <c r="D218" s="63" t="str">
        <f>PROPER(TRIM(Range!$C218&amp;" "&amp;Range!$C218))</f>
        <v>Alshiyraziu Alshiyraziu</v>
      </c>
      <c r="E218" s="62" t="s">
        <v>100</v>
      </c>
      <c r="F218" s="62" t="s">
        <v>775</v>
      </c>
      <c r="G218" s="62" t="s">
        <v>19</v>
      </c>
      <c r="H218" s="64" t="s">
        <v>14</v>
      </c>
      <c r="I218" s="64" t="s">
        <v>264</v>
      </c>
      <c r="J218" s="65" t="s">
        <v>10</v>
      </c>
      <c r="K218" s="62" t="s">
        <v>1007</v>
      </c>
      <c r="L218" s="66">
        <v>5</v>
      </c>
      <c r="M218" s="67">
        <v>1</v>
      </c>
      <c r="N218" s="67">
        <v>2016</v>
      </c>
      <c r="O218" s="68">
        <f>DATE(Range!$N218,Range!$M218,Range!$L218)</f>
        <v>42374</v>
      </c>
      <c r="P218" s="68">
        <f t="shared" ca="1" si="3"/>
        <v>46071</v>
      </c>
      <c r="Q218" s="67">
        <f ca="1">DATEDIF(Range!$O218,Range!$P218,"Y")</f>
        <v>10</v>
      </c>
      <c r="R218" s="69">
        <v>2898</v>
      </c>
      <c r="S218" s="70">
        <f>Range!$R218*0.1</f>
        <v>289.8</v>
      </c>
      <c r="T218" s="71">
        <f>Range!$R218*0.03</f>
        <v>86.94</v>
      </c>
      <c r="U218" s="72">
        <f>Range!$R218-Range!$S218+Range!$T218</f>
        <v>2695.14</v>
      </c>
      <c r="V218" s="73" t="str">
        <f>IF(Range!$U218&gt;=6000,"Over","Normal")</f>
        <v>Normal</v>
      </c>
      <c r="W218" s="74">
        <f>VLOOKUP(Range!$U218,$Z$10:$AA$14,2)</f>
        <v>0.08</v>
      </c>
    </row>
    <row r="219" spans="1:23" ht="15.75" customHeight="1">
      <c r="A219" s="75">
        <v>1218</v>
      </c>
      <c r="B219" s="76" t="s">
        <v>410</v>
      </c>
      <c r="C219" s="76" t="s">
        <v>352</v>
      </c>
      <c r="D219" s="77" t="str">
        <f>PROPER(TRIM(Range!$C219&amp;" "&amp;Range!$C219))</f>
        <v>Shakir Shakir</v>
      </c>
      <c r="E219" s="76" t="s">
        <v>100</v>
      </c>
      <c r="F219" s="76" t="s">
        <v>776</v>
      </c>
      <c r="G219" s="76" t="s">
        <v>7</v>
      </c>
      <c r="H219" s="78" t="s">
        <v>8</v>
      </c>
      <c r="I219" s="78" t="s">
        <v>26</v>
      </c>
      <c r="J219" s="79" t="s">
        <v>12</v>
      </c>
      <c r="K219" s="76" t="s">
        <v>1008</v>
      </c>
      <c r="L219" s="80">
        <v>6</v>
      </c>
      <c r="M219" s="81">
        <v>11</v>
      </c>
      <c r="N219" s="81">
        <v>2010</v>
      </c>
      <c r="O219" s="82">
        <f>DATE(Range!$N219,Range!$M219,Range!$L219)</f>
        <v>40488</v>
      </c>
      <c r="P219" s="82">
        <f t="shared" ca="1" si="3"/>
        <v>46071</v>
      </c>
      <c r="Q219" s="81">
        <f ca="1">DATEDIF(Range!$O219,Range!$P219,"Y")</f>
        <v>15</v>
      </c>
      <c r="R219" s="83">
        <v>6211</v>
      </c>
      <c r="S219" s="84">
        <f>Range!$R219*0.1</f>
        <v>621.1</v>
      </c>
      <c r="T219" s="85">
        <f>Range!$R219*0.03</f>
        <v>186.32999999999998</v>
      </c>
      <c r="U219" s="86">
        <f>Range!$R219-Range!$S219+Range!$T219</f>
        <v>5776.23</v>
      </c>
      <c r="V219" s="87" t="str">
        <f>IF(Range!$U219&gt;=6000,"Over","Normal")</f>
        <v>Normal</v>
      </c>
      <c r="W219" s="88">
        <f>VLOOKUP(Range!$U219,$Z$10:$AA$14,2)</f>
        <v>0.05</v>
      </c>
    </row>
    <row r="220" spans="1:23" ht="15.75" customHeight="1">
      <c r="A220" s="61">
        <v>1219</v>
      </c>
      <c r="B220" s="62" t="s">
        <v>507</v>
      </c>
      <c r="C220" s="62" t="s">
        <v>508</v>
      </c>
      <c r="D220" s="63" t="str">
        <f>PROPER(TRIM(Range!$C220&amp;" "&amp;Range!$C220))</f>
        <v>Sabih Sabih</v>
      </c>
      <c r="E220" s="62" t="s">
        <v>99</v>
      </c>
      <c r="F220" s="62" t="s">
        <v>777</v>
      </c>
      <c r="G220" s="62" t="s">
        <v>19</v>
      </c>
      <c r="H220" s="64" t="s">
        <v>11</v>
      </c>
      <c r="I220" s="64" t="s">
        <v>9</v>
      </c>
      <c r="J220" s="65" t="s">
        <v>23</v>
      </c>
      <c r="K220" s="62" t="s">
        <v>1009</v>
      </c>
      <c r="L220" s="66">
        <v>17</v>
      </c>
      <c r="M220" s="67">
        <v>9</v>
      </c>
      <c r="N220" s="67">
        <v>2018</v>
      </c>
      <c r="O220" s="68">
        <f>DATE(Range!$N220,Range!$M220,Range!$L220)</f>
        <v>43360</v>
      </c>
      <c r="P220" s="68">
        <f t="shared" ca="1" si="3"/>
        <v>46071</v>
      </c>
      <c r="Q220" s="67">
        <f ca="1">DATEDIF(Range!$O220,Range!$P220,"Y")</f>
        <v>7</v>
      </c>
      <c r="R220" s="69">
        <v>5976</v>
      </c>
      <c r="S220" s="70">
        <f>Range!$R220*0.1</f>
        <v>597.6</v>
      </c>
      <c r="T220" s="71">
        <f>Range!$R220*0.03</f>
        <v>179.28</v>
      </c>
      <c r="U220" s="72">
        <f>Range!$R220-Range!$S220+Range!$T220</f>
        <v>5557.6799999999994</v>
      </c>
      <c r="V220" s="73" t="str">
        <f>IF(Range!$U220&gt;=6000,"Over","Normal")</f>
        <v>Normal</v>
      </c>
      <c r="W220" s="74">
        <f>VLOOKUP(Range!$U220,$Z$10:$AA$14,2)</f>
        <v>0.05</v>
      </c>
    </row>
    <row r="221" spans="1:23" ht="15.75" customHeight="1">
      <c r="A221" s="75">
        <v>1220</v>
      </c>
      <c r="B221" s="76" t="s">
        <v>118</v>
      </c>
      <c r="C221" s="76" t="s">
        <v>509</v>
      </c>
      <c r="D221" s="77" t="str">
        <f>PROPER(TRIM(Range!$C221&amp;" "&amp;Range!$C221))</f>
        <v>Efan Efan</v>
      </c>
      <c r="E221" s="76" t="s">
        <v>99</v>
      </c>
      <c r="F221" s="76" t="s">
        <v>778</v>
      </c>
      <c r="G221" s="76" t="s">
        <v>19</v>
      </c>
      <c r="H221" s="78" t="s">
        <v>11</v>
      </c>
      <c r="I221" s="78" t="s">
        <v>9</v>
      </c>
      <c r="J221" s="79" t="s">
        <v>20</v>
      </c>
      <c r="K221" s="76" t="s">
        <v>1010</v>
      </c>
      <c r="L221" s="80">
        <v>19</v>
      </c>
      <c r="M221" s="81">
        <v>7</v>
      </c>
      <c r="N221" s="81">
        <v>1992</v>
      </c>
      <c r="O221" s="82">
        <f>DATE(Range!$N221,Range!$M221,Range!$L221)</f>
        <v>33804</v>
      </c>
      <c r="P221" s="82">
        <f t="shared" ca="1" si="3"/>
        <v>46071</v>
      </c>
      <c r="Q221" s="81">
        <f ca="1">DATEDIF(Range!$O221,Range!$P221,"Y")</f>
        <v>33</v>
      </c>
      <c r="R221" s="83">
        <v>742</v>
      </c>
      <c r="S221" s="84">
        <f>Range!$R221*0.1</f>
        <v>74.2</v>
      </c>
      <c r="T221" s="85">
        <f>Range!$R221*0.03</f>
        <v>22.259999999999998</v>
      </c>
      <c r="U221" s="86">
        <f>Range!$R221-Range!$S221+Range!$T221</f>
        <v>690.06</v>
      </c>
      <c r="V221" s="87" t="str">
        <f>IF(Range!$U221&gt;=6000,"Over","Normal")</f>
        <v>Normal</v>
      </c>
      <c r="W221" s="88">
        <f>VLOOKUP(Range!$U221,$Z$10:$AA$14,2)</f>
        <v>0.1</v>
      </c>
    </row>
    <row r="222" spans="1:23" ht="15.75" customHeight="1">
      <c r="A222" s="61">
        <v>1221</v>
      </c>
      <c r="B222" s="62" t="s">
        <v>410</v>
      </c>
      <c r="C222" s="62" t="s">
        <v>123</v>
      </c>
      <c r="D222" s="63" t="str">
        <f>PROPER(TRIM(Range!$C222&amp;" "&amp;Range!$C222))</f>
        <v>Salim Salim</v>
      </c>
      <c r="E222" s="62" t="s">
        <v>100</v>
      </c>
      <c r="F222" s="62" t="s">
        <v>779</v>
      </c>
      <c r="G222" s="62" t="s">
        <v>13</v>
      </c>
      <c r="H222" s="64" t="s">
        <v>8</v>
      </c>
      <c r="I222" s="64" t="s">
        <v>27</v>
      </c>
      <c r="J222" s="65" t="s">
        <v>23</v>
      </c>
      <c r="K222" s="62" t="s">
        <v>1011</v>
      </c>
      <c r="L222" s="66">
        <v>9</v>
      </c>
      <c r="M222" s="67">
        <v>9</v>
      </c>
      <c r="N222" s="67">
        <v>2014</v>
      </c>
      <c r="O222" s="68">
        <f>DATE(Range!$N222,Range!$M222,Range!$L222)</f>
        <v>41891</v>
      </c>
      <c r="P222" s="68">
        <f t="shared" ca="1" si="3"/>
        <v>46071</v>
      </c>
      <c r="Q222" s="67">
        <f ca="1">DATEDIF(Range!$O222,Range!$P222,"Y")</f>
        <v>11</v>
      </c>
      <c r="R222" s="69">
        <v>5918</v>
      </c>
      <c r="S222" s="70">
        <f>Range!$R222*0.1</f>
        <v>591.80000000000007</v>
      </c>
      <c r="T222" s="71">
        <f>Range!$R222*0.03</f>
        <v>177.54</v>
      </c>
      <c r="U222" s="72">
        <f>Range!$R222-Range!$S222+Range!$T222</f>
        <v>5503.74</v>
      </c>
      <c r="V222" s="73" t="str">
        <f>IF(Range!$U222&gt;=6000,"Over","Normal")</f>
        <v>Normal</v>
      </c>
      <c r="W222" s="74">
        <f>VLOOKUP(Range!$U222,$Z$10:$AA$14,2)</f>
        <v>0.05</v>
      </c>
    </row>
    <row r="223" spans="1:23" ht="15.75" customHeight="1">
      <c r="A223" s="75">
        <v>1222</v>
      </c>
      <c r="B223" s="76" t="s">
        <v>171</v>
      </c>
      <c r="C223" s="76" t="s">
        <v>510</v>
      </c>
      <c r="D223" s="77" t="str">
        <f>PROPER(TRIM(Range!$C223&amp;" "&amp;Range!$C223))</f>
        <v>Mia Mia</v>
      </c>
      <c r="E223" s="76" t="s">
        <v>99</v>
      </c>
      <c r="F223" s="76" t="s">
        <v>780</v>
      </c>
      <c r="G223" s="76" t="s">
        <v>13</v>
      </c>
      <c r="H223" s="78" t="s">
        <v>11</v>
      </c>
      <c r="I223" s="78" t="s">
        <v>15</v>
      </c>
      <c r="J223" s="79" t="s">
        <v>12</v>
      </c>
      <c r="K223" s="76" t="s">
        <v>1012</v>
      </c>
      <c r="L223" s="80">
        <v>15</v>
      </c>
      <c r="M223" s="81">
        <v>6</v>
      </c>
      <c r="N223" s="81">
        <v>1996</v>
      </c>
      <c r="O223" s="82">
        <f>DATE(Range!$N223,Range!$M223,Range!$L223)</f>
        <v>35231</v>
      </c>
      <c r="P223" s="82">
        <f t="shared" ca="1" si="3"/>
        <v>46071</v>
      </c>
      <c r="Q223" s="81">
        <f ca="1">DATEDIF(Range!$O223,Range!$P223,"Y")</f>
        <v>29</v>
      </c>
      <c r="R223" s="83">
        <v>3074</v>
      </c>
      <c r="S223" s="84">
        <f>Range!$R223*0.1</f>
        <v>307.40000000000003</v>
      </c>
      <c r="T223" s="85">
        <f>Range!$R223*0.03</f>
        <v>92.22</v>
      </c>
      <c r="U223" s="86">
        <f>Range!$R223-Range!$S223+Range!$T223</f>
        <v>2858.8199999999997</v>
      </c>
      <c r="V223" s="87" t="str">
        <f>IF(Range!$U223&gt;=6000,"Over","Normal")</f>
        <v>Normal</v>
      </c>
      <c r="W223" s="88">
        <f>VLOOKUP(Range!$U223,$Z$10:$AA$14,2)</f>
        <v>0.08</v>
      </c>
    </row>
    <row r="224" spans="1:23" ht="15.75" customHeight="1">
      <c r="A224" s="61">
        <v>1223</v>
      </c>
      <c r="B224" s="62" t="s">
        <v>511</v>
      </c>
      <c r="C224" s="62" t="s">
        <v>102</v>
      </c>
      <c r="D224" s="63" t="str">
        <f>PROPER(TRIM(Range!$C224&amp;" "&amp;Range!$C224))</f>
        <v>Ahmad Ahmad</v>
      </c>
      <c r="E224" s="62" t="s">
        <v>100</v>
      </c>
      <c r="F224" s="62" t="s">
        <v>781</v>
      </c>
      <c r="G224" s="62" t="s">
        <v>19</v>
      </c>
      <c r="H224" s="64" t="s">
        <v>8</v>
      </c>
      <c r="I224" s="64" t="s">
        <v>9</v>
      </c>
      <c r="J224" s="65" t="s">
        <v>23</v>
      </c>
      <c r="K224" s="62" t="s">
        <v>227</v>
      </c>
      <c r="L224" s="66">
        <v>7</v>
      </c>
      <c r="M224" s="67">
        <v>8</v>
      </c>
      <c r="N224" s="67">
        <v>2007</v>
      </c>
      <c r="O224" s="68">
        <f>DATE(Range!$N224,Range!$M224,Range!$L224)</f>
        <v>39301</v>
      </c>
      <c r="P224" s="68">
        <f t="shared" ca="1" si="3"/>
        <v>46071</v>
      </c>
      <c r="Q224" s="67">
        <f ca="1">DATEDIF(Range!$O224,Range!$P224,"Y")</f>
        <v>18</v>
      </c>
      <c r="R224" s="69">
        <v>5688</v>
      </c>
      <c r="S224" s="70">
        <f>Range!$R224*0.1</f>
        <v>568.80000000000007</v>
      </c>
      <c r="T224" s="71">
        <f>Range!$R224*0.03</f>
        <v>170.64</v>
      </c>
      <c r="U224" s="72">
        <f>Range!$R224-Range!$S224+Range!$T224</f>
        <v>5289.84</v>
      </c>
      <c r="V224" s="73" t="str">
        <f>IF(Range!$U224&gt;=6000,"Over","Normal")</f>
        <v>Normal</v>
      </c>
      <c r="W224" s="74">
        <f>VLOOKUP(Range!$U224,$Z$10:$AA$14,2)</f>
        <v>0.05</v>
      </c>
    </row>
    <row r="225" spans="1:23" ht="15.75" customHeight="1">
      <c r="A225" s="75">
        <v>1224</v>
      </c>
      <c r="B225" s="76" t="s">
        <v>512</v>
      </c>
      <c r="C225" s="76" t="s">
        <v>513</v>
      </c>
      <c r="D225" s="77" t="str">
        <f>PROPER(TRIM(Range!$C225&amp;" "&amp;Range!$C225))</f>
        <v>Rashwani Rashwani</v>
      </c>
      <c r="E225" s="76" t="s">
        <v>100</v>
      </c>
      <c r="F225" s="76" t="s">
        <v>782</v>
      </c>
      <c r="G225" s="76" t="s">
        <v>13</v>
      </c>
      <c r="H225" s="78" t="s">
        <v>14</v>
      </c>
      <c r="I225" s="78" t="s">
        <v>9</v>
      </c>
      <c r="J225" s="79" t="s">
        <v>10</v>
      </c>
      <c r="K225" s="76" t="s">
        <v>1013</v>
      </c>
      <c r="L225" s="80">
        <v>2</v>
      </c>
      <c r="M225" s="81">
        <v>9</v>
      </c>
      <c r="N225" s="81">
        <v>2001</v>
      </c>
      <c r="O225" s="82">
        <f>DATE(Range!$N225,Range!$M225,Range!$L225)</f>
        <v>37136</v>
      </c>
      <c r="P225" s="82">
        <f t="shared" ca="1" si="3"/>
        <v>46071</v>
      </c>
      <c r="Q225" s="81">
        <f ca="1">DATEDIF(Range!$O225,Range!$P225,"Y")</f>
        <v>24</v>
      </c>
      <c r="R225" s="83">
        <v>3362</v>
      </c>
      <c r="S225" s="84">
        <f>Range!$R225*0.1</f>
        <v>336.20000000000005</v>
      </c>
      <c r="T225" s="85">
        <f>Range!$R225*0.03</f>
        <v>100.86</v>
      </c>
      <c r="U225" s="86">
        <f>Range!$R225-Range!$S225+Range!$T225</f>
        <v>3126.6600000000003</v>
      </c>
      <c r="V225" s="87" t="str">
        <f>IF(Range!$U225&gt;=6000,"Over","Normal")</f>
        <v>Normal</v>
      </c>
      <c r="W225" s="88">
        <f>VLOOKUP(Range!$U225,$Z$10:$AA$14,2)</f>
        <v>0.05</v>
      </c>
    </row>
    <row r="226" spans="1:23" ht="15.75" customHeight="1">
      <c r="A226" s="61">
        <v>1225</v>
      </c>
      <c r="B226" s="62" t="s">
        <v>377</v>
      </c>
      <c r="C226" s="62" t="s">
        <v>514</v>
      </c>
      <c r="D226" s="63" t="str">
        <f>PROPER(TRIM(Range!$C226&amp;" "&amp;Range!$C226))</f>
        <v>Saeid Saeid</v>
      </c>
      <c r="E226" s="62" t="s">
        <v>99</v>
      </c>
      <c r="F226" s="62" t="s">
        <v>783</v>
      </c>
      <c r="G226" s="62" t="s">
        <v>17</v>
      </c>
      <c r="H226" s="64" t="s">
        <v>11</v>
      </c>
      <c r="I226" s="64" t="s">
        <v>9</v>
      </c>
      <c r="J226" s="65" t="s">
        <v>12</v>
      </c>
      <c r="K226" s="62" t="s">
        <v>1014</v>
      </c>
      <c r="L226" s="66">
        <v>11</v>
      </c>
      <c r="M226" s="67">
        <v>2</v>
      </c>
      <c r="N226" s="67">
        <v>2017</v>
      </c>
      <c r="O226" s="68">
        <f>DATE(Range!$N226,Range!$M226,Range!$L226)</f>
        <v>42777</v>
      </c>
      <c r="P226" s="68">
        <f t="shared" ca="1" si="3"/>
        <v>46071</v>
      </c>
      <c r="Q226" s="67">
        <f ca="1">DATEDIF(Range!$O226,Range!$P226,"Y")</f>
        <v>9</v>
      </c>
      <c r="R226" s="69">
        <v>6043</v>
      </c>
      <c r="S226" s="70">
        <f>Range!$R226*0.1</f>
        <v>604.30000000000007</v>
      </c>
      <c r="T226" s="71">
        <f>Range!$R226*0.03</f>
        <v>181.29</v>
      </c>
      <c r="U226" s="72">
        <f>Range!$R226-Range!$S226+Range!$T226</f>
        <v>5619.99</v>
      </c>
      <c r="V226" s="73" t="str">
        <f>IF(Range!$U226&gt;=6000,"Over","Normal")</f>
        <v>Normal</v>
      </c>
      <c r="W226" s="74">
        <f>VLOOKUP(Range!$U226,$Z$10:$AA$14,2)</f>
        <v>0.05</v>
      </c>
    </row>
    <row r="227" spans="1:23" ht="15.75" customHeight="1">
      <c r="A227" s="75">
        <v>1226</v>
      </c>
      <c r="B227" s="76" t="s">
        <v>102</v>
      </c>
      <c r="C227" s="76" t="s">
        <v>331</v>
      </c>
      <c r="D227" s="77" t="str">
        <f>PROPER(TRIM(Range!$C227&amp;" "&amp;Range!$C227))</f>
        <v>Salih Salih</v>
      </c>
      <c r="E227" s="76" t="s">
        <v>100</v>
      </c>
      <c r="F227" s="76" t="s">
        <v>784</v>
      </c>
      <c r="G227" s="76" t="s">
        <v>17</v>
      </c>
      <c r="H227" s="78" t="s">
        <v>8</v>
      </c>
      <c r="I227" s="78" t="s">
        <v>9</v>
      </c>
      <c r="J227" s="79" t="s">
        <v>12</v>
      </c>
      <c r="K227" s="76" t="s">
        <v>889</v>
      </c>
      <c r="L227" s="80">
        <v>20</v>
      </c>
      <c r="M227" s="81">
        <v>1</v>
      </c>
      <c r="N227" s="81">
        <v>1992</v>
      </c>
      <c r="O227" s="82">
        <f>DATE(Range!$N227,Range!$M227,Range!$L227)</f>
        <v>33623</v>
      </c>
      <c r="P227" s="82">
        <f t="shared" ca="1" si="3"/>
        <v>46071</v>
      </c>
      <c r="Q227" s="81">
        <f ca="1">DATEDIF(Range!$O227,Range!$P227,"Y")</f>
        <v>34</v>
      </c>
      <c r="R227" s="83">
        <v>6260</v>
      </c>
      <c r="S227" s="84">
        <f>Range!$R227*0.1</f>
        <v>626</v>
      </c>
      <c r="T227" s="85">
        <f>Range!$R227*0.03</f>
        <v>187.79999999999998</v>
      </c>
      <c r="U227" s="86">
        <f>Range!$R227-Range!$S227+Range!$T227</f>
        <v>5821.8</v>
      </c>
      <c r="V227" s="87" t="str">
        <f>IF(Range!$U227&gt;=6000,"Over","Normal")</f>
        <v>Normal</v>
      </c>
      <c r="W227" s="88">
        <f>VLOOKUP(Range!$U227,$Z$10:$AA$14,2)</f>
        <v>0.05</v>
      </c>
    </row>
    <row r="228" spans="1:23" ht="15.75" customHeight="1">
      <c r="A228" s="61">
        <v>1227</v>
      </c>
      <c r="B228" s="62" t="s">
        <v>515</v>
      </c>
      <c r="C228" s="62" t="s">
        <v>516</v>
      </c>
      <c r="D228" s="63" t="str">
        <f>PROPER(TRIM(Range!$C228&amp;" "&amp;Range!$C228))</f>
        <v>Rafaea Rafaea</v>
      </c>
      <c r="E228" s="62" t="s">
        <v>100</v>
      </c>
      <c r="F228" s="62" t="s">
        <v>785</v>
      </c>
      <c r="G228" s="62" t="s">
        <v>17</v>
      </c>
      <c r="H228" s="64" t="s">
        <v>8</v>
      </c>
      <c r="I228" s="64" t="s">
        <v>9</v>
      </c>
      <c r="J228" s="65" t="s">
        <v>23</v>
      </c>
      <c r="K228" s="62" t="s">
        <v>1015</v>
      </c>
      <c r="L228" s="66">
        <v>17</v>
      </c>
      <c r="M228" s="67">
        <v>7</v>
      </c>
      <c r="N228" s="67">
        <v>2017</v>
      </c>
      <c r="O228" s="68">
        <f>DATE(Range!$N228,Range!$M228,Range!$L228)</f>
        <v>42933</v>
      </c>
      <c r="P228" s="68">
        <f t="shared" ca="1" si="3"/>
        <v>46071</v>
      </c>
      <c r="Q228" s="67">
        <f ca="1">DATEDIF(Range!$O228,Range!$P228,"Y")</f>
        <v>8</v>
      </c>
      <c r="R228" s="69">
        <v>3754</v>
      </c>
      <c r="S228" s="70">
        <f>Range!$R228*0.1</f>
        <v>375.40000000000003</v>
      </c>
      <c r="T228" s="71">
        <f>Range!$R228*0.03</f>
        <v>112.61999999999999</v>
      </c>
      <c r="U228" s="72">
        <f>Range!$R228-Range!$S228+Range!$T228</f>
        <v>3491.22</v>
      </c>
      <c r="V228" s="73" t="str">
        <f>IF(Range!$U228&gt;=6000,"Over","Normal")</f>
        <v>Normal</v>
      </c>
      <c r="W228" s="74">
        <f>VLOOKUP(Range!$U228,$Z$10:$AA$14,2)</f>
        <v>0.05</v>
      </c>
    </row>
    <row r="229" spans="1:23" ht="15.75" customHeight="1">
      <c r="A229" s="75">
        <v>1228</v>
      </c>
      <c r="B229" s="76" t="s">
        <v>517</v>
      </c>
      <c r="C229" s="76" t="s">
        <v>518</v>
      </c>
      <c r="D229" s="77" t="str">
        <f>PROPER(TRIM(Range!$C229&amp;" "&amp;Range!$C229))</f>
        <v>Alhakim Alhakim</v>
      </c>
      <c r="E229" s="76" t="s">
        <v>99</v>
      </c>
      <c r="F229" s="76" t="s">
        <v>786</v>
      </c>
      <c r="G229" s="76" t="s">
        <v>13</v>
      </c>
      <c r="H229" s="78" t="s">
        <v>14</v>
      </c>
      <c r="I229" s="78" t="s">
        <v>25</v>
      </c>
      <c r="J229" s="79" t="s">
        <v>12</v>
      </c>
      <c r="K229" s="76" t="s">
        <v>1016</v>
      </c>
      <c r="L229" s="80">
        <v>21</v>
      </c>
      <c r="M229" s="81">
        <v>11</v>
      </c>
      <c r="N229" s="81">
        <v>2013</v>
      </c>
      <c r="O229" s="82">
        <f>DATE(Range!$N229,Range!$M229,Range!$L229)</f>
        <v>41599</v>
      </c>
      <c r="P229" s="82">
        <f t="shared" ca="1" si="3"/>
        <v>46071</v>
      </c>
      <c r="Q229" s="81">
        <f ca="1">DATEDIF(Range!$O229,Range!$P229,"Y")</f>
        <v>12</v>
      </c>
      <c r="R229" s="83">
        <v>6579</v>
      </c>
      <c r="S229" s="84">
        <f>Range!$R229*0.1</f>
        <v>657.90000000000009</v>
      </c>
      <c r="T229" s="85">
        <f>Range!$R229*0.03</f>
        <v>197.37</v>
      </c>
      <c r="U229" s="86">
        <f>Range!$R229-Range!$S229+Range!$T229</f>
        <v>6118.47</v>
      </c>
      <c r="V229" s="87" t="str">
        <f>IF(Range!$U229&gt;=6000,"Over","Normal")</f>
        <v>Over</v>
      </c>
      <c r="W229" s="88">
        <f>VLOOKUP(Range!$U229,$Z$10:$AA$14,2)</f>
        <v>0.02</v>
      </c>
    </row>
    <row r="230" spans="1:23" ht="15.75" customHeight="1">
      <c r="A230" s="61">
        <v>1229</v>
      </c>
      <c r="B230" s="62" t="s">
        <v>392</v>
      </c>
      <c r="C230" s="62" t="s">
        <v>519</v>
      </c>
      <c r="D230" s="63" t="str">
        <f>PROPER(TRIM(Range!$C230&amp;" "&amp;Range!$C230))</f>
        <v>Zarzur Zarzur</v>
      </c>
      <c r="E230" s="62" t="s">
        <v>100</v>
      </c>
      <c r="F230" s="62" t="s">
        <v>787</v>
      </c>
      <c r="G230" s="62" t="s">
        <v>17</v>
      </c>
      <c r="H230" s="64" t="s">
        <v>14</v>
      </c>
      <c r="I230" s="64" t="s">
        <v>18</v>
      </c>
      <c r="J230" s="65" t="s">
        <v>12</v>
      </c>
      <c r="K230" s="62" t="s">
        <v>1017</v>
      </c>
      <c r="L230" s="66">
        <v>23</v>
      </c>
      <c r="M230" s="67">
        <v>10</v>
      </c>
      <c r="N230" s="67">
        <v>2012</v>
      </c>
      <c r="O230" s="68">
        <f>DATE(Range!$N230,Range!$M230,Range!$L230)</f>
        <v>41205</v>
      </c>
      <c r="P230" s="68">
        <f t="shared" ca="1" si="3"/>
        <v>46071</v>
      </c>
      <c r="Q230" s="67">
        <f ca="1">DATEDIF(Range!$O230,Range!$P230,"Y")</f>
        <v>13</v>
      </c>
      <c r="R230" s="69">
        <v>5373</v>
      </c>
      <c r="S230" s="70">
        <f>Range!$R230*0.1</f>
        <v>537.30000000000007</v>
      </c>
      <c r="T230" s="71">
        <f>Range!$R230*0.03</f>
        <v>161.19</v>
      </c>
      <c r="U230" s="72">
        <f>Range!$R230-Range!$S230+Range!$T230</f>
        <v>4996.8899999999994</v>
      </c>
      <c r="V230" s="73" t="str">
        <f>IF(Range!$U230&gt;=6000,"Over","Normal")</f>
        <v>Normal</v>
      </c>
      <c r="W230" s="74">
        <f>VLOOKUP(Range!$U230,$Z$10:$AA$14,2)</f>
        <v>0.05</v>
      </c>
    </row>
    <row r="231" spans="1:23" ht="15.75" customHeight="1">
      <c r="A231" s="75">
        <v>1230</v>
      </c>
      <c r="B231" s="76" t="s">
        <v>520</v>
      </c>
      <c r="C231" s="76" t="s">
        <v>521</v>
      </c>
      <c r="D231" s="77" t="str">
        <f>PROPER(TRIM(Range!$C231&amp;" "&amp;Range!$C231))</f>
        <v>Red Red</v>
      </c>
      <c r="E231" s="76" t="s">
        <v>99</v>
      </c>
      <c r="F231" s="76" t="s">
        <v>788</v>
      </c>
      <c r="G231" s="76" t="s">
        <v>13</v>
      </c>
      <c r="H231" s="78" t="s">
        <v>11</v>
      </c>
      <c r="I231" s="78" t="s">
        <v>15</v>
      </c>
      <c r="J231" s="79" t="s">
        <v>10</v>
      </c>
      <c r="K231" s="76" t="s">
        <v>1018</v>
      </c>
      <c r="L231" s="80">
        <v>7</v>
      </c>
      <c r="M231" s="81">
        <v>9</v>
      </c>
      <c r="N231" s="81">
        <v>1995</v>
      </c>
      <c r="O231" s="82">
        <f>DATE(Range!$N231,Range!$M231,Range!$L231)</f>
        <v>34949</v>
      </c>
      <c r="P231" s="82">
        <f t="shared" ca="1" si="3"/>
        <v>46071</v>
      </c>
      <c r="Q231" s="81">
        <f ca="1">DATEDIF(Range!$O231,Range!$P231,"Y")</f>
        <v>30</v>
      </c>
      <c r="R231" s="83">
        <v>1391</v>
      </c>
      <c r="S231" s="84">
        <f>Range!$R231*0.1</f>
        <v>139.1</v>
      </c>
      <c r="T231" s="85">
        <f>Range!$R231*0.03</f>
        <v>41.73</v>
      </c>
      <c r="U231" s="86">
        <f>Range!$R231-Range!$S231+Range!$T231</f>
        <v>1293.6300000000001</v>
      </c>
      <c r="V231" s="87" t="str">
        <f>IF(Range!$U231&gt;=6000,"Over","Normal")</f>
        <v>Normal</v>
      </c>
      <c r="W231" s="88">
        <f>VLOOKUP(Range!$U231,$Z$10:$AA$14,2)</f>
        <v>0.08</v>
      </c>
    </row>
    <row r="232" spans="1:23" ht="15.75" customHeight="1">
      <c r="A232" s="61">
        <v>1231</v>
      </c>
      <c r="B232" s="62" t="s">
        <v>102</v>
      </c>
      <c r="C232" s="62" t="s">
        <v>522</v>
      </c>
      <c r="D232" s="63" t="str">
        <f>PROPER(TRIM(Range!$C232&amp;" "&amp;Range!$C232))</f>
        <v>Ezqul Ezqul</v>
      </c>
      <c r="E232" s="62" t="s">
        <v>100</v>
      </c>
      <c r="F232" s="62" t="s">
        <v>789</v>
      </c>
      <c r="G232" s="62" t="s">
        <v>17</v>
      </c>
      <c r="H232" s="64" t="s">
        <v>11</v>
      </c>
      <c r="I232" s="64" t="s">
        <v>264</v>
      </c>
      <c r="J232" s="65" t="s">
        <v>10</v>
      </c>
      <c r="K232" s="62" t="s">
        <v>1019</v>
      </c>
      <c r="L232" s="66">
        <v>1</v>
      </c>
      <c r="M232" s="67">
        <v>7</v>
      </c>
      <c r="N232" s="67">
        <v>2019</v>
      </c>
      <c r="O232" s="68">
        <f>DATE(Range!$N232,Range!$M232,Range!$L232)</f>
        <v>43647</v>
      </c>
      <c r="P232" s="68">
        <f t="shared" ca="1" si="3"/>
        <v>46071</v>
      </c>
      <c r="Q232" s="67">
        <f ca="1">DATEDIF(Range!$O232,Range!$P232,"Y")</f>
        <v>6</v>
      </c>
      <c r="R232" s="69">
        <v>2528</v>
      </c>
      <c r="S232" s="70">
        <f>Range!$R232*0.1</f>
        <v>252.8</v>
      </c>
      <c r="T232" s="71">
        <f>Range!$R232*0.03</f>
        <v>75.84</v>
      </c>
      <c r="U232" s="72">
        <f>Range!$R232-Range!$S232+Range!$T232</f>
        <v>2351.04</v>
      </c>
      <c r="V232" s="73" t="str">
        <f>IF(Range!$U232&gt;=6000,"Over","Normal")</f>
        <v>Normal</v>
      </c>
      <c r="W232" s="74">
        <f>VLOOKUP(Range!$U232,$Z$10:$AA$14,2)</f>
        <v>0.08</v>
      </c>
    </row>
    <row r="233" spans="1:23" ht="15.75" customHeight="1">
      <c r="A233" s="75">
        <v>1232</v>
      </c>
      <c r="B233" s="76" t="s">
        <v>523</v>
      </c>
      <c r="C233" s="76" t="s">
        <v>524</v>
      </c>
      <c r="D233" s="77" t="str">
        <f>PROPER(TRIM(Range!$C233&amp;" "&amp;Range!$C233))</f>
        <v>Alkmshh Alkmshh</v>
      </c>
      <c r="E233" s="76" t="s">
        <v>100</v>
      </c>
      <c r="F233" s="76" t="s">
        <v>790</v>
      </c>
      <c r="G233" s="76" t="s">
        <v>17</v>
      </c>
      <c r="H233" s="78" t="s">
        <v>8</v>
      </c>
      <c r="I233" s="78" t="s">
        <v>29</v>
      </c>
      <c r="J233" s="79" t="s">
        <v>23</v>
      </c>
      <c r="K233" s="76" t="s">
        <v>1020</v>
      </c>
      <c r="L233" s="80">
        <v>3</v>
      </c>
      <c r="M233" s="81">
        <v>9</v>
      </c>
      <c r="N233" s="81">
        <v>1997</v>
      </c>
      <c r="O233" s="82">
        <f>DATE(Range!$N233,Range!$M233,Range!$L233)</f>
        <v>35676</v>
      </c>
      <c r="P233" s="82">
        <f t="shared" ca="1" si="3"/>
        <v>46071</v>
      </c>
      <c r="Q233" s="81">
        <f ca="1">DATEDIF(Range!$O233,Range!$P233,"Y")</f>
        <v>28</v>
      </c>
      <c r="R233" s="83">
        <v>6040</v>
      </c>
      <c r="S233" s="84">
        <f>Range!$R233*0.1</f>
        <v>604</v>
      </c>
      <c r="T233" s="85">
        <f>Range!$R233*0.03</f>
        <v>181.2</v>
      </c>
      <c r="U233" s="86">
        <f>Range!$R233-Range!$S233+Range!$T233</f>
        <v>5617.2</v>
      </c>
      <c r="V233" s="87" t="str">
        <f>IF(Range!$U233&gt;=6000,"Over","Normal")</f>
        <v>Normal</v>
      </c>
      <c r="W233" s="88">
        <f>VLOOKUP(Range!$U233,$Z$10:$AA$14,2)</f>
        <v>0.05</v>
      </c>
    </row>
    <row r="234" spans="1:23" ht="15.75" customHeight="1">
      <c r="A234" s="61">
        <v>1233</v>
      </c>
      <c r="B234" s="62" t="s">
        <v>525</v>
      </c>
      <c r="C234" s="62" t="s">
        <v>526</v>
      </c>
      <c r="D234" s="63" t="str">
        <f>PROPER(TRIM(Range!$C234&amp;" "&amp;Range!$C234))</f>
        <v>Rihan Rihan</v>
      </c>
      <c r="E234" s="62" t="s">
        <v>99</v>
      </c>
      <c r="F234" s="62" t="s">
        <v>791</v>
      </c>
      <c r="G234" s="62" t="s">
        <v>1100</v>
      </c>
      <c r="H234" s="64" t="s">
        <v>11</v>
      </c>
      <c r="I234" s="64" t="s">
        <v>18</v>
      </c>
      <c r="J234" s="65" t="s">
        <v>12</v>
      </c>
      <c r="K234" s="62" t="s">
        <v>1021</v>
      </c>
      <c r="L234" s="66">
        <v>10</v>
      </c>
      <c r="M234" s="67">
        <v>10</v>
      </c>
      <c r="N234" s="67">
        <v>1990</v>
      </c>
      <c r="O234" s="68">
        <f>DATE(Range!$N234,Range!$M234,Range!$L234)</f>
        <v>33156</v>
      </c>
      <c r="P234" s="68">
        <f t="shared" ca="1" si="3"/>
        <v>46071</v>
      </c>
      <c r="Q234" s="67">
        <f ca="1">DATEDIF(Range!$O234,Range!$P234,"Y")</f>
        <v>35</v>
      </c>
      <c r="R234" s="69">
        <v>3842</v>
      </c>
      <c r="S234" s="70">
        <f>Range!$R234*0.1</f>
        <v>384.20000000000005</v>
      </c>
      <c r="T234" s="71">
        <f>Range!$R234*0.03</f>
        <v>115.25999999999999</v>
      </c>
      <c r="U234" s="72">
        <f>Range!$R234-Range!$S234+Range!$T234</f>
        <v>3573.0600000000004</v>
      </c>
      <c r="V234" s="73" t="str">
        <f>IF(Range!$U234&gt;=6000,"Over","Normal")</f>
        <v>Normal</v>
      </c>
      <c r="W234" s="74">
        <f>VLOOKUP(Range!$U234,$Z$10:$AA$14,2)</f>
        <v>0.05</v>
      </c>
    </row>
    <row r="235" spans="1:23" ht="15.75" customHeight="1">
      <c r="A235" s="75">
        <v>1234</v>
      </c>
      <c r="B235" s="76" t="s">
        <v>102</v>
      </c>
      <c r="C235" s="76" t="s">
        <v>527</v>
      </c>
      <c r="D235" s="77" t="str">
        <f>PROPER(TRIM(Range!$C235&amp;" "&amp;Range!$C235))</f>
        <v>Alshalaq Alshalaq</v>
      </c>
      <c r="E235" s="76" t="s">
        <v>100</v>
      </c>
      <c r="F235" s="76" t="s">
        <v>792</v>
      </c>
      <c r="G235" s="76" t="s">
        <v>17</v>
      </c>
      <c r="H235" s="78" t="s">
        <v>8</v>
      </c>
      <c r="I235" s="78" t="s">
        <v>264</v>
      </c>
      <c r="J235" s="79" t="s">
        <v>10</v>
      </c>
      <c r="K235" s="76" t="s">
        <v>1022</v>
      </c>
      <c r="L235" s="80">
        <v>9</v>
      </c>
      <c r="M235" s="81">
        <v>1</v>
      </c>
      <c r="N235" s="81">
        <v>2010</v>
      </c>
      <c r="O235" s="82">
        <f>DATE(Range!$N235,Range!$M235,Range!$L235)</f>
        <v>40187</v>
      </c>
      <c r="P235" s="82">
        <f t="shared" ca="1" si="3"/>
        <v>46071</v>
      </c>
      <c r="Q235" s="81">
        <f ca="1">DATEDIF(Range!$O235,Range!$P235,"Y")</f>
        <v>16</v>
      </c>
      <c r="R235" s="83">
        <v>1542</v>
      </c>
      <c r="S235" s="84">
        <f>Range!$R235*0.1</f>
        <v>154.20000000000002</v>
      </c>
      <c r="T235" s="85">
        <f>Range!$R235*0.03</f>
        <v>46.26</v>
      </c>
      <c r="U235" s="86">
        <f>Range!$R235-Range!$S235+Range!$T235</f>
        <v>1434.06</v>
      </c>
      <c r="V235" s="87" t="str">
        <f>IF(Range!$U235&gt;=6000,"Over","Normal")</f>
        <v>Normal</v>
      </c>
      <c r="W235" s="88">
        <f>VLOOKUP(Range!$U235,$Z$10:$AA$14,2)</f>
        <v>0.08</v>
      </c>
    </row>
    <row r="236" spans="1:23" ht="15.75" customHeight="1">
      <c r="A236" s="61">
        <v>1235</v>
      </c>
      <c r="B236" s="62" t="s">
        <v>528</v>
      </c>
      <c r="C236" s="62" t="s">
        <v>529</v>
      </c>
      <c r="D236" s="63" t="str">
        <f>PROPER(TRIM(Range!$C236&amp;" "&amp;Range!$C236))</f>
        <v>Tyru Tyru</v>
      </c>
      <c r="E236" s="62" t="s">
        <v>99</v>
      </c>
      <c r="F236" s="62" t="s">
        <v>793</v>
      </c>
      <c r="G236" s="62" t="s">
        <v>17</v>
      </c>
      <c r="H236" s="64" t="s">
        <v>8</v>
      </c>
      <c r="I236" s="64" t="s">
        <v>9</v>
      </c>
      <c r="J236" s="65" t="s">
        <v>20</v>
      </c>
      <c r="K236" s="62" t="s">
        <v>1023</v>
      </c>
      <c r="L236" s="66">
        <v>15</v>
      </c>
      <c r="M236" s="67">
        <v>2</v>
      </c>
      <c r="N236" s="67">
        <v>2012</v>
      </c>
      <c r="O236" s="68">
        <f>DATE(Range!$N236,Range!$M236,Range!$L236)</f>
        <v>40954</v>
      </c>
      <c r="P236" s="68">
        <f t="shared" ca="1" si="3"/>
        <v>46071</v>
      </c>
      <c r="Q236" s="67">
        <f ca="1">DATEDIF(Range!$O236,Range!$P236,"Y")</f>
        <v>14</v>
      </c>
      <c r="R236" s="69">
        <v>3134</v>
      </c>
      <c r="S236" s="70">
        <f>Range!$R236*0.1</f>
        <v>313.40000000000003</v>
      </c>
      <c r="T236" s="71">
        <f>Range!$R236*0.03</f>
        <v>94.02</v>
      </c>
      <c r="U236" s="72">
        <f>Range!$R236-Range!$S236+Range!$T236</f>
        <v>2914.62</v>
      </c>
      <c r="V236" s="73" t="str">
        <f>IF(Range!$U236&gt;=6000,"Over","Normal")</f>
        <v>Normal</v>
      </c>
      <c r="W236" s="74">
        <f>VLOOKUP(Range!$U236,$Z$10:$AA$14,2)</f>
        <v>0.08</v>
      </c>
    </row>
    <row r="237" spans="1:23" ht="15.75" customHeight="1">
      <c r="A237" s="75">
        <v>1236</v>
      </c>
      <c r="B237" s="76" t="s">
        <v>423</v>
      </c>
      <c r="C237" s="76" t="s">
        <v>530</v>
      </c>
      <c r="D237" s="77" t="str">
        <f>PROPER(TRIM(Range!$C237&amp;" "&amp;Range!$C237))</f>
        <v>Abuhamd Abuhamd</v>
      </c>
      <c r="E237" s="76" t="s">
        <v>99</v>
      </c>
      <c r="F237" s="76" t="s">
        <v>794</v>
      </c>
      <c r="G237" s="76" t="s">
        <v>17</v>
      </c>
      <c r="H237" s="78" t="s">
        <v>8</v>
      </c>
      <c r="I237" s="78" t="s">
        <v>25</v>
      </c>
      <c r="J237" s="79" t="s">
        <v>12</v>
      </c>
      <c r="K237" s="76" t="s">
        <v>1024</v>
      </c>
      <c r="L237" s="80">
        <v>11</v>
      </c>
      <c r="M237" s="81">
        <v>6</v>
      </c>
      <c r="N237" s="81">
        <v>2012</v>
      </c>
      <c r="O237" s="82">
        <f>DATE(Range!$N237,Range!$M237,Range!$L237)</f>
        <v>41071</v>
      </c>
      <c r="P237" s="82">
        <f t="shared" ca="1" si="3"/>
        <v>46071</v>
      </c>
      <c r="Q237" s="81">
        <f ca="1">DATEDIF(Range!$O237,Range!$P237,"Y")</f>
        <v>13</v>
      </c>
      <c r="R237" s="83">
        <v>4921</v>
      </c>
      <c r="S237" s="84">
        <f>Range!$R237*0.1</f>
        <v>492.1</v>
      </c>
      <c r="T237" s="85">
        <f>Range!$R237*0.03</f>
        <v>147.63</v>
      </c>
      <c r="U237" s="86">
        <f>Range!$R237-Range!$S237+Range!$T237</f>
        <v>4576.53</v>
      </c>
      <c r="V237" s="87" t="str">
        <f>IF(Range!$U237&gt;=6000,"Over","Normal")</f>
        <v>Normal</v>
      </c>
      <c r="W237" s="88">
        <f>VLOOKUP(Range!$U237,$Z$10:$AA$14,2)</f>
        <v>0.05</v>
      </c>
    </row>
    <row r="238" spans="1:23" ht="15.75" customHeight="1">
      <c r="A238" s="61">
        <v>1237</v>
      </c>
      <c r="B238" s="62" t="s">
        <v>531</v>
      </c>
      <c r="C238" s="62" t="s">
        <v>532</v>
      </c>
      <c r="D238" s="63" t="str">
        <f>PROPER(TRIM(Range!$C238&amp;" "&amp;Range!$C238))</f>
        <v>Sharina Sharina</v>
      </c>
      <c r="E238" s="62" t="s">
        <v>100</v>
      </c>
      <c r="F238" s="62" t="s">
        <v>795</v>
      </c>
      <c r="G238" s="62" t="s">
        <v>17</v>
      </c>
      <c r="H238" s="64" t="s">
        <v>8</v>
      </c>
      <c r="I238" s="64" t="s">
        <v>264</v>
      </c>
      <c r="J238" s="65" t="s">
        <v>10</v>
      </c>
      <c r="K238" s="62" t="s">
        <v>1025</v>
      </c>
      <c r="L238" s="66">
        <v>22</v>
      </c>
      <c r="M238" s="67">
        <v>4</v>
      </c>
      <c r="N238" s="67">
        <v>2017</v>
      </c>
      <c r="O238" s="68">
        <f>DATE(Range!$N238,Range!$M238,Range!$L238)</f>
        <v>42847</v>
      </c>
      <c r="P238" s="68">
        <f t="shared" ca="1" si="3"/>
        <v>46071</v>
      </c>
      <c r="Q238" s="67">
        <f ca="1">DATEDIF(Range!$O238,Range!$P238,"Y")</f>
        <v>8</v>
      </c>
      <c r="R238" s="69">
        <v>1948</v>
      </c>
      <c r="S238" s="70">
        <f>Range!$R238*0.1</f>
        <v>194.8</v>
      </c>
      <c r="T238" s="71">
        <f>Range!$R238*0.03</f>
        <v>58.44</v>
      </c>
      <c r="U238" s="72">
        <f>Range!$R238-Range!$S238+Range!$T238</f>
        <v>1811.64</v>
      </c>
      <c r="V238" s="73" t="str">
        <f>IF(Range!$U238&gt;=6000,"Over","Normal")</f>
        <v>Normal</v>
      </c>
      <c r="W238" s="74">
        <f>VLOOKUP(Range!$U238,$Z$10:$AA$14,2)</f>
        <v>0.08</v>
      </c>
    </row>
    <row r="239" spans="1:23" ht="15.75" customHeight="1">
      <c r="A239" s="75">
        <v>1238</v>
      </c>
      <c r="B239" s="76" t="s">
        <v>533</v>
      </c>
      <c r="C239" s="76" t="s">
        <v>534</v>
      </c>
      <c r="D239" s="77" t="str">
        <f>PROPER(TRIM(Range!$C239&amp;" "&amp;Range!$C239))</f>
        <v>Alsulayman Alsulayman</v>
      </c>
      <c r="E239" s="76" t="s">
        <v>99</v>
      </c>
      <c r="F239" s="76" t="s">
        <v>796</v>
      </c>
      <c r="G239" s="76" t="s">
        <v>19</v>
      </c>
      <c r="H239" s="78" t="s">
        <v>11</v>
      </c>
      <c r="I239" s="78" t="s">
        <v>25</v>
      </c>
      <c r="J239" s="79" t="s">
        <v>10</v>
      </c>
      <c r="K239" s="76" t="s">
        <v>1026</v>
      </c>
      <c r="L239" s="80">
        <v>28</v>
      </c>
      <c r="M239" s="81">
        <v>2</v>
      </c>
      <c r="N239" s="81">
        <v>1990</v>
      </c>
      <c r="O239" s="82">
        <f>DATE(Range!$N239,Range!$M239,Range!$L239)</f>
        <v>32932</v>
      </c>
      <c r="P239" s="82">
        <f t="shared" ca="1" si="3"/>
        <v>46071</v>
      </c>
      <c r="Q239" s="81">
        <f ca="1">DATEDIF(Range!$O239,Range!$P239,"Y")</f>
        <v>35</v>
      </c>
      <c r="R239" s="83">
        <v>3294</v>
      </c>
      <c r="S239" s="84">
        <f>Range!$R239*0.1</f>
        <v>329.40000000000003</v>
      </c>
      <c r="T239" s="85">
        <f>Range!$R239*0.03</f>
        <v>98.82</v>
      </c>
      <c r="U239" s="86">
        <f>Range!$R239-Range!$S239+Range!$T239</f>
        <v>3063.42</v>
      </c>
      <c r="V239" s="87" t="str">
        <f>IF(Range!$U239&gt;=6000,"Over","Normal")</f>
        <v>Normal</v>
      </c>
      <c r="W239" s="88">
        <f>VLOOKUP(Range!$U239,$Z$10:$AA$14,2)</f>
        <v>0.05</v>
      </c>
    </row>
    <row r="240" spans="1:23" ht="15.75" customHeight="1">
      <c r="A240" s="61">
        <v>1239</v>
      </c>
      <c r="B240" s="62" t="s">
        <v>535</v>
      </c>
      <c r="C240" s="62" t="s">
        <v>536</v>
      </c>
      <c r="D240" s="63" t="str">
        <f>PROPER(TRIM(Range!$C240&amp;" "&amp;Range!$C240))</f>
        <v>Shiah Shiah</v>
      </c>
      <c r="E240" s="62" t="s">
        <v>99</v>
      </c>
      <c r="F240" s="62" t="s">
        <v>797</v>
      </c>
      <c r="G240" s="62" t="s">
        <v>1100</v>
      </c>
      <c r="H240" s="64" t="s">
        <v>8</v>
      </c>
      <c r="I240" s="64" t="s">
        <v>264</v>
      </c>
      <c r="J240" s="65" t="s">
        <v>23</v>
      </c>
      <c r="K240" s="62" t="s">
        <v>1027</v>
      </c>
      <c r="L240" s="66">
        <v>11</v>
      </c>
      <c r="M240" s="67">
        <v>6</v>
      </c>
      <c r="N240" s="67">
        <v>2002</v>
      </c>
      <c r="O240" s="68">
        <f>DATE(Range!$N240,Range!$M240,Range!$L240)</f>
        <v>37418</v>
      </c>
      <c r="P240" s="68">
        <f t="shared" ca="1" si="3"/>
        <v>46071</v>
      </c>
      <c r="Q240" s="67">
        <f ca="1">DATEDIF(Range!$O240,Range!$P240,"Y")</f>
        <v>23</v>
      </c>
      <c r="R240" s="69">
        <v>7123</v>
      </c>
      <c r="S240" s="70">
        <f>Range!$R240*0.1</f>
        <v>712.30000000000007</v>
      </c>
      <c r="T240" s="71">
        <f>Range!$R240*0.03</f>
        <v>213.69</v>
      </c>
      <c r="U240" s="72">
        <f>Range!$R240-Range!$S240+Range!$T240</f>
        <v>6624.3899999999994</v>
      </c>
      <c r="V240" s="73" t="str">
        <f>IF(Range!$U240&gt;=6000,"Over","Normal")</f>
        <v>Over</v>
      </c>
      <c r="W240" s="74">
        <f>VLOOKUP(Range!$U240,$Z$10:$AA$14,2)</f>
        <v>0.02</v>
      </c>
    </row>
    <row r="241" spans="1:23" ht="15.75" customHeight="1">
      <c r="A241" s="75">
        <v>1240</v>
      </c>
      <c r="B241" s="76" t="s">
        <v>102</v>
      </c>
      <c r="C241" s="76" t="s">
        <v>537</v>
      </c>
      <c r="D241" s="77" t="str">
        <f>PROPER(TRIM(Range!$C241&amp;" "&amp;Range!$C241))</f>
        <v>Hamuwd Hamuwd</v>
      </c>
      <c r="E241" s="76" t="s">
        <v>100</v>
      </c>
      <c r="F241" s="76" t="s">
        <v>798</v>
      </c>
      <c r="G241" s="76" t="s">
        <v>13</v>
      </c>
      <c r="H241" s="78" t="s">
        <v>11</v>
      </c>
      <c r="I241" s="78" t="s">
        <v>25</v>
      </c>
      <c r="J241" s="79" t="s">
        <v>23</v>
      </c>
      <c r="K241" s="76" t="s">
        <v>1028</v>
      </c>
      <c r="L241" s="80">
        <v>22</v>
      </c>
      <c r="M241" s="81">
        <v>5</v>
      </c>
      <c r="N241" s="81">
        <v>2014</v>
      </c>
      <c r="O241" s="82">
        <f>DATE(Range!$N241,Range!$M241,Range!$L241)</f>
        <v>41781</v>
      </c>
      <c r="P241" s="82">
        <f t="shared" ca="1" si="3"/>
        <v>46071</v>
      </c>
      <c r="Q241" s="81">
        <f ca="1">DATEDIF(Range!$O241,Range!$P241,"Y")</f>
        <v>11</v>
      </c>
      <c r="R241" s="83">
        <v>7236</v>
      </c>
      <c r="S241" s="84">
        <f>Range!$R241*0.1</f>
        <v>723.6</v>
      </c>
      <c r="T241" s="85">
        <f>Range!$R241*0.03</f>
        <v>217.07999999999998</v>
      </c>
      <c r="U241" s="86">
        <f>Range!$R241-Range!$S241+Range!$T241</f>
        <v>6729.48</v>
      </c>
      <c r="V241" s="87" t="str">
        <f>IF(Range!$U241&gt;=6000,"Over","Normal")</f>
        <v>Over</v>
      </c>
      <c r="W241" s="88">
        <f>VLOOKUP(Range!$U241,$Z$10:$AA$14,2)</f>
        <v>0.02</v>
      </c>
    </row>
    <row r="242" spans="1:23" ht="15.75" customHeight="1">
      <c r="A242" s="61">
        <v>1241</v>
      </c>
      <c r="B242" s="62" t="s">
        <v>538</v>
      </c>
      <c r="C242" s="62" t="s">
        <v>539</v>
      </c>
      <c r="D242" s="63" t="str">
        <f>PROPER(TRIM(Range!$C242&amp;" "&amp;Range!$C242))</f>
        <v>Hazruma Hazruma</v>
      </c>
      <c r="E242" s="62" t="s">
        <v>100</v>
      </c>
      <c r="F242" s="62" t="s">
        <v>799</v>
      </c>
      <c r="G242" s="62" t="s">
        <v>1100</v>
      </c>
      <c r="H242" s="64" t="s">
        <v>11</v>
      </c>
      <c r="I242" s="64" t="s">
        <v>25</v>
      </c>
      <c r="J242" s="65" t="s">
        <v>20</v>
      </c>
      <c r="K242" s="62" t="s">
        <v>1029</v>
      </c>
      <c r="L242" s="66">
        <v>10</v>
      </c>
      <c r="M242" s="67">
        <v>12</v>
      </c>
      <c r="N242" s="67">
        <v>1991</v>
      </c>
      <c r="O242" s="68">
        <f>DATE(Range!$N242,Range!$M242,Range!$L242)</f>
        <v>33582</v>
      </c>
      <c r="P242" s="68">
        <f t="shared" ca="1" si="3"/>
        <v>46071</v>
      </c>
      <c r="Q242" s="67">
        <f ca="1">DATEDIF(Range!$O242,Range!$P242,"Y")</f>
        <v>34</v>
      </c>
      <c r="R242" s="69">
        <v>6843</v>
      </c>
      <c r="S242" s="70">
        <f>Range!$R242*0.1</f>
        <v>684.30000000000007</v>
      </c>
      <c r="T242" s="71">
        <f>Range!$R242*0.03</f>
        <v>205.29</v>
      </c>
      <c r="U242" s="72">
        <f>Range!$R242-Range!$S242+Range!$T242</f>
        <v>6363.99</v>
      </c>
      <c r="V242" s="73" t="str">
        <f>IF(Range!$U242&gt;=6000,"Over","Normal")</f>
        <v>Over</v>
      </c>
      <c r="W242" s="74">
        <f>VLOOKUP(Range!$U242,$Z$10:$AA$14,2)</f>
        <v>0.02</v>
      </c>
    </row>
    <row r="243" spans="1:23" ht="15.75" customHeight="1">
      <c r="A243" s="75">
        <v>1242</v>
      </c>
      <c r="B243" s="76" t="s">
        <v>126</v>
      </c>
      <c r="C243" s="76" t="s">
        <v>540</v>
      </c>
      <c r="D243" s="77" t="str">
        <f>PROPER(TRIM(Range!$C243&amp;" "&amp;Range!$C243))</f>
        <v>Alhaj Ali Alhaj Ali</v>
      </c>
      <c r="E243" s="76" t="s">
        <v>100</v>
      </c>
      <c r="F243" s="76" t="s">
        <v>800</v>
      </c>
      <c r="G243" s="76" t="s">
        <v>1100</v>
      </c>
      <c r="H243" s="78" t="s">
        <v>8</v>
      </c>
      <c r="I243" s="78" t="s">
        <v>25</v>
      </c>
      <c r="J243" s="79" t="s">
        <v>10</v>
      </c>
      <c r="K243" s="76" t="s">
        <v>1030</v>
      </c>
      <c r="L243" s="80">
        <v>15</v>
      </c>
      <c r="M243" s="81">
        <v>9</v>
      </c>
      <c r="N243" s="81">
        <v>2022</v>
      </c>
      <c r="O243" s="82">
        <f>DATE(Range!$N243,Range!$M243,Range!$L243)</f>
        <v>44819</v>
      </c>
      <c r="P243" s="82">
        <f t="shared" ca="1" si="3"/>
        <v>46071</v>
      </c>
      <c r="Q243" s="81">
        <f ca="1">DATEDIF(Range!$O243,Range!$P243,"Y")</f>
        <v>3</v>
      </c>
      <c r="R243" s="83">
        <v>1070</v>
      </c>
      <c r="S243" s="84">
        <f>Range!$R243*0.1</f>
        <v>107</v>
      </c>
      <c r="T243" s="85">
        <f>Range!$R243*0.03</f>
        <v>32.1</v>
      </c>
      <c r="U243" s="86">
        <f>Range!$R243-Range!$S243+Range!$T243</f>
        <v>995.1</v>
      </c>
      <c r="V243" s="87" t="str">
        <f>IF(Range!$U243&gt;=6000,"Over","Normal")</f>
        <v>Normal</v>
      </c>
      <c r="W243" s="88">
        <f>VLOOKUP(Range!$U243,$Z$10:$AA$14,2)</f>
        <v>0.1</v>
      </c>
    </row>
    <row r="244" spans="1:23" ht="15.75" customHeight="1">
      <c r="A244" s="61">
        <v>1243</v>
      </c>
      <c r="B244" s="62" t="s">
        <v>179</v>
      </c>
      <c r="C244" s="62" t="s">
        <v>488</v>
      </c>
      <c r="D244" s="63" t="str">
        <f>PROPER(TRIM(Range!$C244&amp;" "&amp;Range!$C244))</f>
        <v>Altibae Altibae</v>
      </c>
      <c r="E244" s="62" t="s">
        <v>100</v>
      </c>
      <c r="F244" s="62" t="s">
        <v>801</v>
      </c>
      <c r="G244" s="62" t="s">
        <v>13</v>
      </c>
      <c r="H244" s="64" t="s">
        <v>8</v>
      </c>
      <c r="I244" s="64" t="s">
        <v>25</v>
      </c>
      <c r="J244" s="65" t="s">
        <v>12</v>
      </c>
      <c r="K244" s="62" t="s">
        <v>992</v>
      </c>
      <c r="L244" s="66">
        <v>18</v>
      </c>
      <c r="M244" s="67">
        <v>12</v>
      </c>
      <c r="N244" s="67">
        <v>2017</v>
      </c>
      <c r="O244" s="68">
        <f>DATE(Range!$N244,Range!$M244,Range!$L244)</f>
        <v>43087</v>
      </c>
      <c r="P244" s="68">
        <f t="shared" ca="1" si="3"/>
        <v>46071</v>
      </c>
      <c r="Q244" s="67">
        <f ca="1">DATEDIF(Range!$O244,Range!$P244,"Y")</f>
        <v>8</v>
      </c>
      <c r="R244" s="69">
        <v>1493</v>
      </c>
      <c r="S244" s="70">
        <f>Range!$R244*0.1</f>
        <v>149.30000000000001</v>
      </c>
      <c r="T244" s="71">
        <f>Range!$R244*0.03</f>
        <v>44.79</v>
      </c>
      <c r="U244" s="72">
        <f>Range!$R244-Range!$S244+Range!$T244</f>
        <v>1388.49</v>
      </c>
      <c r="V244" s="73" t="str">
        <f>IF(Range!$U244&gt;=6000,"Over","Normal")</f>
        <v>Normal</v>
      </c>
      <c r="W244" s="74">
        <f>VLOOKUP(Range!$U244,$Z$10:$AA$14,2)</f>
        <v>0.08</v>
      </c>
    </row>
    <row r="245" spans="1:23" ht="15.75" customHeight="1">
      <c r="A245" s="75">
        <v>1244</v>
      </c>
      <c r="B245" s="76" t="s">
        <v>541</v>
      </c>
      <c r="C245" s="76" t="s">
        <v>542</v>
      </c>
      <c r="D245" s="77" t="str">
        <f>PROPER(TRIM(Range!$C245&amp;" "&amp;Range!$C245))</f>
        <v>Aldubus Aldubus</v>
      </c>
      <c r="E245" s="76" t="s">
        <v>100</v>
      </c>
      <c r="F245" s="76" t="s">
        <v>802</v>
      </c>
      <c r="G245" s="76" t="s">
        <v>19</v>
      </c>
      <c r="H245" s="78" t="s">
        <v>11</v>
      </c>
      <c r="I245" s="78" t="s">
        <v>25</v>
      </c>
      <c r="J245" s="79" t="s">
        <v>23</v>
      </c>
      <c r="K245" s="76" t="s">
        <v>1031</v>
      </c>
      <c r="L245" s="80">
        <v>21</v>
      </c>
      <c r="M245" s="81">
        <v>7</v>
      </c>
      <c r="N245" s="81">
        <v>2000</v>
      </c>
      <c r="O245" s="82">
        <f>DATE(Range!$N245,Range!$M245,Range!$L245)</f>
        <v>36728</v>
      </c>
      <c r="P245" s="82">
        <f t="shared" ca="1" si="3"/>
        <v>46071</v>
      </c>
      <c r="Q245" s="81">
        <f ca="1">DATEDIF(Range!$O245,Range!$P245,"Y")</f>
        <v>25</v>
      </c>
      <c r="R245" s="83">
        <v>5857</v>
      </c>
      <c r="S245" s="84">
        <f>Range!$R245*0.1</f>
        <v>585.70000000000005</v>
      </c>
      <c r="T245" s="85">
        <f>Range!$R245*0.03</f>
        <v>175.70999999999998</v>
      </c>
      <c r="U245" s="86">
        <f>Range!$R245-Range!$S245+Range!$T245</f>
        <v>5447.01</v>
      </c>
      <c r="V245" s="87" t="str">
        <f>IF(Range!$U245&gt;=6000,"Over","Normal")</f>
        <v>Normal</v>
      </c>
      <c r="W245" s="88">
        <f>VLOOKUP(Range!$U245,$Z$10:$AA$14,2)</f>
        <v>0.05</v>
      </c>
    </row>
    <row r="246" spans="1:23" ht="15.75" customHeight="1">
      <c r="A246" s="61">
        <v>1245</v>
      </c>
      <c r="B246" s="62" t="s">
        <v>474</v>
      </c>
      <c r="C246" s="62" t="s">
        <v>543</v>
      </c>
      <c r="D246" s="63" t="str">
        <f>PROPER(TRIM(Range!$C246&amp;" "&amp;Range!$C246))</f>
        <v>Alhijar Alhijar</v>
      </c>
      <c r="E246" s="62" t="s">
        <v>100</v>
      </c>
      <c r="F246" s="62" t="s">
        <v>803</v>
      </c>
      <c r="G246" s="62" t="s">
        <v>19</v>
      </c>
      <c r="H246" s="64" t="s">
        <v>8</v>
      </c>
      <c r="I246" s="64" t="s">
        <v>264</v>
      </c>
      <c r="J246" s="65" t="s">
        <v>20</v>
      </c>
      <c r="K246" s="62" t="s">
        <v>1032</v>
      </c>
      <c r="L246" s="66">
        <v>3</v>
      </c>
      <c r="M246" s="67">
        <v>12</v>
      </c>
      <c r="N246" s="67">
        <v>2002</v>
      </c>
      <c r="O246" s="68">
        <f>DATE(Range!$N246,Range!$M246,Range!$L246)</f>
        <v>37593</v>
      </c>
      <c r="P246" s="68">
        <f t="shared" ca="1" si="3"/>
        <v>46071</v>
      </c>
      <c r="Q246" s="67">
        <f ca="1">DATEDIF(Range!$O246,Range!$P246,"Y")</f>
        <v>23</v>
      </c>
      <c r="R246" s="69">
        <v>5278</v>
      </c>
      <c r="S246" s="70">
        <f>Range!$R246*0.1</f>
        <v>527.80000000000007</v>
      </c>
      <c r="T246" s="71">
        <f>Range!$R246*0.03</f>
        <v>158.34</v>
      </c>
      <c r="U246" s="72">
        <f>Range!$R246-Range!$S246+Range!$T246</f>
        <v>4908.54</v>
      </c>
      <c r="V246" s="73" t="str">
        <f>IF(Range!$U246&gt;=6000,"Over","Normal")</f>
        <v>Normal</v>
      </c>
      <c r="W246" s="74">
        <f>VLOOKUP(Range!$U246,$Z$10:$AA$14,2)</f>
        <v>0.05</v>
      </c>
    </row>
    <row r="247" spans="1:23" ht="15.75" customHeight="1">
      <c r="A247" s="75">
        <v>1246</v>
      </c>
      <c r="B247" s="76" t="s">
        <v>544</v>
      </c>
      <c r="C247" s="76" t="s">
        <v>545</v>
      </c>
      <c r="D247" s="77" t="str">
        <f>PROPER(TRIM(Range!$C247&amp;" "&amp;Range!$C247))</f>
        <v>Alkhayran Alkhayran</v>
      </c>
      <c r="E247" s="76" t="s">
        <v>100</v>
      </c>
      <c r="F247" s="76" t="s">
        <v>804</v>
      </c>
      <c r="G247" s="76" t="s">
        <v>1100</v>
      </c>
      <c r="H247" s="78" t="s">
        <v>11</v>
      </c>
      <c r="I247" s="78" t="s">
        <v>26</v>
      </c>
      <c r="J247" s="79" t="s">
        <v>12</v>
      </c>
      <c r="K247" s="76" t="s">
        <v>1033</v>
      </c>
      <c r="L247" s="80">
        <v>14</v>
      </c>
      <c r="M247" s="81">
        <v>6</v>
      </c>
      <c r="N247" s="81">
        <v>1994</v>
      </c>
      <c r="O247" s="82">
        <f>DATE(Range!$N247,Range!$M247,Range!$L247)</f>
        <v>34499</v>
      </c>
      <c r="P247" s="82">
        <f t="shared" ca="1" si="3"/>
        <v>46071</v>
      </c>
      <c r="Q247" s="81">
        <f ca="1">DATEDIF(Range!$O247,Range!$P247,"Y")</f>
        <v>31</v>
      </c>
      <c r="R247" s="83">
        <v>5710</v>
      </c>
      <c r="S247" s="84">
        <f>Range!$R247*0.1</f>
        <v>571</v>
      </c>
      <c r="T247" s="85">
        <f>Range!$R247*0.03</f>
        <v>171.29999999999998</v>
      </c>
      <c r="U247" s="86">
        <f>Range!$R247-Range!$S247+Range!$T247</f>
        <v>5310.3</v>
      </c>
      <c r="V247" s="87" t="str">
        <f>IF(Range!$U247&gt;=6000,"Over","Normal")</f>
        <v>Normal</v>
      </c>
      <c r="W247" s="88">
        <f>VLOOKUP(Range!$U247,$Z$10:$AA$14,2)</f>
        <v>0.05</v>
      </c>
    </row>
    <row r="248" spans="1:23" ht="15.75" customHeight="1">
      <c r="A248" s="61">
        <v>1247</v>
      </c>
      <c r="B248" s="62" t="s">
        <v>546</v>
      </c>
      <c r="C248" s="62" t="s">
        <v>547</v>
      </c>
      <c r="D248" s="63" t="str">
        <f>PROPER(TRIM(Range!$C248&amp;" "&amp;Range!$C248))</f>
        <v>Alddahir Alddahir</v>
      </c>
      <c r="E248" s="62" t="s">
        <v>99</v>
      </c>
      <c r="F248" s="62" t="s">
        <v>805</v>
      </c>
      <c r="G248" s="62" t="s">
        <v>13</v>
      </c>
      <c r="H248" s="64" t="s">
        <v>8</v>
      </c>
      <c r="I248" s="64" t="s">
        <v>15</v>
      </c>
      <c r="J248" s="65" t="s">
        <v>12</v>
      </c>
      <c r="K248" s="62" t="s">
        <v>1034</v>
      </c>
      <c r="L248" s="66">
        <v>25</v>
      </c>
      <c r="M248" s="67">
        <v>7</v>
      </c>
      <c r="N248" s="67">
        <v>2022</v>
      </c>
      <c r="O248" s="68">
        <f>DATE(Range!$N248,Range!$M248,Range!$L248)</f>
        <v>44767</v>
      </c>
      <c r="P248" s="68">
        <f t="shared" ca="1" si="3"/>
        <v>46071</v>
      </c>
      <c r="Q248" s="67">
        <f ca="1">DATEDIF(Range!$O248,Range!$P248,"Y")</f>
        <v>3</v>
      </c>
      <c r="R248" s="69">
        <v>6145</v>
      </c>
      <c r="S248" s="70">
        <f>Range!$R248*0.1</f>
        <v>614.5</v>
      </c>
      <c r="T248" s="71">
        <f>Range!$R248*0.03</f>
        <v>184.35</v>
      </c>
      <c r="U248" s="72">
        <f>Range!$R248-Range!$S248+Range!$T248</f>
        <v>5714.85</v>
      </c>
      <c r="V248" s="73" t="str">
        <f>IF(Range!$U248&gt;=6000,"Over","Normal")</f>
        <v>Normal</v>
      </c>
      <c r="W248" s="74">
        <f>VLOOKUP(Range!$U248,$Z$10:$AA$14,2)</f>
        <v>0.05</v>
      </c>
    </row>
    <row r="249" spans="1:23" ht="15.75" customHeight="1">
      <c r="A249" s="75">
        <v>1248</v>
      </c>
      <c r="B249" s="76" t="s">
        <v>548</v>
      </c>
      <c r="C249" s="76" t="s">
        <v>549</v>
      </c>
      <c r="D249" s="77" t="str">
        <f>PROPER(TRIM(Range!$C249&amp;" "&amp;Range!$C249))</f>
        <v>Eabuwd Eabuwd</v>
      </c>
      <c r="E249" s="76" t="s">
        <v>99</v>
      </c>
      <c r="F249" s="76" t="s">
        <v>806</v>
      </c>
      <c r="G249" s="76" t="s">
        <v>17</v>
      </c>
      <c r="H249" s="78" t="s">
        <v>14</v>
      </c>
      <c r="I249" s="78" t="s">
        <v>26</v>
      </c>
      <c r="J249" s="79" t="s">
        <v>12</v>
      </c>
      <c r="K249" s="76" t="s">
        <v>1035</v>
      </c>
      <c r="L249" s="80">
        <v>4</v>
      </c>
      <c r="M249" s="81">
        <v>6</v>
      </c>
      <c r="N249" s="81">
        <v>2003</v>
      </c>
      <c r="O249" s="82">
        <f>DATE(Range!$N249,Range!$M249,Range!$L249)</f>
        <v>37776</v>
      </c>
      <c r="P249" s="82">
        <f t="shared" ca="1" si="3"/>
        <v>46071</v>
      </c>
      <c r="Q249" s="81">
        <f ca="1">DATEDIF(Range!$O249,Range!$P249,"Y")</f>
        <v>22</v>
      </c>
      <c r="R249" s="83">
        <v>5278</v>
      </c>
      <c r="S249" s="84">
        <f>Range!$R249*0.1</f>
        <v>527.80000000000007</v>
      </c>
      <c r="T249" s="85">
        <f>Range!$R249*0.03</f>
        <v>158.34</v>
      </c>
      <c r="U249" s="86">
        <f>Range!$R249-Range!$S249+Range!$T249</f>
        <v>4908.54</v>
      </c>
      <c r="V249" s="87" t="str">
        <f>IF(Range!$U249&gt;=6000,"Over","Normal")</f>
        <v>Normal</v>
      </c>
      <c r="W249" s="88">
        <f>VLOOKUP(Range!$U249,$Z$10:$AA$14,2)</f>
        <v>0.05</v>
      </c>
    </row>
    <row r="250" spans="1:23" ht="15.75" customHeight="1">
      <c r="A250" s="61">
        <v>1249</v>
      </c>
      <c r="B250" s="62" t="s">
        <v>105</v>
      </c>
      <c r="C250" s="62" t="s">
        <v>550</v>
      </c>
      <c r="D250" s="63" t="str">
        <f>PROPER(TRIM(Range!$C250&amp;" "&amp;Range!$C250))</f>
        <v>Bitahish Bitahish</v>
      </c>
      <c r="E250" s="62" t="s">
        <v>99</v>
      </c>
      <c r="F250" s="62" t="s">
        <v>807</v>
      </c>
      <c r="G250" s="62" t="s">
        <v>1100</v>
      </c>
      <c r="H250" s="64" t="s">
        <v>11</v>
      </c>
      <c r="I250" s="64" t="s">
        <v>9</v>
      </c>
      <c r="J250" s="65" t="s">
        <v>10</v>
      </c>
      <c r="K250" s="62" t="s">
        <v>1036</v>
      </c>
      <c r="L250" s="66">
        <v>15</v>
      </c>
      <c r="M250" s="67">
        <v>7</v>
      </c>
      <c r="N250" s="67">
        <v>2002</v>
      </c>
      <c r="O250" s="68">
        <f>DATE(Range!$N250,Range!$M250,Range!$L250)</f>
        <v>37452</v>
      </c>
      <c r="P250" s="68">
        <f t="shared" ca="1" si="3"/>
        <v>46071</v>
      </c>
      <c r="Q250" s="67">
        <f ca="1">DATEDIF(Range!$O250,Range!$P250,"Y")</f>
        <v>23</v>
      </c>
      <c r="R250" s="69">
        <v>6548</v>
      </c>
      <c r="S250" s="70">
        <f>Range!$R250*0.1</f>
        <v>654.80000000000007</v>
      </c>
      <c r="T250" s="71">
        <f>Range!$R250*0.03</f>
        <v>196.44</v>
      </c>
      <c r="U250" s="72">
        <f>Range!$R250-Range!$S250+Range!$T250</f>
        <v>6089.6399999999994</v>
      </c>
      <c r="V250" s="73" t="str">
        <f>IF(Range!$U250&gt;=6000,"Over","Normal")</f>
        <v>Over</v>
      </c>
      <c r="W250" s="74">
        <f>VLOOKUP(Range!$U250,$Z$10:$AA$14,2)</f>
        <v>0.02</v>
      </c>
    </row>
    <row r="251" spans="1:23" ht="15.75" customHeight="1">
      <c r="A251" s="75">
        <v>1250</v>
      </c>
      <c r="B251" s="76" t="s">
        <v>105</v>
      </c>
      <c r="C251" s="76" t="s">
        <v>551</v>
      </c>
      <c r="D251" s="77" t="str">
        <f>PROPER(TRIM(Range!$C251&amp;" "&amp;Range!$C251))</f>
        <v>Murad Murad</v>
      </c>
      <c r="E251" s="76" t="s">
        <v>99</v>
      </c>
      <c r="F251" s="76" t="s">
        <v>808</v>
      </c>
      <c r="G251" s="76" t="s">
        <v>7</v>
      </c>
      <c r="H251" s="78" t="s">
        <v>8</v>
      </c>
      <c r="I251" s="78" t="s">
        <v>25</v>
      </c>
      <c r="J251" s="79" t="s">
        <v>23</v>
      </c>
      <c r="K251" s="76" t="s">
        <v>1037</v>
      </c>
      <c r="L251" s="80">
        <v>26</v>
      </c>
      <c r="M251" s="81">
        <v>10</v>
      </c>
      <c r="N251" s="81">
        <v>2012</v>
      </c>
      <c r="O251" s="82">
        <f>DATE(Range!$N251,Range!$M251,Range!$L251)</f>
        <v>41208</v>
      </c>
      <c r="P251" s="82">
        <f t="shared" ca="1" si="3"/>
        <v>46071</v>
      </c>
      <c r="Q251" s="81">
        <f ca="1">DATEDIF(Range!$O251,Range!$P251,"Y")</f>
        <v>13</v>
      </c>
      <c r="R251" s="83">
        <v>7175</v>
      </c>
      <c r="S251" s="84">
        <f>Range!$R251*0.1</f>
        <v>717.5</v>
      </c>
      <c r="T251" s="85">
        <f>Range!$R251*0.03</f>
        <v>215.25</v>
      </c>
      <c r="U251" s="86">
        <f>Range!$R251-Range!$S251+Range!$T251</f>
        <v>6672.75</v>
      </c>
      <c r="V251" s="87" t="str">
        <f>IF(Range!$U251&gt;=6000,"Over","Normal")</f>
        <v>Over</v>
      </c>
      <c r="W251" s="88">
        <f>VLOOKUP(Range!$U251,$Z$10:$AA$14,2)</f>
        <v>0.02</v>
      </c>
    </row>
    <row r="252" spans="1:23" ht="15.75" customHeight="1">
      <c r="A252" s="61">
        <v>1251</v>
      </c>
      <c r="B252" s="62" t="s">
        <v>552</v>
      </c>
      <c r="C252" s="62" t="s">
        <v>553</v>
      </c>
      <c r="D252" s="63" t="str">
        <f>PROPER(TRIM(Range!$C252&amp;" "&amp;Range!$C252))</f>
        <v>Dahna Dahna</v>
      </c>
      <c r="E252" s="62" t="s">
        <v>100</v>
      </c>
      <c r="F252" s="62" t="s">
        <v>809</v>
      </c>
      <c r="G252" s="62" t="s">
        <v>13</v>
      </c>
      <c r="H252" s="64" t="s">
        <v>11</v>
      </c>
      <c r="I252" s="64" t="s">
        <v>9</v>
      </c>
      <c r="J252" s="65" t="s">
        <v>12</v>
      </c>
      <c r="K252" s="62" t="s">
        <v>1038</v>
      </c>
      <c r="L252" s="66">
        <v>2</v>
      </c>
      <c r="M252" s="67">
        <v>1</v>
      </c>
      <c r="N252" s="67">
        <v>2008</v>
      </c>
      <c r="O252" s="68">
        <f>DATE(Range!$N252,Range!$M252,Range!$L252)</f>
        <v>39449</v>
      </c>
      <c r="P252" s="68">
        <f t="shared" ca="1" si="3"/>
        <v>46071</v>
      </c>
      <c r="Q252" s="67">
        <f ca="1">DATEDIF(Range!$O252,Range!$P252,"Y")</f>
        <v>18</v>
      </c>
      <c r="R252" s="69">
        <v>4070</v>
      </c>
      <c r="S252" s="70">
        <f>Range!$R252*0.1</f>
        <v>407</v>
      </c>
      <c r="T252" s="71">
        <f>Range!$R252*0.03</f>
        <v>122.1</v>
      </c>
      <c r="U252" s="72">
        <f>Range!$R252-Range!$S252+Range!$T252</f>
        <v>3785.1</v>
      </c>
      <c r="V252" s="73" t="str">
        <f>IF(Range!$U252&gt;=6000,"Over","Normal")</f>
        <v>Normal</v>
      </c>
      <c r="W252" s="74">
        <f>VLOOKUP(Range!$U252,$Z$10:$AA$14,2)</f>
        <v>0.05</v>
      </c>
    </row>
    <row r="253" spans="1:23" ht="15.75" customHeight="1">
      <c r="A253" s="75">
        <v>1252</v>
      </c>
      <c r="B253" s="76" t="s">
        <v>554</v>
      </c>
      <c r="C253" s="76" t="s">
        <v>555</v>
      </c>
      <c r="D253" s="77" t="str">
        <f>PROPER(TRIM(Range!$C253&amp;" "&amp;Range!$C253))</f>
        <v>Tqi Aldiyn Tqi Aldiyn</v>
      </c>
      <c r="E253" s="76" t="s">
        <v>99</v>
      </c>
      <c r="F253" s="76" t="s">
        <v>810</v>
      </c>
      <c r="G253" s="76" t="s">
        <v>1100</v>
      </c>
      <c r="H253" s="78" t="s">
        <v>14</v>
      </c>
      <c r="I253" s="78" t="s">
        <v>15</v>
      </c>
      <c r="J253" s="79" t="s">
        <v>10</v>
      </c>
      <c r="K253" s="76" t="s">
        <v>1039</v>
      </c>
      <c r="L253" s="80">
        <v>16</v>
      </c>
      <c r="M253" s="81">
        <v>1</v>
      </c>
      <c r="N253" s="81">
        <v>2008</v>
      </c>
      <c r="O253" s="82">
        <f>DATE(Range!$N253,Range!$M253,Range!$L253)</f>
        <v>39463</v>
      </c>
      <c r="P253" s="82">
        <f t="shared" ca="1" si="3"/>
        <v>46071</v>
      </c>
      <c r="Q253" s="81">
        <f ca="1">DATEDIF(Range!$O253,Range!$P253,"Y")</f>
        <v>18</v>
      </c>
      <c r="R253" s="83">
        <v>1906</v>
      </c>
      <c r="S253" s="84">
        <f>Range!$R253*0.1</f>
        <v>190.60000000000002</v>
      </c>
      <c r="T253" s="85">
        <f>Range!$R253*0.03</f>
        <v>57.18</v>
      </c>
      <c r="U253" s="86">
        <f>Range!$R253-Range!$S253+Range!$T253</f>
        <v>1772.5800000000002</v>
      </c>
      <c r="V253" s="87" t="str">
        <f>IF(Range!$U253&gt;=6000,"Over","Normal")</f>
        <v>Normal</v>
      </c>
      <c r="W253" s="88">
        <f>VLOOKUP(Range!$U253,$Z$10:$AA$14,2)</f>
        <v>0.08</v>
      </c>
    </row>
    <row r="254" spans="1:23" ht="15.75" customHeight="1">
      <c r="A254" s="61">
        <v>1253</v>
      </c>
      <c r="B254" s="62" t="s">
        <v>556</v>
      </c>
      <c r="C254" s="62" t="s">
        <v>557</v>
      </c>
      <c r="D254" s="63" t="str">
        <f>PROPER(TRIM(Range!$C254&amp;" "&amp;Range!$C254))</f>
        <v>Jdwe Jdwe</v>
      </c>
      <c r="E254" s="62" t="s">
        <v>100</v>
      </c>
      <c r="F254" s="62" t="s">
        <v>811</v>
      </c>
      <c r="G254" s="62" t="s">
        <v>17</v>
      </c>
      <c r="H254" s="64" t="s">
        <v>22</v>
      </c>
      <c r="I254" s="64" t="s">
        <v>15</v>
      </c>
      <c r="J254" s="65" t="s">
        <v>12</v>
      </c>
      <c r="K254" s="62" t="s">
        <v>1040</v>
      </c>
      <c r="L254" s="66">
        <v>12</v>
      </c>
      <c r="M254" s="67">
        <v>3</v>
      </c>
      <c r="N254" s="67">
        <v>1991</v>
      </c>
      <c r="O254" s="68">
        <f>DATE(Range!$N254,Range!$M254,Range!$L254)</f>
        <v>33309</v>
      </c>
      <c r="P254" s="68">
        <f t="shared" ca="1" si="3"/>
        <v>46071</v>
      </c>
      <c r="Q254" s="67">
        <f ca="1">DATEDIF(Range!$O254,Range!$P254,"Y")</f>
        <v>34</v>
      </c>
      <c r="R254" s="69">
        <v>2600</v>
      </c>
      <c r="S254" s="70">
        <f>Range!$R254*0.1</f>
        <v>260</v>
      </c>
      <c r="T254" s="71">
        <f>Range!$R254*0.03</f>
        <v>78</v>
      </c>
      <c r="U254" s="72">
        <f>Range!$R254-Range!$S254+Range!$T254</f>
        <v>2418</v>
      </c>
      <c r="V254" s="73" t="str">
        <f>IF(Range!$U254&gt;=6000,"Over","Normal")</f>
        <v>Normal</v>
      </c>
      <c r="W254" s="74">
        <f>VLOOKUP(Range!$U254,$Z$10:$AA$14,2)</f>
        <v>0.08</v>
      </c>
    </row>
    <row r="255" spans="1:23" ht="15.75" customHeight="1">
      <c r="A255" s="75">
        <v>1254</v>
      </c>
      <c r="B255" s="76" t="s">
        <v>138</v>
      </c>
      <c r="C255" s="76" t="s">
        <v>558</v>
      </c>
      <c r="D255" s="77" t="str">
        <f>PROPER(TRIM(Range!$C255&amp;" "&amp;Range!$C255))</f>
        <v>Wayly Wayly</v>
      </c>
      <c r="E255" s="76" t="s">
        <v>99</v>
      </c>
      <c r="F255" s="76" t="s">
        <v>812</v>
      </c>
      <c r="G255" s="76" t="s">
        <v>13</v>
      </c>
      <c r="H255" s="78" t="s">
        <v>11</v>
      </c>
      <c r="I255" s="78" t="s">
        <v>18</v>
      </c>
      <c r="J255" s="79" t="s">
        <v>10</v>
      </c>
      <c r="K255" s="76" t="s">
        <v>1041</v>
      </c>
      <c r="L255" s="80">
        <v>9</v>
      </c>
      <c r="M255" s="81">
        <v>6</v>
      </c>
      <c r="N255" s="81">
        <v>2015</v>
      </c>
      <c r="O255" s="82">
        <f>DATE(Range!$N255,Range!$M255,Range!$L255)</f>
        <v>42164</v>
      </c>
      <c r="P255" s="82">
        <f t="shared" ca="1" si="3"/>
        <v>46071</v>
      </c>
      <c r="Q255" s="81">
        <f ca="1">DATEDIF(Range!$O255,Range!$P255,"Y")</f>
        <v>10</v>
      </c>
      <c r="R255" s="83">
        <v>3753</v>
      </c>
      <c r="S255" s="84">
        <f>Range!$R255*0.1</f>
        <v>375.3</v>
      </c>
      <c r="T255" s="85">
        <f>Range!$R255*0.03</f>
        <v>112.58999999999999</v>
      </c>
      <c r="U255" s="86">
        <f>Range!$R255-Range!$S255+Range!$T255</f>
        <v>3490.29</v>
      </c>
      <c r="V255" s="87" t="str">
        <f>IF(Range!$U255&gt;=6000,"Over","Normal")</f>
        <v>Normal</v>
      </c>
      <c r="W255" s="88">
        <f>VLOOKUP(Range!$U255,$Z$10:$AA$14,2)</f>
        <v>0.05</v>
      </c>
    </row>
    <row r="256" spans="1:23" ht="15.75" customHeight="1">
      <c r="A256" s="61">
        <v>1255</v>
      </c>
      <c r="B256" s="62" t="s">
        <v>96</v>
      </c>
      <c r="C256" s="62" t="s">
        <v>559</v>
      </c>
      <c r="D256" s="63" t="str">
        <f>PROPER(TRIM(Range!$C256&amp;" "&amp;Range!$C256))</f>
        <v>Alsiraj Alsiraj</v>
      </c>
      <c r="E256" s="62" t="s">
        <v>99</v>
      </c>
      <c r="F256" s="62" t="s">
        <v>813</v>
      </c>
      <c r="G256" s="62" t="s">
        <v>19</v>
      </c>
      <c r="H256" s="64" t="s">
        <v>8</v>
      </c>
      <c r="I256" s="64" t="s">
        <v>264</v>
      </c>
      <c r="J256" s="65" t="s">
        <v>20</v>
      </c>
      <c r="K256" s="62" t="s">
        <v>1042</v>
      </c>
      <c r="L256" s="66">
        <v>24</v>
      </c>
      <c r="M256" s="67">
        <v>4</v>
      </c>
      <c r="N256" s="67">
        <v>1991</v>
      </c>
      <c r="O256" s="68">
        <f>DATE(Range!$N256,Range!$M256,Range!$L256)</f>
        <v>33352</v>
      </c>
      <c r="P256" s="68">
        <f t="shared" ca="1" si="3"/>
        <v>46071</v>
      </c>
      <c r="Q256" s="67">
        <f ca="1">DATEDIF(Range!$O256,Range!$P256,"Y")</f>
        <v>34</v>
      </c>
      <c r="R256" s="69">
        <v>5086</v>
      </c>
      <c r="S256" s="70">
        <f>Range!$R256*0.1</f>
        <v>508.6</v>
      </c>
      <c r="T256" s="71">
        <f>Range!$R256*0.03</f>
        <v>152.57999999999998</v>
      </c>
      <c r="U256" s="72">
        <f>Range!$R256-Range!$S256+Range!$T256</f>
        <v>4729.9799999999996</v>
      </c>
      <c r="V256" s="73" t="str">
        <f>IF(Range!$U256&gt;=6000,"Over","Normal")</f>
        <v>Normal</v>
      </c>
      <c r="W256" s="74">
        <f>VLOOKUP(Range!$U256,$Z$10:$AA$14,2)</f>
        <v>0.05</v>
      </c>
    </row>
    <row r="257" spans="1:23" ht="15.75" customHeight="1">
      <c r="A257" s="75">
        <v>1256</v>
      </c>
      <c r="B257" s="76" t="s">
        <v>560</v>
      </c>
      <c r="C257" s="76" t="s">
        <v>561</v>
      </c>
      <c r="D257" s="77" t="str">
        <f>PROPER(TRIM(Range!$C257&amp;" "&amp;Range!$C257))</f>
        <v>Nadaf Nadaf</v>
      </c>
      <c r="E257" s="76" t="s">
        <v>100</v>
      </c>
      <c r="F257" s="76" t="s">
        <v>814</v>
      </c>
      <c r="G257" s="76" t="s">
        <v>13</v>
      </c>
      <c r="H257" s="78" t="s">
        <v>8</v>
      </c>
      <c r="I257" s="78" t="s">
        <v>9</v>
      </c>
      <c r="J257" s="79" t="s">
        <v>10</v>
      </c>
      <c r="K257" s="76" t="s">
        <v>1043</v>
      </c>
      <c r="L257" s="80">
        <v>22</v>
      </c>
      <c r="M257" s="81">
        <v>5</v>
      </c>
      <c r="N257" s="81">
        <v>2006</v>
      </c>
      <c r="O257" s="82">
        <f>DATE(Range!$N257,Range!$M257,Range!$L257)</f>
        <v>38859</v>
      </c>
      <c r="P257" s="82">
        <f t="shared" ca="1" si="3"/>
        <v>46071</v>
      </c>
      <c r="Q257" s="81">
        <f ca="1">DATEDIF(Range!$O257,Range!$P257,"Y")</f>
        <v>19</v>
      </c>
      <c r="R257" s="83">
        <v>2431</v>
      </c>
      <c r="S257" s="84">
        <f>Range!$R257*0.1</f>
        <v>243.10000000000002</v>
      </c>
      <c r="T257" s="85">
        <f>Range!$R257*0.03</f>
        <v>72.929999999999993</v>
      </c>
      <c r="U257" s="86">
        <f>Range!$R257-Range!$S257+Range!$T257</f>
        <v>2260.83</v>
      </c>
      <c r="V257" s="87" t="str">
        <f>IF(Range!$U257&gt;=6000,"Over","Normal")</f>
        <v>Normal</v>
      </c>
      <c r="W257" s="88">
        <f>VLOOKUP(Range!$U257,$Z$10:$AA$14,2)</f>
        <v>0.08</v>
      </c>
    </row>
    <row r="258" spans="1:23" ht="15.75" customHeight="1">
      <c r="A258" s="61">
        <v>1257</v>
      </c>
      <c r="B258" s="62" t="s">
        <v>562</v>
      </c>
      <c r="C258" s="62" t="s">
        <v>563</v>
      </c>
      <c r="D258" s="63" t="str">
        <f>PROPER(TRIM(Range!$C258&amp;" "&amp;Range!$C258))</f>
        <v>Barghuth Barghuth</v>
      </c>
      <c r="E258" s="62" t="s">
        <v>99</v>
      </c>
      <c r="F258" s="62" t="s">
        <v>815</v>
      </c>
      <c r="G258" s="62" t="s">
        <v>17</v>
      </c>
      <c r="H258" s="64" t="s">
        <v>22</v>
      </c>
      <c r="I258" s="64" t="s">
        <v>9</v>
      </c>
      <c r="J258" s="65" t="s">
        <v>23</v>
      </c>
      <c r="K258" s="62" t="s">
        <v>1044</v>
      </c>
      <c r="L258" s="66">
        <v>9</v>
      </c>
      <c r="M258" s="67">
        <v>10</v>
      </c>
      <c r="N258" s="67">
        <v>1992</v>
      </c>
      <c r="O258" s="68">
        <f>DATE(Range!$N258,Range!$M258,Range!$L258)</f>
        <v>33886</v>
      </c>
      <c r="P258" s="68">
        <f t="shared" ref="P258:P301" ca="1" si="4">TODAY()</f>
        <v>46071</v>
      </c>
      <c r="Q258" s="67">
        <f ca="1">DATEDIF(Range!$O258,Range!$P258,"Y")</f>
        <v>33</v>
      </c>
      <c r="R258" s="69">
        <v>2955</v>
      </c>
      <c r="S258" s="70">
        <f>Range!$R258*0.1</f>
        <v>295.5</v>
      </c>
      <c r="T258" s="71">
        <f>Range!$R258*0.03</f>
        <v>88.649999999999991</v>
      </c>
      <c r="U258" s="72">
        <f>Range!$R258-Range!$S258+Range!$T258</f>
        <v>2748.15</v>
      </c>
      <c r="V258" s="73" t="str">
        <f>IF(Range!$U258&gt;=6000,"Over","Normal")</f>
        <v>Normal</v>
      </c>
      <c r="W258" s="74">
        <f>VLOOKUP(Range!$U258,$Z$10:$AA$14,2)</f>
        <v>0.08</v>
      </c>
    </row>
    <row r="259" spans="1:23" ht="15.75" customHeight="1">
      <c r="A259" s="75">
        <v>1258</v>
      </c>
      <c r="B259" s="76" t="s">
        <v>531</v>
      </c>
      <c r="C259" s="76" t="s">
        <v>564</v>
      </c>
      <c r="D259" s="77" t="str">
        <f>PROPER(TRIM(Range!$C259&amp;" "&amp;Range!$C259))</f>
        <v>Jazar Jazar</v>
      </c>
      <c r="E259" s="76" t="s">
        <v>100</v>
      </c>
      <c r="F259" s="76" t="s">
        <v>816</v>
      </c>
      <c r="G259" s="76" t="s">
        <v>17</v>
      </c>
      <c r="H259" s="78" t="s">
        <v>8</v>
      </c>
      <c r="I259" s="78" t="s">
        <v>264</v>
      </c>
      <c r="J259" s="79" t="s">
        <v>12</v>
      </c>
      <c r="K259" s="76" t="s">
        <v>1045</v>
      </c>
      <c r="L259" s="80">
        <v>25</v>
      </c>
      <c r="M259" s="81">
        <v>11</v>
      </c>
      <c r="N259" s="81">
        <v>2020</v>
      </c>
      <c r="O259" s="82">
        <f>DATE(Range!$N259,Range!$M259,Range!$L259)</f>
        <v>44160</v>
      </c>
      <c r="P259" s="82">
        <f t="shared" ca="1" si="4"/>
        <v>46071</v>
      </c>
      <c r="Q259" s="81">
        <f ca="1">DATEDIF(Range!$O259,Range!$P259,"Y")</f>
        <v>5</v>
      </c>
      <c r="R259" s="83">
        <v>1948</v>
      </c>
      <c r="S259" s="84">
        <f>Range!$R259*0.1</f>
        <v>194.8</v>
      </c>
      <c r="T259" s="85">
        <f>Range!$R259*0.03</f>
        <v>58.44</v>
      </c>
      <c r="U259" s="86">
        <f>Range!$R259-Range!$S259+Range!$T259</f>
        <v>1811.64</v>
      </c>
      <c r="V259" s="87" t="str">
        <f>IF(Range!$U259&gt;=6000,"Over","Normal")</f>
        <v>Normal</v>
      </c>
      <c r="W259" s="88">
        <f>VLOOKUP(Range!$U259,$Z$10:$AA$14,2)</f>
        <v>0.08</v>
      </c>
    </row>
    <row r="260" spans="1:23" ht="15.75" customHeight="1">
      <c r="A260" s="61">
        <v>1259</v>
      </c>
      <c r="B260" s="62" t="s">
        <v>565</v>
      </c>
      <c r="C260" s="62" t="s">
        <v>566</v>
      </c>
      <c r="D260" s="63" t="str">
        <f>PROPER(TRIM(Range!$C260&amp;" "&amp;Range!$C260))</f>
        <v>Eusqul Eusqul</v>
      </c>
      <c r="E260" s="62" t="s">
        <v>100</v>
      </c>
      <c r="F260" s="62" t="s">
        <v>817</v>
      </c>
      <c r="G260" s="62" t="s">
        <v>19</v>
      </c>
      <c r="H260" s="64" t="s">
        <v>22</v>
      </c>
      <c r="I260" s="64" t="s">
        <v>25</v>
      </c>
      <c r="J260" s="65" t="s">
        <v>10</v>
      </c>
      <c r="K260" s="62" t="s">
        <v>1046</v>
      </c>
      <c r="L260" s="66">
        <v>10</v>
      </c>
      <c r="M260" s="67">
        <v>7</v>
      </c>
      <c r="N260" s="67">
        <v>2011</v>
      </c>
      <c r="O260" s="68">
        <f>DATE(Range!$N260,Range!$M260,Range!$L260)</f>
        <v>40734</v>
      </c>
      <c r="P260" s="68">
        <f t="shared" ca="1" si="4"/>
        <v>46071</v>
      </c>
      <c r="Q260" s="67">
        <f ca="1">DATEDIF(Range!$O260,Range!$P260,"Y")</f>
        <v>14</v>
      </c>
      <c r="R260" s="69">
        <v>3294</v>
      </c>
      <c r="S260" s="70">
        <f>Range!$R260*0.1</f>
        <v>329.40000000000003</v>
      </c>
      <c r="T260" s="71">
        <f>Range!$R260*0.03</f>
        <v>98.82</v>
      </c>
      <c r="U260" s="72">
        <f>Range!$R260-Range!$S260+Range!$T260</f>
        <v>3063.42</v>
      </c>
      <c r="V260" s="73" t="str">
        <f>IF(Range!$U260&gt;=6000,"Over","Normal")</f>
        <v>Normal</v>
      </c>
      <c r="W260" s="74">
        <f>VLOOKUP(Range!$U260,$Z$10:$AA$14,2)</f>
        <v>0.05</v>
      </c>
    </row>
    <row r="261" spans="1:23" ht="15.75" customHeight="1">
      <c r="A261" s="75">
        <v>1260</v>
      </c>
      <c r="B261" s="76" t="s">
        <v>567</v>
      </c>
      <c r="C261" s="76" t="s">
        <v>568</v>
      </c>
      <c r="D261" s="77" t="str">
        <f>PROPER(TRIM(Range!$C261&amp;" "&amp;Range!$C261))</f>
        <v>Iybw Iybw</v>
      </c>
      <c r="E261" s="76" t="s">
        <v>99</v>
      </c>
      <c r="F261" s="76" t="s">
        <v>818</v>
      </c>
      <c r="G261" s="76" t="s">
        <v>1100</v>
      </c>
      <c r="H261" s="78" t="s">
        <v>11</v>
      </c>
      <c r="I261" s="78" t="s">
        <v>264</v>
      </c>
      <c r="J261" s="79" t="s">
        <v>20</v>
      </c>
      <c r="K261" s="76" t="s">
        <v>1047</v>
      </c>
      <c r="L261" s="80">
        <v>12</v>
      </c>
      <c r="M261" s="81">
        <v>5</v>
      </c>
      <c r="N261" s="81">
        <v>2013</v>
      </c>
      <c r="O261" s="82">
        <f>DATE(Range!$N261,Range!$M261,Range!$L261)</f>
        <v>41406</v>
      </c>
      <c r="P261" s="82">
        <f t="shared" ca="1" si="4"/>
        <v>46071</v>
      </c>
      <c r="Q261" s="81">
        <f ca="1">DATEDIF(Range!$O261,Range!$P261,"Y")</f>
        <v>12</v>
      </c>
      <c r="R261" s="83">
        <v>7123</v>
      </c>
      <c r="S261" s="84">
        <f>Range!$R261*0.1</f>
        <v>712.30000000000007</v>
      </c>
      <c r="T261" s="85">
        <f>Range!$R261*0.03</f>
        <v>213.69</v>
      </c>
      <c r="U261" s="86">
        <f>Range!$R261-Range!$S261+Range!$T261</f>
        <v>6624.3899999999994</v>
      </c>
      <c r="V261" s="87" t="str">
        <f>IF(Range!$U261&gt;=6000,"Over","Normal")</f>
        <v>Over</v>
      </c>
      <c r="W261" s="88">
        <f>VLOOKUP(Range!$U261,$Z$10:$AA$14,2)</f>
        <v>0.02</v>
      </c>
    </row>
    <row r="262" spans="1:23" ht="15.75" customHeight="1">
      <c r="A262" s="61">
        <v>1261</v>
      </c>
      <c r="B262" s="62" t="s">
        <v>569</v>
      </c>
      <c r="C262" s="62" t="s">
        <v>570</v>
      </c>
      <c r="D262" s="63" t="str">
        <f>PROPER(TRIM(Range!$C262&amp;" "&amp;Range!$C262))</f>
        <v>Ghabur Ghabur</v>
      </c>
      <c r="E262" s="62" t="s">
        <v>100</v>
      </c>
      <c r="F262" s="62" t="s">
        <v>819</v>
      </c>
      <c r="G262" s="62" t="s">
        <v>13</v>
      </c>
      <c r="H262" s="64" t="s">
        <v>11</v>
      </c>
      <c r="I262" s="64" t="s">
        <v>25</v>
      </c>
      <c r="J262" s="65" t="s">
        <v>12</v>
      </c>
      <c r="K262" s="62" t="s">
        <v>1048</v>
      </c>
      <c r="L262" s="66">
        <v>5</v>
      </c>
      <c r="M262" s="67">
        <v>9</v>
      </c>
      <c r="N262" s="67">
        <v>2003</v>
      </c>
      <c r="O262" s="68">
        <f>DATE(Range!$N262,Range!$M262,Range!$L262)</f>
        <v>37869</v>
      </c>
      <c r="P262" s="68">
        <f t="shared" ca="1" si="4"/>
        <v>46071</v>
      </c>
      <c r="Q262" s="67">
        <f ca="1">DATEDIF(Range!$O262,Range!$P262,"Y")</f>
        <v>22</v>
      </c>
      <c r="R262" s="69">
        <v>7236</v>
      </c>
      <c r="S262" s="70">
        <f>Range!$R262*0.1</f>
        <v>723.6</v>
      </c>
      <c r="T262" s="71">
        <f>Range!$R262*0.03</f>
        <v>217.07999999999998</v>
      </c>
      <c r="U262" s="72">
        <f>Range!$R262-Range!$S262+Range!$T262</f>
        <v>6729.48</v>
      </c>
      <c r="V262" s="73" t="str">
        <f>IF(Range!$U262&gt;=6000,"Over","Normal")</f>
        <v>Over</v>
      </c>
      <c r="W262" s="74">
        <f>VLOOKUP(Range!$U262,$Z$10:$AA$14,2)</f>
        <v>0.02</v>
      </c>
    </row>
    <row r="263" spans="1:23" ht="15.75" customHeight="1">
      <c r="A263" s="75">
        <v>1262</v>
      </c>
      <c r="B263" s="76" t="s">
        <v>118</v>
      </c>
      <c r="C263" s="76" t="s">
        <v>474</v>
      </c>
      <c r="D263" s="77" t="str">
        <f>PROPER(TRIM(Range!$C263&amp;" "&amp;Range!$C263))</f>
        <v>Sultan Sultan</v>
      </c>
      <c r="E263" s="76" t="s">
        <v>99</v>
      </c>
      <c r="F263" s="76" t="s">
        <v>820</v>
      </c>
      <c r="G263" s="76" t="s">
        <v>1100</v>
      </c>
      <c r="H263" s="78" t="s">
        <v>22</v>
      </c>
      <c r="I263" s="78" t="s">
        <v>25</v>
      </c>
      <c r="J263" s="79" t="s">
        <v>10</v>
      </c>
      <c r="K263" s="76" t="s">
        <v>1049</v>
      </c>
      <c r="L263" s="80">
        <v>4</v>
      </c>
      <c r="M263" s="81">
        <v>9</v>
      </c>
      <c r="N263" s="81">
        <v>2009</v>
      </c>
      <c r="O263" s="82">
        <f>DATE(Range!$N263,Range!$M263,Range!$L263)</f>
        <v>40060</v>
      </c>
      <c r="P263" s="82">
        <f t="shared" ca="1" si="4"/>
        <v>46071</v>
      </c>
      <c r="Q263" s="81">
        <f ca="1">DATEDIF(Range!$O263,Range!$P263,"Y")</f>
        <v>16</v>
      </c>
      <c r="R263" s="83">
        <v>6843</v>
      </c>
      <c r="S263" s="84">
        <f>Range!$R263*0.1</f>
        <v>684.30000000000007</v>
      </c>
      <c r="T263" s="85">
        <f>Range!$R263*0.03</f>
        <v>205.29</v>
      </c>
      <c r="U263" s="86">
        <f>Range!$R263-Range!$S263+Range!$T263</f>
        <v>6363.99</v>
      </c>
      <c r="V263" s="87" t="str">
        <f>IF(Range!$U263&gt;=6000,"Over","Normal")</f>
        <v>Over</v>
      </c>
      <c r="W263" s="88">
        <f>VLOOKUP(Range!$U263,$Z$10:$AA$14,2)</f>
        <v>0.02</v>
      </c>
    </row>
    <row r="264" spans="1:23" ht="15.75" customHeight="1">
      <c r="A264" s="61">
        <v>1263</v>
      </c>
      <c r="B264" s="62" t="s">
        <v>571</v>
      </c>
      <c r="C264" s="62" t="s">
        <v>331</v>
      </c>
      <c r="D264" s="63" t="str">
        <f>PROPER(TRIM(Range!$C264&amp;" "&amp;Range!$C264))</f>
        <v>Salih Salih</v>
      </c>
      <c r="E264" s="62" t="s">
        <v>100</v>
      </c>
      <c r="F264" s="62" t="s">
        <v>821</v>
      </c>
      <c r="G264" s="62" t="s">
        <v>1100</v>
      </c>
      <c r="H264" s="64" t="s">
        <v>14</v>
      </c>
      <c r="I264" s="64" t="s">
        <v>25</v>
      </c>
      <c r="J264" s="65" t="s">
        <v>12</v>
      </c>
      <c r="K264" s="62" t="s">
        <v>1050</v>
      </c>
      <c r="L264" s="66">
        <v>18</v>
      </c>
      <c r="M264" s="67">
        <v>10</v>
      </c>
      <c r="N264" s="67">
        <v>2007</v>
      </c>
      <c r="O264" s="68">
        <f>DATE(Range!$N264,Range!$M264,Range!$L264)</f>
        <v>39373</v>
      </c>
      <c r="P264" s="68">
        <f t="shared" ca="1" si="4"/>
        <v>46071</v>
      </c>
      <c r="Q264" s="67">
        <f ca="1">DATEDIF(Range!$O264,Range!$P264,"Y")</f>
        <v>18</v>
      </c>
      <c r="R264" s="69">
        <v>1070</v>
      </c>
      <c r="S264" s="70">
        <f>Range!$R264*0.1</f>
        <v>107</v>
      </c>
      <c r="T264" s="71">
        <f>Range!$R264*0.03</f>
        <v>32.1</v>
      </c>
      <c r="U264" s="72">
        <f>Range!$R264-Range!$S264+Range!$T264</f>
        <v>995.1</v>
      </c>
      <c r="V264" s="73" t="str">
        <f>IF(Range!$U264&gt;=6000,"Over","Normal")</f>
        <v>Normal</v>
      </c>
      <c r="W264" s="74">
        <f>VLOOKUP(Range!$U264,$Z$10:$AA$14,2)</f>
        <v>0.1</v>
      </c>
    </row>
    <row r="265" spans="1:23" ht="15.75" customHeight="1">
      <c r="A265" s="75">
        <v>1264</v>
      </c>
      <c r="B265" s="76" t="s">
        <v>572</v>
      </c>
      <c r="C265" s="76" t="s">
        <v>573</v>
      </c>
      <c r="D265" s="77" t="str">
        <f>PROPER(TRIM(Range!$C265&amp;" "&amp;Range!$C265))</f>
        <v>Aljazayiriu Aljazayiriu</v>
      </c>
      <c r="E265" s="76" t="s">
        <v>100</v>
      </c>
      <c r="F265" s="76" t="s">
        <v>822</v>
      </c>
      <c r="G265" s="76" t="s">
        <v>13</v>
      </c>
      <c r="H265" s="78" t="s">
        <v>11</v>
      </c>
      <c r="I265" s="78" t="s">
        <v>25</v>
      </c>
      <c r="J265" s="79" t="s">
        <v>12</v>
      </c>
      <c r="K265" s="76" t="s">
        <v>1051</v>
      </c>
      <c r="L265" s="80">
        <v>5</v>
      </c>
      <c r="M265" s="81">
        <v>2</v>
      </c>
      <c r="N265" s="81">
        <v>2000</v>
      </c>
      <c r="O265" s="82">
        <f>DATE(Range!$N265,Range!$M265,Range!$L265)</f>
        <v>36561</v>
      </c>
      <c r="P265" s="82">
        <f t="shared" ca="1" si="4"/>
        <v>46071</v>
      </c>
      <c r="Q265" s="81">
        <f ca="1">DATEDIF(Range!$O265,Range!$P265,"Y")</f>
        <v>26</v>
      </c>
      <c r="R265" s="83">
        <v>1493</v>
      </c>
      <c r="S265" s="84">
        <f>Range!$R265*0.1</f>
        <v>149.30000000000001</v>
      </c>
      <c r="T265" s="85">
        <f>Range!$R265*0.03</f>
        <v>44.79</v>
      </c>
      <c r="U265" s="86">
        <f>Range!$R265-Range!$S265+Range!$T265</f>
        <v>1388.49</v>
      </c>
      <c r="V265" s="87" t="str">
        <f>IF(Range!$U265&gt;=6000,"Over","Normal")</f>
        <v>Normal</v>
      </c>
      <c r="W265" s="88">
        <f>VLOOKUP(Range!$U265,$Z$10:$AA$14,2)</f>
        <v>0.08</v>
      </c>
    </row>
    <row r="266" spans="1:23" ht="15.75" customHeight="1">
      <c r="A266" s="61">
        <v>1265</v>
      </c>
      <c r="B266" s="62" t="s">
        <v>574</v>
      </c>
      <c r="C266" s="62" t="s">
        <v>421</v>
      </c>
      <c r="D266" s="63" t="str">
        <f>PROPER(TRIM(Range!$C266&amp;" "&amp;Range!$C266))</f>
        <v>Ghazal Ghazal</v>
      </c>
      <c r="E266" s="62" t="s">
        <v>100</v>
      </c>
      <c r="F266" s="62" t="s">
        <v>823</v>
      </c>
      <c r="G266" s="62" t="s">
        <v>19</v>
      </c>
      <c r="H266" s="64" t="s">
        <v>11</v>
      </c>
      <c r="I266" s="64" t="s">
        <v>25</v>
      </c>
      <c r="J266" s="65" t="s">
        <v>10</v>
      </c>
      <c r="K266" s="62" t="s">
        <v>1052</v>
      </c>
      <c r="L266" s="66">
        <v>21</v>
      </c>
      <c r="M266" s="67">
        <v>8</v>
      </c>
      <c r="N266" s="67">
        <v>1992</v>
      </c>
      <c r="O266" s="68">
        <f>DATE(Range!$N266,Range!$M266,Range!$L266)</f>
        <v>33837</v>
      </c>
      <c r="P266" s="68">
        <f t="shared" ca="1" si="4"/>
        <v>46071</v>
      </c>
      <c r="Q266" s="67">
        <f ca="1">DATEDIF(Range!$O266,Range!$P266,"Y")</f>
        <v>33</v>
      </c>
      <c r="R266" s="69">
        <v>5857</v>
      </c>
      <c r="S266" s="70">
        <f>Range!$R266*0.1</f>
        <v>585.70000000000005</v>
      </c>
      <c r="T266" s="71">
        <f>Range!$R266*0.03</f>
        <v>175.70999999999998</v>
      </c>
      <c r="U266" s="72">
        <f>Range!$R266-Range!$S266+Range!$T266</f>
        <v>5447.01</v>
      </c>
      <c r="V266" s="73" t="str">
        <f>IF(Range!$U266&gt;=6000,"Over","Normal")</f>
        <v>Normal</v>
      </c>
      <c r="W266" s="74">
        <f>VLOOKUP(Range!$U266,$Z$10:$AA$14,2)</f>
        <v>0.05</v>
      </c>
    </row>
    <row r="267" spans="1:23" ht="15.75" customHeight="1">
      <c r="A267" s="75">
        <v>1266</v>
      </c>
      <c r="B267" s="76" t="s">
        <v>531</v>
      </c>
      <c r="C267" s="76" t="s">
        <v>575</v>
      </c>
      <c r="D267" s="77" t="str">
        <f>PROPER(TRIM(Range!$C267&amp;" "&amp;Range!$C267))</f>
        <v>Dakhal Dakhal</v>
      </c>
      <c r="E267" s="76" t="s">
        <v>100</v>
      </c>
      <c r="F267" s="76" t="s">
        <v>824</v>
      </c>
      <c r="G267" s="76" t="s">
        <v>19</v>
      </c>
      <c r="H267" s="78" t="s">
        <v>14</v>
      </c>
      <c r="I267" s="78" t="s">
        <v>264</v>
      </c>
      <c r="J267" s="79" t="s">
        <v>10</v>
      </c>
      <c r="K267" s="76" t="s">
        <v>1053</v>
      </c>
      <c r="L267" s="80">
        <v>3</v>
      </c>
      <c r="M267" s="81">
        <v>9</v>
      </c>
      <c r="N267" s="81">
        <v>2001</v>
      </c>
      <c r="O267" s="82">
        <f>DATE(Range!$N267,Range!$M267,Range!$L267)</f>
        <v>37137</v>
      </c>
      <c r="P267" s="82">
        <f t="shared" ca="1" si="4"/>
        <v>46071</v>
      </c>
      <c r="Q267" s="81">
        <f ca="1">DATEDIF(Range!$O267,Range!$P267,"Y")</f>
        <v>24</v>
      </c>
      <c r="R267" s="83">
        <v>5278</v>
      </c>
      <c r="S267" s="84">
        <f>Range!$R267*0.1</f>
        <v>527.80000000000007</v>
      </c>
      <c r="T267" s="85">
        <f>Range!$R267*0.03</f>
        <v>158.34</v>
      </c>
      <c r="U267" s="86">
        <f>Range!$R267-Range!$S267+Range!$T267</f>
        <v>4908.54</v>
      </c>
      <c r="V267" s="87" t="str">
        <f>IF(Range!$U267&gt;=6000,"Over","Normal")</f>
        <v>Normal</v>
      </c>
      <c r="W267" s="88">
        <f>VLOOKUP(Range!$U267,$Z$10:$AA$14,2)</f>
        <v>0.05</v>
      </c>
    </row>
    <row r="268" spans="1:23" ht="15.75" customHeight="1">
      <c r="A268" s="61">
        <v>1267</v>
      </c>
      <c r="B268" s="62" t="s">
        <v>576</v>
      </c>
      <c r="C268" s="62" t="s">
        <v>577</v>
      </c>
      <c r="D268" s="63" t="str">
        <f>PROPER(TRIM(Range!$C268&amp;" "&amp;Range!$C268))</f>
        <v>Dulul Dulul</v>
      </c>
      <c r="E268" s="62" t="s">
        <v>100</v>
      </c>
      <c r="F268" s="62" t="s">
        <v>825</v>
      </c>
      <c r="G268" s="62" t="s">
        <v>1100</v>
      </c>
      <c r="H268" s="64" t="s">
        <v>22</v>
      </c>
      <c r="I268" s="64" t="s">
        <v>26</v>
      </c>
      <c r="J268" s="65" t="s">
        <v>10</v>
      </c>
      <c r="K268" s="62" t="s">
        <v>1054</v>
      </c>
      <c r="L268" s="66">
        <v>25</v>
      </c>
      <c r="M268" s="67">
        <v>9</v>
      </c>
      <c r="N268" s="67">
        <v>2012</v>
      </c>
      <c r="O268" s="68">
        <f>DATE(Range!$N268,Range!$M268,Range!$L268)</f>
        <v>41177</v>
      </c>
      <c r="P268" s="68">
        <f t="shared" ca="1" si="4"/>
        <v>46071</v>
      </c>
      <c r="Q268" s="67">
        <f ca="1">DATEDIF(Range!$O268,Range!$P268,"Y")</f>
        <v>13</v>
      </c>
      <c r="R268" s="69">
        <v>5710</v>
      </c>
      <c r="S268" s="70">
        <f>Range!$R268*0.1</f>
        <v>571</v>
      </c>
      <c r="T268" s="71">
        <f>Range!$R268*0.03</f>
        <v>171.29999999999998</v>
      </c>
      <c r="U268" s="72">
        <f>Range!$R268-Range!$S268+Range!$T268</f>
        <v>5310.3</v>
      </c>
      <c r="V268" s="73" t="str">
        <f>IF(Range!$U268&gt;=6000,"Over","Normal")</f>
        <v>Normal</v>
      </c>
      <c r="W268" s="74">
        <f>VLOOKUP(Range!$U268,$Z$10:$AA$14,2)</f>
        <v>0.05</v>
      </c>
    </row>
    <row r="269" spans="1:23" ht="15.75" customHeight="1">
      <c r="A269" s="75">
        <v>1268</v>
      </c>
      <c r="B269" s="76" t="s">
        <v>578</v>
      </c>
      <c r="C269" s="76" t="s">
        <v>579</v>
      </c>
      <c r="D269" s="77" t="str">
        <f>PROPER(TRIM(Range!$C269&amp;" "&amp;Range!$C269))</f>
        <v>Aleaqqad Aleaqqad</v>
      </c>
      <c r="E269" s="76" t="s">
        <v>99</v>
      </c>
      <c r="F269" s="76" t="s">
        <v>826</v>
      </c>
      <c r="G269" s="76" t="s">
        <v>13</v>
      </c>
      <c r="H269" s="78" t="s">
        <v>11</v>
      </c>
      <c r="I269" s="78" t="s">
        <v>15</v>
      </c>
      <c r="J269" s="79" t="s">
        <v>20</v>
      </c>
      <c r="K269" s="76" t="s">
        <v>1055</v>
      </c>
      <c r="L269" s="80">
        <v>24</v>
      </c>
      <c r="M269" s="81">
        <v>9</v>
      </c>
      <c r="N269" s="81">
        <v>2010</v>
      </c>
      <c r="O269" s="82">
        <f>DATE(Range!$N269,Range!$M269,Range!$L269)</f>
        <v>40445</v>
      </c>
      <c r="P269" s="82">
        <f t="shared" ca="1" si="4"/>
        <v>46071</v>
      </c>
      <c r="Q269" s="81">
        <f ca="1">DATEDIF(Range!$O269,Range!$P269,"Y")</f>
        <v>15</v>
      </c>
      <c r="R269" s="83">
        <v>6145</v>
      </c>
      <c r="S269" s="84">
        <f>Range!$R269*0.1</f>
        <v>614.5</v>
      </c>
      <c r="T269" s="85">
        <f>Range!$R269*0.03</f>
        <v>184.35</v>
      </c>
      <c r="U269" s="86">
        <f>Range!$R269-Range!$S269+Range!$T269</f>
        <v>5714.85</v>
      </c>
      <c r="V269" s="87" t="str">
        <f>IF(Range!$U269&gt;=6000,"Over","Normal")</f>
        <v>Normal</v>
      </c>
      <c r="W269" s="88">
        <f>VLOOKUP(Range!$U269,$Z$10:$AA$14,2)</f>
        <v>0.05</v>
      </c>
    </row>
    <row r="270" spans="1:23" ht="15.75" customHeight="1">
      <c r="A270" s="61">
        <v>1269</v>
      </c>
      <c r="B270" s="62" t="s">
        <v>580</v>
      </c>
      <c r="C270" s="62" t="s">
        <v>581</v>
      </c>
      <c r="D270" s="63" t="str">
        <f>PROPER(TRIM(Range!$C270&amp;" "&amp;Range!$C270))</f>
        <v>Byd Byd</v>
      </c>
      <c r="E270" s="62" t="s">
        <v>99</v>
      </c>
      <c r="F270" s="62" t="s">
        <v>827</v>
      </c>
      <c r="G270" s="62" t="s">
        <v>17</v>
      </c>
      <c r="H270" s="64" t="s">
        <v>8</v>
      </c>
      <c r="I270" s="64" t="s">
        <v>26</v>
      </c>
      <c r="J270" s="65" t="s">
        <v>20</v>
      </c>
      <c r="K270" s="62" t="s">
        <v>1056</v>
      </c>
      <c r="L270" s="66">
        <v>24</v>
      </c>
      <c r="M270" s="67">
        <v>1</v>
      </c>
      <c r="N270" s="67">
        <v>1993</v>
      </c>
      <c r="O270" s="68">
        <f>DATE(Range!$N270,Range!$M270,Range!$L270)</f>
        <v>33993</v>
      </c>
      <c r="P270" s="68">
        <f t="shared" ca="1" si="4"/>
        <v>46071</v>
      </c>
      <c r="Q270" s="67">
        <f ca="1">DATEDIF(Range!$O270,Range!$P270,"Y")</f>
        <v>33</v>
      </c>
      <c r="R270" s="69">
        <v>5278</v>
      </c>
      <c r="S270" s="70">
        <f>Range!$R270*0.1</f>
        <v>527.80000000000007</v>
      </c>
      <c r="T270" s="71">
        <f>Range!$R270*0.03</f>
        <v>158.34</v>
      </c>
      <c r="U270" s="72">
        <f>Range!$R270-Range!$S270+Range!$T270</f>
        <v>4908.54</v>
      </c>
      <c r="V270" s="73" t="str">
        <f>IF(Range!$U270&gt;=6000,"Over","Normal")</f>
        <v>Normal</v>
      </c>
      <c r="W270" s="74">
        <f>VLOOKUP(Range!$U270,$Z$10:$AA$14,2)</f>
        <v>0.05</v>
      </c>
    </row>
    <row r="271" spans="1:23" ht="15.75" customHeight="1">
      <c r="A271" s="75">
        <v>1270</v>
      </c>
      <c r="B271" s="76" t="s">
        <v>102</v>
      </c>
      <c r="C271" s="76" t="s">
        <v>582</v>
      </c>
      <c r="D271" s="77" t="str">
        <f>PROPER(TRIM(Range!$C271&amp;" "&amp;Range!$C271))</f>
        <v>Ahmid Ahmid</v>
      </c>
      <c r="E271" s="76" t="s">
        <v>100</v>
      </c>
      <c r="F271" s="76" t="s">
        <v>828</v>
      </c>
      <c r="G271" s="76" t="s">
        <v>17</v>
      </c>
      <c r="H271" s="78" t="s">
        <v>11</v>
      </c>
      <c r="I271" s="78" t="s">
        <v>9</v>
      </c>
      <c r="J271" s="79" t="s">
        <v>12</v>
      </c>
      <c r="K271" s="76" t="s">
        <v>1057</v>
      </c>
      <c r="L271" s="80">
        <v>21</v>
      </c>
      <c r="M271" s="81">
        <v>7</v>
      </c>
      <c r="N271" s="81">
        <v>2013</v>
      </c>
      <c r="O271" s="82">
        <f>DATE(Range!$N271,Range!$M271,Range!$L271)</f>
        <v>41476</v>
      </c>
      <c r="P271" s="82">
        <f t="shared" ca="1" si="4"/>
        <v>46071</v>
      </c>
      <c r="Q271" s="81">
        <f ca="1">DATEDIF(Range!$O271,Range!$P271,"Y")</f>
        <v>12</v>
      </c>
      <c r="R271" s="83">
        <v>6409</v>
      </c>
      <c r="S271" s="84">
        <f>Range!$R271*0.1</f>
        <v>640.90000000000009</v>
      </c>
      <c r="T271" s="85">
        <f>Range!$R271*0.03</f>
        <v>192.26999999999998</v>
      </c>
      <c r="U271" s="86">
        <f>Range!$R271-Range!$S271+Range!$T271</f>
        <v>5960.3700000000008</v>
      </c>
      <c r="V271" s="87" t="str">
        <f>IF(Range!$U271&gt;=6000,"Over","Normal")</f>
        <v>Normal</v>
      </c>
      <c r="W271" s="88">
        <f>VLOOKUP(Range!$U271,$Z$10:$AA$14,2)</f>
        <v>0.05</v>
      </c>
    </row>
    <row r="272" spans="1:23" ht="15.75" customHeight="1">
      <c r="A272" s="61">
        <v>1271</v>
      </c>
      <c r="B272" s="62" t="s">
        <v>30</v>
      </c>
      <c r="C272" s="62" t="s">
        <v>583</v>
      </c>
      <c r="D272" s="63" t="str">
        <f>PROPER(TRIM(Range!$C272&amp;" "&amp;Range!$C272))</f>
        <v>Alqadri Alqadri</v>
      </c>
      <c r="E272" s="62" t="s">
        <v>100</v>
      </c>
      <c r="F272" s="62" t="s">
        <v>829</v>
      </c>
      <c r="G272" s="62" t="s">
        <v>13</v>
      </c>
      <c r="H272" s="64" t="s">
        <v>11</v>
      </c>
      <c r="I272" s="64" t="s">
        <v>9</v>
      </c>
      <c r="J272" s="65" t="s">
        <v>23</v>
      </c>
      <c r="K272" s="62" t="s">
        <v>1058</v>
      </c>
      <c r="L272" s="66">
        <v>8</v>
      </c>
      <c r="M272" s="67">
        <v>12</v>
      </c>
      <c r="N272" s="67">
        <v>1996</v>
      </c>
      <c r="O272" s="68">
        <f>DATE(Range!$N272,Range!$M272,Range!$L272)</f>
        <v>35407</v>
      </c>
      <c r="P272" s="68">
        <f t="shared" ca="1" si="4"/>
        <v>46071</v>
      </c>
      <c r="Q272" s="67">
        <f ca="1">DATEDIF(Range!$O272,Range!$P272,"Y")</f>
        <v>29</v>
      </c>
      <c r="R272" s="69">
        <v>7478</v>
      </c>
      <c r="S272" s="70">
        <f>Range!$R272*0.1</f>
        <v>747.80000000000007</v>
      </c>
      <c r="T272" s="71">
        <f>Range!$R272*0.03</f>
        <v>224.34</v>
      </c>
      <c r="U272" s="72">
        <f>Range!$R272-Range!$S272+Range!$T272</f>
        <v>6954.54</v>
      </c>
      <c r="V272" s="73" t="str">
        <f>IF(Range!$U272&gt;=6000,"Over","Normal")</f>
        <v>Over</v>
      </c>
      <c r="W272" s="74">
        <f>VLOOKUP(Range!$U272,$Z$10:$AA$14,2)</f>
        <v>0.02</v>
      </c>
    </row>
    <row r="273" spans="1:23" ht="15.75" customHeight="1">
      <c r="A273" s="75">
        <v>1272</v>
      </c>
      <c r="B273" s="76" t="s">
        <v>584</v>
      </c>
      <c r="C273" s="76" t="s">
        <v>585</v>
      </c>
      <c r="D273" s="77" t="str">
        <f>PROPER(TRIM(Range!$C273&amp;" "&amp;Range!$C273))</f>
        <v>Suirkili Suirkili</v>
      </c>
      <c r="E273" s="76" t="s">
        <v>99</v>
      </c>
      <c r="F273" s="76" t="s">
        <v>830</v>
      </c>
      <c r="G273" s="76" t="s">
        <v>1100</v>
      </c>
      <c r="H273" s="78" t="s">
        <v>22</v>
      </c>
      <c r="I273" s="78" t="s">
        <v>9</v>
      </c>
      <c r="J273" s="79" t="s">
        <v>10</v>
      </c>
      <c r="K273" s="76" t="s">
        <v>1059</v>
      </c>
      <c r="L273" s="80">
        <v>10</v>
      </c>
      <c r="M273" s="81">
        <v>11</v>
      </c>
      <c r="N273" s="81">
        <v>2001</v>
      </c>
      <c r="O273" s="82">
        <f>DATE(Range!$N273,Range!$M273,Range!$L273)</f>
        <v>37205</v>
      </c>
      <c r="P273" s="82">
        <f t="shared" ca="1" si="4"/>
        <v>46071</v>
      </c>
      <c r="Q273" s="81">
        <f ca="1">DATEDIF(Range!$O273,Range!$P273,"Y")</f>
        <v>24</v>
      </c>
      <c r="R273" s="83">
        <v>4621</v>
      </c>
      <c r="S273" s="84">
        <f>Range!$R273*0.1</f>
        <v>462.1</v>
      </c>
      <c r="T273" s="85">
        <f>Range!$R273*0.03</f>
        <v>138.63</v>
      </c>
      <c r="U273" s="86">
        <f>Range!$R273-Range!$S273+Range!$T273</f>
        <v>4297.53</v>
      </c>
      <c r="V273" s="87" t="str">
        <f>IF(Range!$U273&gt;=6000,"Over","Normal")</f>
        <v>Normal</v>
      </c>
      <c r="W273" s="88">
        <f>VLOOKUP(Range!$U273,$Z$10:$AA$14,2)</f>
        <v>0.05</v>
      </c>
    </row>
    <row r="274" spans="1:23" ht="15.75" customHeight="1">
      <c r="A274" s="61">
        <v>1273</v>
      </c>
      <c r="B274" s="62" t="s">
        <v>586</v>
      </c>
      <c r="C274" s="62" t="s">
        <v>587</v>
      </c>
      <c r="D274" s="63" t="str">
        <f>PROPER(TRIM(Range!$C274&amp;" "&amp;Range!$C274))</f>
        <v>Bihtiti Bihtiti</v>
      </c>
      <c r="E274" s="62" t="s">
        <v>100</v>
      </c>
      <c r="F274" s="62" t="s">
        <v>831</v>
      </c>
      <c r="G274" s="62" t="s">
        <v>17</v>
      </c>
      <c r="H274" s="64" t="s">
        <v>11</v>
      </c>
      <c r="I274" s="64" t="s">
        <v>27</v>
      </c>
      <c r="J274" s="65" t="s">
        <v>20</v>
      </c>
      <c r="K274" s="62" t="s">
        <v>1060</v>
      </c>
      <c r="L274" s="66">
        <v>11</v>
      </c>
      <c r="M274" s="67">
        <v>8</v>
      </c>
      <c r="N274" s="67">
        <v>2020</v>
      </c>
      <c r="O274" s="68">
        <f>DATE(Range!$N274,Range!$M274,Range!$L274)</f>
        <v>44054</v>
      </c>
      <c r="P274" s="68">
        <f t="shared" ca="1" si="4"/>
        <v>46071</v>
      </c>
      <c r="Q274" s="67">
        <f ca="1">DATEDIF(Range!$O274,Range!$P274,"Y")</f>
        <v>5</v>
      </c>
      <c r="R274" s="69">
        <v>2093</v>
      </c>
      <c r="S274" s="70">
        <f>Range!$R274*0.1</f>
        <v>209.3</v>
      </c>
      <c r="T274" s="71">
        <f>Range!$R274*0.03</f>
        <v>62.79</v>
      </c>
      <c r="U274" s="72">
        <f>Range!$R274-Range!$S274+Range!$T274</f>
        <v>1946.49</v>
      </c>
      <c r="V274" s="73" t="str">
        <f>IF(Range!$U274&gt;=6000,"Over","Normal")</f>
        <v>Normal</v>
      </c>
      <c r="W274" s="74">
        <f>VLOOKUP(Range!$U274,$Z$10:$AA$14,2)</f>
        <v>0.08</v>
      </c>
    </row>
    <row r="275" spans="1:23" ht="15.75" customHeight="1">
      <c r="A275" s="75">
        <v>1274</v>
      </c>
      <c r="B275" s="76" t="s">
        <v>30</v>
      </c>
      <c r="C275" s="76" t="s">
        <v>588</v>
      </c>
      <c r="D275" s="77" t="str">
        <f>PROPER(TRIM(Range!$C275&amp;" "&amp;Range!$C275))</f>
        <v>Barghaly Barghaly</v>
      </c>
      <c r="E275" s="76" t="s">
        <v>100</v>
      </c>
      <c r="F275" s="76" t="s">
        <v>832</v>
      </c>
      <c r="G275" s="76" t="s">
        <v>1100</v>
      </c>
      <c r="H275" s="78" t="s">
        <v>22</v>
      </c>
      <c r="I275" s="78" t="s">
        <v>264</v>
      </c>
      <c r="J275" s="79" t="s">
        <v>12</v>
      </c>
      <c r="K275" s="76" t="s">
        <v>1061</v>
      </c>
      <c r="L275" s="80">
        <v>19</v>
      </c>
      <c r="M275" s="81">
        <v>5</v>
      </c>
      <c r="N275" s="81">
        <v>1993</v>
      </c>
      <c r="O275" s="82">
        <f>DATE(Range!$N275,Range!$M275,Range!$L275)</f>
        <v>34108</v>
      </c>
      <c r="P275" s="82">
        <f t="shared" ca="1" si="4"/>
        <v>46071</v>
      </c>
      <c r="Q275" s="81">
        <f ca="1">DATEDIF(Range!$O275,Range!$P275,"Y")</f>
        <v>32</v>
      </c>
      <c r="R275" s="83">
        <v>7333</v>
      </c>
      <c r="S275" s="84">
        <f>Range!$R275*0.1</f>
        <v>733.30000000000007</v>
      </c>
      <c r="T275" s="85">
        <f>Range!$R275*0.03</f>
        <v>219.98999999999998</v>
      </c>
      <c r="U275" s="86">
        <f>Range!$R275-Range!$S275+Range!$T275</f>
        <v>6819.69</v>
      </c>
      <c r="V275" s="87" t="str">
        <f>IF(Range!$U275&gt;=6000,"Over","Normal")</f>
        <v>Over</v>
      </c>
      <c r="W275" s="88">
        <f>VLOOKUP(Range!$U275,$Z$10:$AA$14,2)</f>
        <v>0.02</v>
      </c>
    </row>
    <row r="276" spans="1:23" ht="15.75" customHeight="1">
      <c r="A276" s="61">
        <v>1275</v>
      </c>
      <c r="B276" s="62" t="s">
        <v>30</v>
      </c>
      <c r="C276" s="62" t="s">
        <v>589</v>
      </c>
      <c r="D276" s="63" t="str">
        <f>PROPER(TRIM(Range!$C276&amp;" "&amp;Range!$C276))</f>
        <v>Alshaykh Alshaykh</v>
      </c>
      <c r="E276" s="62" t="s">
        <v>100</v>
      </c>
      <c r="F276" s="62" t="s">
        <v>833</v>
      </c>
      <c r="G276" s="62" t="s">
        <v>17</v>
      </c>
      <c r="H276" s="64" t="s">
        <v>8</v>
      </c>
      <c r="I276" s="64" t="s">
        <v>15</v>
      </c>
      <c r="J276" s="65" t="s">
        <v>20</v>
      </c>
      <c r="K276" s="62" t="s">
        <v>1062</v>
      </c>
      <c r="L276" s="66">
        <v>9</v>
      </c>
      <c r="M276" s="67">
        <v>3</v>
      </c>
      <c r="N276" s="67">
        <v>2018</v>
      </c>
      <c r="O276" s="68">
        <f>DATE(Range!$N276,Range!$M276,Range!$L276)</f>
        <v>43168</v>
      </c>
      <c r="P276" s="68">
        <f t="shared" ca="1" si="4"/>
        <v>46071</v>
      </c>
      <c r="Q276" s="67">
        <f ca="1">DATEDIF(Range!$O276,Range!$P276,"Y")</f>
        <v>7</v>
      </c>
      <c r="R276" s="69">
        <v>1194</v>
      </c>
      <c r="S276" s="70">
        <f>Range!$R276*0.1</f>
        <v>119.4</v>
      </c>
      <c r="T276" s="71">
        <f>Range!$R276*0.03</f>
        <v>35.82</v>
      </c>
      <c r="U276" s="72">
        <f>Range!$R276-Range!$S276+Range!$T276</f>
        <v>1110.4199999999998</v>
      </c>
      <c r="V276" s="73" t="str">
        <f>IF(Range!$U276&gt;=6000,"Over","Normal")</f>
        <v>Normal</v>
      </c>
      <c r="W276" s="74">
        <f>VLOOKUP(Range!$U276,$Z$10:$AA$14,2)</f>
        <v>0.08</v>
      </c>
    </row>
    <row r="277" spans="1:23" ht="15.75" customHeight="1">
      <c r="A277" s="75">
        <v>1276</v>
      </c>
      <c r="B277" s="76" t="s">
        <v>444</v>
      </c>
      <c r="C277" s="76" t="s">
        <v>590</v>
      </c>
      <c r="D277" s="77" t="str">
        <f>PROPER(TRIM(Range!$C277&amp;" "&amp;Range!$C277))</f>
        <v>Huquq Huquq</v>
      </c>
      <c r="E277" s="76" t="s">
        <v>99</v>
      </c>
      <c r="F277" s="76" t="s">
        <v>834</v>
      </c>
      <c r="G277" s="76" t="s">
        <v>7</v>
      </c>
      <c r="H277" s="78" t="s">
        <v>8</v>
      </c>
      <c r="I277" s="78" t="s">
        <v>15</v>
      </c>
      <c r="J277" s="79" t="s">
        <v>10</v>
      </c>
      <c r="K277" s="76" t="s">
        <v>1063</v>
      </c>
      <c r="L277" s="80">
        <v>24</v>
      </c>
      <c r="M277" s="81">
        <v>2</v>
      </c>
      <c r="N277" s="81">
        <v>1995</v>
      </c>
      <c r="O277" s="82">
        <f>DATE(Range!$N277,Range!$M277,Range!$L277)</f>
        <v>34754</v>
      </c>
      <c r="P277" s="82">
        <f t="shared" ca="1" si="4"/>
        <v>46071</v>
      </c>
      <c r="Q277" s="81">
        <f ca="1">DATEDIF(Range!$O277,Range!$P277,"Y")</f>
        <v>30</v>
      </c>
      <c r="R277" s="83">
        <v>5118</v>
      </c>
      <c r="S277" s="84">
        <f>Range!$R277*0.1</f>
        <v>511.8</v>
      </c>
      <c r="T277" s="85">
        <f>Range!$R277*0.03</f>
        <v>153.54</v>
      </c>
      <c r="U277" s="86">
        <f>Range!$R277-Range!$S277+Range!$T277</f>
        <v>4759.74</v>
      </c>
      <c r="V277" s="87" t="str">
        <f>IF(Range!$U277&gt;=6000,"Over","Normal")</f>
        <v>Normal</v>
      </c>
      <c r="W277" s="88">
        <f>VLOOKUP(Range!$U277,$Z$10:$AA$14,2)</f>
        <v>0.05</v>
      </c>
    </row>
    <row r="278" spans="1:23" ht="15.75" customHeight="1">
      <c r="A278" s="61">
        <v>1277</v>
      </c>
      <c r="B278" s="62" t="s">
        <v>97</v>
      </c>
      <c r="C278" s="62" t="s">
        <v>591</v>
      </c>
      <c r="D278" s="63" t="str">
        <f>PROPER(TRIM(Range!$C278&amp;" "&amp;Range!$C278))</f>
        <v>Alqatish Alqatish</v>
      </c>
      <c r="E278" s="62" t="s">
        <v>100</v>
      </c>
      <c r="F278" s="62" t="s">
        <v>835</v>
      </c>
      <c r="G278" s="62" t="s">
        <v>17</v>
      </c>
      <c r="H278" s="64" t="s">
        <v>8</v>
      </c>
      <c r="I278" s="64" t="s">
        <v>28</v>
      </c>
      <c r="J278" s="65" t="s">
        <v>10</v>
      </c>
      <c r="K278" s="62" t="s">
        <v>1064</v>
      </c>
      <c r="L278" s="66">
        <v>26</v>
      </c>
      <c r="M278" s="67">
        <v>2</v>
      </c>
      <c r="N278" s="67">
        <v>2023</v>
      </c>
      <c r="O278" s="68">
        <f>DATE(Range!$N278,Range!$M278,Range!$L278)</f>
        <v>44983</v>
      </c>
      <c r="P278" s="68">
        <f t="shared" ca="1" si="4"/>
        <v>46071</v>
      </c>
      <c r="Q278" s="67">
        <f ca="1">DATEDIF(Range!$O278,Range!$P278,"Y")</f>
        <v>2</v>
      </c>
      <c r="R278" s="69">
        <v>5373</v>
      </c>
      <c r="S278" s="70">
        <f>Range!$R278*0.1</f>
        <v>537.30000000000007</v>
      </c>
      <c r="T278" s="71">
        <f>Range!$R278*0.03</f>
        <v>161.19</v>
      </c>
      <c r="U278" s="72">
        <f>Range!$R278-Range!$S278+Range!$T278</f>
        <v>4996.8899999999994</v>
      </c>
      <c r="V278" s="73" t="str">
        <f>IF(Range!$U278&gt;=6000,"Over","Normal")</f>
        <v>Normal</v>
      </c>
      <c r="W278" s="74">
        <f>VLOOKUP(Range!$U278,$Z$10:$AA$14,2)</f>
        <v>0.05</v>
      </c>
    </row>
    <row r="279" spans="1:23" ht="15.75" customHeight="1">
      <c r="A279" s="75">
        <v>1278</v>
      </c>
      <c r="B279" s="76" t="s">
        <v>592</v>
      </c>
      <c r="C279" s="76" t="s">
        <v>593</v>
      </c>
      <c r="D279" s="77" t="str">
        <f>PROPER(TRIM(Range!$C279&amp;" "&amp;Range!$C279))</f>
        <v>Alealiu Alealiu</v>
      </c>
      <c r="E279" s="76" t="s">
        <v>100</v>
      </c>
      <c r="F279" s="76" t="s">
        <v>836</v>
      </c>
      <c r="G279" s="76" t="s">
        <v>17</v>
      </c>
      <c r="H279" s="78" t="s">
        <v>14</v>
      </c>
      <c r="I279" s="78" t="s">
        <v>29</v>
      </c>
      <c r="J279" s="79" t="s">
        <v>12</v>
      </c>
      <c r="K279" s="76" t="s">
        <v>1065</v>
      </c>
      <c r="L279" s="80">
        <v>28</v>
      </c>
      <c r="M279" s="81">
        <v>8</v>
      </c>
      <c r="N279" s="81">
        <v>2005</v>
      </c>
      <c r="O279" s="82">
        <f>DATE(Range!$N279,Range!$M279,Range!$L279)</f>
        <v>38592</v>
      </c>
      <c r="P279" s="82">
        <f t="shared" ca="1" si="4"/>
        <v>46071</v>
      </c>
      <c r="Q279" s="81">
        <f ca="1">DATEDIF(Range!$O279,Range!$P279,"Y")</f>
        <v>20</v>
      </c>
      <c r="R279" s="83">
        <v>1708</v>
      </c>
      <c r="S279" s="84">
        <f>Range!$R279*0.1</f>
        <v>170.8</v>
      </c>
      <c r="T279" s="85">
        <f>Range!$R279*0.03</f>
        <v>51.239999999999995</v>
      </c>
      <c r="U279" s="86">
        <f>Range!$R279-Range!$S279+Range!$T279</f>
        <v>1588.44</v>
      </c>
      <c r="V279" s="87" t="str">
        <f>IF(Range!$U279&gt;=6000,"Over","Normal")</f>
        <v>Normal</v>
      </c>
      <c r="W279" s="88">
        <f>VLOOKUP(Range!$U279,$Z$10:$AA$14,2)</f>
        <v>0.08</v>
      </c>
    </row>
    <row r="280" spans="1:23" ht="15.75" customHeight="1">
      <c r="A280" s="61">
        <v>1279</v>
      </c>
      <c r="B280" s="62" t="s">
        <v>118</v>
      </c>
      <c r="C280" s="62" t="s">
        <v>110</v>
      </c>
      <c r="D280" s="63" t="str">
        <f>PROPER(TRIM(Range!$C280&amp;" "&amp;Range!$C280))</f>
        <v>Alrifaei Alrifaei</v>
      </c>
      <c r="E280" s="62" t="s">
        <v>99</v>
      </c>
      <c r="F280" s="62" t="s">
        <v>837</v>
      </c>
      <c r="G280" s="62" t="s">
        <v>19</v>
      </c>
      <c r="H280" s="64" t="s">
        <v>11</v>
      </c>
      <c r="I280" s="64" t="s">
        <v>264</v>
      </c>
      <c r="J280" s="65" t="s">
        <v>10</v>
      </c>
      <c r="K280" s="62" t="s">
        <v>1066</v>
      </c>
      <c r="L280" s="66">
        <v>6</v>
      </c>
      <c r="M280" s="67">
        <v>11</v>
      </c>
      <c r="N280" s="67">
        <v>1994</v>
      </c>
      <c r="O280" s="68">
        <f>DATE(Range!$N280,Range!$M280,Range!$L280)</f>
        <v>34644</v>
      </c>
      <c r="P280" s="68">
        <f t="shared" ca="1" si="4"/>
        <v>46071</v>
      </c>
      <c r="Q280" s="67">
        <f ca="1">DATEDIF(Range!$O280,Range!$P280,"Y")</f>
        <v>31</v>
      </c>
      <c r="R280" s="69">
        <v>2898</v>
      </c>
      <c r="S280" s="70">
        <f>Range!$R280*0.1</f>
        <v>289.8</v>
      </c>
      <c r="T280" s="71">
        <f>Range!$R280*0.03</f>
        <v>86.94</v>
      </c>
      <c r="U280" s="72">
        <f>Range!$R280-Range!$S280+Range!$T280</f>
        <v>2695.14</v>
      </c>
      <c r="V280" s="73" t="str">
        <f>IF(Range!$U280&gt;=6000,"Over","Normal")</f>
        <v>Normal</v>
      </c>
      <c r="W280" s="74">
        <f>VLOOKUP(Range!$U280,$Z$10:$AA$14,2)</f>
        <v>0.08</v>
      </c>
    </row>
    <row r="281" spans="1:23" ht="15.75" customHeight="1">
      <c r="A281" s="75">
        <v>1280</v>
      </c>
      <c r="B281" s="76" t="s">
        <v>594</v>
      </c>
      <c r="C281" s="76" t="s">
        <v>110</v>
      </c>
      <c r="D281" s="77" t="str">
        <f>PROPER(TRIM(Range!$C281&amp;" "&amp;Range!$C281))</f>
        <v>Alrifaei Alrifaei</v>
      </c>
      <c r="E281" s="76" t="s">
        <v>99</v>
      </c>
      <c r="F281" s="76" t="s">
        <v>838</v>
      </c>
      <c r="G281" s="76" t="s">
        <v>7</v>
      </c>
      <c r="H281" s="78" t="s">
        <v>8</v>
      </c>
      <c r="I281" s="78" t="s">
        <v>26</v>
      </c>
      <c r="J281" s="79" t="s">
        <v>10</v>
      </c>
      <c r="K281" s="76" t="s">
        <v>1067</v>
      </c>
      <c r="L281" s="80">
        <v>25</v>
      </c>
      <c r="M281" s="81">
        <v>12</v>
      </c>
      <c r="N281" s="81">
        <v>2007</v>
      </c>
      <c r="O281" s="82">
        <f>DATE(Range!$N281,Range!$M281,Range!$L281)</f>
        <v>39441</v>
      </c>
      <c r="P281" s="82">
        <f t="shared" ca="1" si="4"/>
        <v>46071</v>
      </c>
      <c r="Q281" s="81">
        <f ca="1">DATEDIF(Range!$O281,Range!$P281,"Y")</f>
        <v>18</v>
      </c>
      <c r="R281" s="83">
        <v>6211</v>
      </c>
      <c r="S281" s="84">
        <f>Range!$R281*0.1</f>
        <v>621.1</v>
      </c>
      <c r="T281" s="85">
        <f>Range!$R281*0.03</f>
        <v>186.32999999999998</v>
      </c>
      <c r="U281" s="86">
        <f>Range!$R281-Range!$S281+Range!$T281</f>
        <v>5776.23</v>
      </c>
      <c r="V281" s="87" t="str">
        <f>IF(Range!$U281&gt;=6000,"Over","Normal")</f>
        <v>Normal</v>
      </c>
      <c r="W281" s="88">
        <f>VLOOKUP(Range!$U281,$Z$10:$AA$14,2)</f>
        <v>0.05</v>
      </c>
    </row>
    <row r="282" spans="1:23" ht="15.75" customHeight="1">
      <c r="A282" s="61">
        <v>1281</v>
      </c>
      <c r="B282" s="62" t="s">
        <v>117</v>
      </c>
      <c r="C282" s="62" t="s">
        <v>595</v>
      </c>
      <c r="D282" s="63" t="str">
        <f>PROPER(TRIM(Range!$C282&amp;" "&amp;Range!$C282))</f>
        <v>Darbika Darbika</v>
      </c>
      <c r="E282" s="62" t="s">
        <v>99</v>
      </c>
      <c r="F282" s="62" t="s">
        <v>839</v>
      </c>
      <c r="G282" s="62" t="s">
        <v>19</v>
      </c>
      <c r="H282" s="64" t="s">
        <v>8</v>
      </c>
      <c r="I282" s="64" t="s">
        <v>9</v>
      </c>
      <c r="J282" s="65" t="s">
        <v>12</v>
      </c>
      <c r="K282" s="62" t="s">
        <v>1068</v>
      </c>
      <c r="L282" s="66">
        <v>25</v>
      </c>
      <c r="M282" s="67">
        <v>10</v>
      </c>
      <c r="N282" s="67">
        <v>2007</v>
      </c>
      <c r="O282" s="68">
        <f>DATE(Range!$N282,Range!$M282,Range!$L282)</f>
        <v>39380</v>
      </c>
      <c r="P282" s="68">
        <f t="shared" ca="1" si="4"/>
        <v>46071</v>
      </c>
      <c r="Q282" s="67">
        <f ca="1">DATEDIF(Range!$O282,Range!$P282,"Y")</f>
        <v>18</v>
      </c>
      <c r="R282" s="69">
        <v>5976</v>
      </c>
      <c r="S282" s="70">
        <f>Range!$R282*0.1</f>
        <v>597.6</v>
      </c>
      <c r="T282" s="71">
        <f>Range!$R282*0.03</f>
        <v>179.28</v>
      </c>
      <c r="U282" s="72">
        <f>Range!$R282-Range!$S282+Range!$T282</f>
        <v>5557.6799999999994</v>
      </c>
      <c r="V282" s="73" t="str">
        <f>IF(Range!$U282&gt;=6000,"Over","Normal")</f>
        <v>Normal</v>
      </c>
      <c r="W282" s="74">
        <f>VLOOKUP(Range!$U282,$Z$10:$AA$14,2)</f>
        <v>0.05</v>
      </c>
    </row>
    <row r="283" spans="1:23" ht="15.75" customHeight="1">
      <c r="A283" s="75">
        <v>1282</v>
      </c>
      <c r="B283" s="76" t="s">
        <v>596</v>
      </c>
      <c r="C283" s="76" t="s">
        <v>597</v>
      </c>
      <c r="D283" s="77" t="str">
        <f>PROPER(TRIM(Range!$C283&amp;" "&amp;Range!$C283))</f>
        <v>Salahi Salahi</v>
      </c>
      <c r="E283" s="76" t="s">
        <v>99</v>
      </c>
      <c r="F283" s="76" t="s">
        <v>840</v>
      </c>
      <c r="G283" s="76" t="s">
        <v>19</v>
      </c>
      <c r="H283" s="78" t="s">
        <v>8</v>
      </c>
      <c r="I283" s="78" t="s">
        <v>9</v>
      </c>
      <c r="J283" s="79" t="s">
        <v>12</v>
      </c>
      <c r="K283" s="76" t="s">
        <v>1069</v>
      </c>
      <c r="L283" s="80">
        <v>5</v>
      </c>
      <c r="M283" s="81">
        <v>11</v>
      </c>
      <c r="N283" s="81">
        <v>2015</v>
      </c>
      <c r="O283" s="82">
        <f>DATE(Range!$N283,Range!$M283,Range!$L283)</f>
        <v>42313</v>
      </c>
      <c r="P283" s="82">
        <f t="shared" ca="1" si="4"/>
        <v>46071</v>
      </c>
      <c r="Q283" s="81">
        <f ca="1">DATEDIF(Range!$O283,Range!$P283,"Y")</f>
        <v>10</v>
      </c>
      <c r="R283" s="83">
        <v>742</v>
      </c>
      <c r="S283" s="84">
        <f>Range!$R283*0.1</f>
        <v>74.2</v>
      </c>
      <c r="T283" s="85">
        <f>Range!$R283*0.03</f>
        <v>22.259999999999998</v>
      </c>
      <c r="U283" s="86">
        <f>Range!$R283-Range!$S283+Range!$T283</f>
        <v>690.06</v>
      </c>
      <c r="V283" s="87" t="str">
        <f>IF(Range!$U283&gt;=6000,"Over","Normal")</f>
        <v>Normal</v>
      </c>
      <c r="W283" s="88">
        <f>VLOOKUP(Range!$U283,$Z$10:$AA$14,2)</f>
        <v>0.1</v>
      </c>
    </row>
    <row r="284" spans="1:23" ht="15.75" customHeight="1">
      <c r="A284" s="61">
        <v>1283</v>
      </c>
      <c r="B284" s="62" t="s">
        <v>410</v>
      </c>
      <c r="C284" s="62" t="s">
        <v>598</v>
      </c>
      <c r="D284" s="63" t="str">
        <f>PROPER(TRIM(Range!$C284&amp;" "&amp;Range!$C284))</f>
        <v>Aldhahabi Aldhahabi</v>
      </c>
      <c r="E284" s="62" t="s">
        <v>100</v>
      </c>
      <c r="F284" s="62" t="s">
        <v>841</v>
      </c>
      <c r="G284" s="62" t="s">
        <v>13</v>
      </c>
      <c r="H284" s="64" t="s">
        <v>8</v>
      </c>
      <c r="I284" s="64" t="s">
        <v>27</v>
      </c>
      <c r="J284" s="65" t="s">
        <v>12</v>
      </c>
      <c r="K284" s="62" t="s">
        <v>1070</v>
      </c>
      <c r="L284" s="66">
        <v>5</v>
      </c>
      <c r="M284" s="67">
        <v>7</v>
      </c>
      <c r="N284" s="67">
        <v>2008</v>
      </c>
      <c r="O284" s="68">
        <f>DATE(Range!$N284,Range!$M284,Range!$L284)</f>
        <v>39634</v>
      </c>
      <c r="P284" s="68">
        <f t="shared" ca="1" si="4"/>
        <v>46071</v>
      </c>
      <c r="Q284" s="67">
        <f ca="1">DATEDIF(Range!$O284,Range!$P284,"Y")</f>
        <v>17</v>
      </c>
      <c r="R284" s="69">
        <v>5918</v>
      </c>
      <c r="S284" s="70">
        <f>Range!$R284*0.1</f>
        <v>591.80000000000007</v>
      </c>
      <c r="T284" s="71">
        <f>Range!$R284*0.03</f>
        <v>177.54</v>
      </c>
      <c r="U284" s="72">
        <f>Range!$R284-Range!$S284+Range!$T284</f>
        <v>5503.74</v>
      </c>
      <c r="V284" s="73" t="str">
        <f>IF(Range!$U284&gt;=6000,"Over","Normal")</f>
        <v>Normal</v>
      </c>
      <c r="W284" s="74">
        <f>VLOOKUP(Range!$U284,$Z$10:$AA$14,2)</f>
        <v>0.05</v>
      </c>
    </row>
    <row r="285" spans="1:23" ht="15.75" customHeight="1">
      <c r="A285" s="75">
        <v>1284</v>
      </c>
      <c r="B285" s="76" t="s">
        <v>95</v>
      </c>
      <c r="C285" s="76" t="s">
        <v>599</v>
      </c>
      <c r="D285" s="77" t="str">
        <f>PROPER(TRIM(Range!$C285&amp;" "&amp;Range!$C285))</f>
        <v>Drwysh Drwysh</v>
      </c>
      <c r="E285" s="76" t="s">
        <v>99</v>
      </c>
      <c r="F285" s="76" t="s">
        <v>842</v>
      </c>
      <c r="G285" s="76" t="s">
        <v>13</v>
      </c>
      <c r="H285" s="78" t="s">
        <v>11</v>
      </c>
      <c r="I285" s="78" t="s">
        <v>15</v>
      </c>
      <c r="J285" s="79" t="s">
        <v>20</v>
      </c>
      <c r="K285" s="76" t="s">
        <v>1071</v>
      </c>
      <c r="L285" s="80">
        <v>14</v>
      </c>
      <c r="M285" s="81">
        <v>1</v>
      </c>
      <c r="N285" s="81">
        <v>2016</v>
      </c>
      <c r="O285" s="82">
        <f>DATE(Range!$N285,Range!$M285,Range!$L285)</f>
        <v>42383</v>
      </c>
      <c r="P285" s="82">
        <f t="shared" ca="1" si="4"/>
        <v>46071</v>
      </c>
      <c r="Q285" s="81">
        <f ca="1">DATEDIF(Range!$O285,Range!$P285,"Y")</f>
        <v>10</v>
      </c>
      <c r="R285" s="83">
        <v>3074</v>
      </c>
      <c r="S285" s="84">
        <f>Range!$R285*0.1</f>
        <v>307.40000000000003</v>
      </c>
      <c r="T285" s="85">
        <f>Range!$R285*0.03</f>
        <v>92.22</v>
      </c>
      <c r="U285" s="86">
        <f>Range!$R285-Range!$S285+Range!$T285</f>
        <v>2858.8199999999997</v>
      </c>
      <c r="V285" s="87" t="str">
        <f>IF(Range!$U285&gt;=6000,"Over","Normal")</f>
        <v>Normal</v>
      </c>
      <c r="W285" s="88">
        <f>VLOOKUP(Range!$U285,$Z$10:$AA$14,2)</f>
        <v>0.08</v>
      </c>
    </row>
    <row r="286" spans="1:23" ht="15.75" customHeight="1">
      <c r="A286" s="61">
        <v>1285</v>
      </c>
      <c r="B286" s="62" t="s">
        <v>531</v>
      </c>
      <c r="C286" s="62" t="s">
        <v>600</v>
      </c>
      <c r="D286" s="63" t="str">
        <f>PROPER(TRIM(Range!$C286&amp;" "&amp;Range!$C286))</f>
        <v>Filyun Filyun</v>
      </c>
      <c r="E286" s="62" t="s">
        <v>100</v>
      </c>
      <c r="F286" s="62" t="s">
        <v>843</v>
      </c>
      <c r="G286" s="62" t="s">
        <v>19</v>
      </c>
      <c r="H286" s="64" t="s">
        <v>22</v>
      </c>
      <c r="I286" s="64" t="s">
        <v>9</v>
      </c>
      <c r="J286" s="65" t="s">
        <v>10</v>
      </c>
      <c r="K286" s="62" t="s">
        <v>1072</v>
      </c>
      <c r="L286" s="66">
        <v>19</v>
      </c>
      <c r="M286" s="67">
        <v>5</v>
      </c>
      <c r="N286" s="67">
        <v>1994</v>
      </c>
      <c r="O286" s="68">
        <f>DATE(Range!$N286,Range!$M286,Range!$L286)</f>
        <v>34473</v>
      </c>
      <c r="P286" s="68">
        <f t="shared" ca="1" si="4"/>
        <v>46071</v>
      </c>
      <c r="Q286" s="67">
        <f ca="1">DATEDIF(Range!$O286,Range!$P286,"Y")</f>
        <v>31</v>
      </c>
      <c r="R286" s="69">
        <v>5688</v>
      </c>
      <c r="S286" s="70">
        <f>Range!$R286*0.1</f>
        <v>568.80000000000007</v>
      </c>
      <c r="T286" s="71">
        <f>Range!$R286*0.03</f>
        <v>170.64</v>
      </c>
      <c r="U286" s="72">
        <f>Range!$R286-Range!$S286+Range!$T286</f>
        <v>5289.84</v>
      </c>
      <c r="V286" s="73" t="str">
        <f>IF(Range!$U286&gt;=6000,"Over","Normal")</f>
        <v>Normal</v>
      </c>
      <c r="W286" s="74">
        <f>VLOOKUP(Range!$U286,$Z$10:$AA$14,2)</f>
        <v>0.05</v>
      </c>
    </row>
    <row r="287" spans="1:23" ht="15.75" customHeight="1">
      <c r="A287" s="75">
        <v>1286</v>
      </c>
      <c r="B287" s="76" t="s">
        <v>334</v>
      </c>
      <c r="C287" s="76" t="s">
        <v>601</v>
      </c>
      <c r="D287" s="77" t="str">
        <f>PROPER(TRIM(Range!$C287&amp;" "&amp;Range!$C287))</f>
        <v>Alshahadat Alshahadat</v>
      </c>
      <c r="E287" s="76" t="s">
        <v>99</v>
      </c>
      <c r="F287" s="76" t="s">
        <v>844</v>
      </c>
      <c r="G287" s="76" t="s">
        <v>13</v>
      </c>
      <c r="H287" s="78" t="s">
        <v>14</v>
      </c>
      <c r="I287" s="78" t="s">
        <v>9</v>
      </c>
      <c r="J287" s="79" t="s">
        <v>10</v>
      </c>
      <c r="K287" s="76" t="s">
        <v>1073</v>
      </c>
      <c r="L287" s="80">
        <v>8</v>
      </c>
      <c r="M287" s="81">
        <v>4</v>
      </c>
      <c r="N287" s="81">
        <v>2022</v>
      </c>
      <c r="O287" s="82">
        <f>DATE(Range!$N287,Range!$M287,Range!$L287)</f>
        <v>44659</v>
      </c>
      <c r="P287" s="82">
        <f t="shared" ca="1" si="4"/>
        <v>46071</v>
      </c>
      <c r="Q287" s="81">
        <f ca="1">DATEDIF(Range!$O287,Range!$P287,"Y")</f>
        <v>3</v>
      </c>
      <c r="R287" s="83">
        <v>3362</v>
      </c>
      <c r="S287" s="84">
        <f>Range!$R287*0.1</f>
        <v>336.20000000000005</v>
      </c>
      <c r="T287" s="85">
        <f>Range!$R287*0.03</f>
        <v>100.86</v>
      </c>
      <c r="U287" s="86">
        <f>Range!$R287-Range!$S287+Range!$T287</f>
        <v>3126.6600000000003</v>
      </c>
      <c r="V287" s="87" t="str">
        <f>IF(Range!$U287&gt;=6000,"Over","Normal")</f>
        <v>Normal</v>
      </c>
      <c r="W287" s="88">
        <f>VLOOKUP(Range!$U287,$Z$10:$AA$14,2)</f>
        <v>0.05</v>
      </c>
    </row>
    <row r="288" spans="1:23" ht="15.75" customHeight="1">
      <c r="A288" s="61">
        <v>1287</v>
      </c>
      <c r="B288" s="62" t="s">
        <v>602</v>
      </c>
      <c r="C288" s="62" t="s">
        <v>603</v>
      </c>
      <c r="D288" s="63" t="str">
        <f>PROPER(TRIM(Range!$C288&amp;" "&amp;Range!$C288))</f>
        <v>Bahriin Bahriin</v>
      </c>
      <c r="E288" s="62" t="s">
        <v>100</v>
      </c>
      <c r="F288" s="62" t="s">
        <v>845</v>
      </c>
      <c r="G288" s="62" t="s">
        <v>17</v>
      </c>
      <c r="H288" s="64" t="s">
        <v>11</v>
      </c>
      <c r="I288" s="64" t="s">
        <v>9</v>
      </c>
      <c r="J288" s="65" t="s">
        <v>10</v>
      </c>
      <c r="K288" s="62" t="s">
        <v>1074</v>
      </c>
      <c r="L288" s="66">
        <v>16</v>
      </c>
      <c r="M288" s="67">
        <v>5</v>
      </c>
      <c r="N288" s="67">
        <v>2000</v>
      </c>
      <c r="O288" s="68">
        <f>DATE(Range!$N288,Range!$M288,Range!$L288)</f>
        <v>36662</v>
      </c>
      <c r="P288" s="68">
        <f t="shared" ca="1" si="4"/>
        <v>46071</v>
      </c>
      <c r="Q288" s="67">
        <f ca="1">DATEDIF(Range!$O288,Range!$P288,"Y")</f>
        <v>25</v>
      </c>
      <c r="R288" s="69">
        <v>6043</v>
      </c>
      <c r="S288" s="70">
        <f>Range!$R288*0.1</f>
        <v>604.30000000000007</v>
      </c>
      <c r="T288" s="71">
        <f>Range!$R288*0.03</f>
        <v>181.29</v>
      </c>
      <c r="U288" s="72">
        <f>Range!$R288-Range!$S288+Range!$T288</f>
        <v>5619.99</v>
      </c>
      <c r="V288" s="73" t="str">
        <f>IF(Range!$U288&gt;=6000,"Over","Normal")</f>
        <v>Normal</v>
      </c>
      <c r="W288" s="74">
        <f>VLOOKUP(Range!$U288,$Z$10:$AA$14,2)</f>
        <v>0.05</v>
      </c>
    </row>
    <row r="289" spans="1:23" ht="15.75" customHeight="1">
      <c r="A289" s="75">
        <v>1288</v>
      </c>
      <c r="B289" s="76" t="s">
        <v>124</v>
      </c>
      <c r="C289" s="76" t="s">
        <v>604</v>
      </c>
      <c r="D289" s="77" t="str">
        <f>PROPER(TRIM(Range!$C289&amp;" "&amp;Range!$C289))</f>
        <v>Alqadi Alqadi</v>
      </c>
      <c r="E289" s="76" t="s">
        <v>100</v>
      </c>
      <c r="F289" s="76" t="s">
        <v>846</v>
      </c>
      <c r="G289" s="76" t="s">
        <v>17</v>
      </c>
      <c r="H289" s="78" t="s">
        <v>8</v>
      </c>
      <c r="I289" s="78" t="s">
        <v>9</v>
      </c>
      <c r="J289" s="79" t="s">
        <v>20</v>
      </c>
      <c r="K289" s="76" t="s">
        <v>1075</v>
      </c>
      <c r="L289" s="80">
        <v>1</v>
      </c>
      <c r="M289" s="81">
        <v>4</v>
      </c>
      <c r="N289" s="81">
        <v>2002</v>
      </c>
      <c r="O289" s="82">
        <f>DATE(Range!$N289,Range!$M289,Range!$L289)</f>
        <v>37347</v>
      </c>
      <c r="P289" s="82">
        <f t="shared" ca="1" si="4"/>
        <v>46071</v>
      </c>
      <c r="Q289" s="81">
        <f ca="1">DATEDIF(Range!$O289,Range!$P289,"Y")</f>
        <v>23</v>
      </c>
      <c r="R289" s="83">
        <v>6260</v>
      </c>
      <c r="S289" s="84">
        <f>Range!$R289*0.1</f>
        <v>626</v>
      </c>
      <c r="T289" s="85">
        <f>Range!$R289*0.03</f>
        <v>187.79999999999998</v>
      </c>
      <c r="U289" s="86">
        <f>Range!$R289-Range!$S289+Range!$T289</f>
        <v>5821.8</v>
      </c>
      <c r="V289" s="87" t="str">
        <f>IF(Range!$U289&gt;=6000,"Over","Normal")</f>
        <v>Normal</v>
      </c>
      <c r="W289" s="88">
        <f>VLOOKUP(Range!$U289,$Z$10:$AA$14,2)</f>
        <v>0.05</v>
      </c>
    </row>
    <row r="290" spans="1:23" ht="15.75" customHeight="1">
      <c r="A290" s="61">
        <v>1289</v>
      </c>
      <c r="B290" s="62" t="s">
        <v>605</v>
      </c>
      <c r="C290" s="62" t="s">
        <v>606</v>
      </c>
      <c r="D290" s="63" t="str">
        <f>PROPER(TRIM(Range!$C290&amp;" "&amp;Range!$C290))</f>
        <v>Bwfaeur Bwfaeur</v>
      </c>
      <c r="E290" s="62" t="s">
        <v>100</v>
      </c>
      <c r="F290" s="62" t="s">
        <v>847</v>
      </c>
      <c r="G290" s="62" t="s">
        <v>17</v>
      </c>
      <c r="H290" s="64" t="s">
        <v>22</v>
      </c>
      <c r="I290" s="64" t="s">
        <v>9</v>
      </c>
      <c r="J290" s="65" t="s">
        <v>10</v>
      </c>
      <c r="K290" s="62" t="s">
        <v>1076</v>
      </c>
      <c r="L290" s="66">
        <v>15</v>
      </c>
      <c r="M290" s="67">
        <v>4</v>
      </c>
      <c r="N290" s="67">
        <v>2000</v>
      </c>
      <c r="O290" s="68">
        <f>DATE(Range!$N290,Range!$M290,Range!$L290)</f>
        <v>36631</v>
      </c>
      <c r="P290" s="68">
        <f t="shared" ca="1" si="4"/>
        <v>46071</v>
      </c>
      <c r="Q290" s="67">
        <f ca="1">DATEDIF(Range!$O290,Range!$P290,"Y")</f>
        <v>25</v>
      </c>
      <c r="R290" s="69">
        <v>3754</v>
      </c>
      <c r="S290" s="70">
        <f>Range!$R290*0.1</f>
        <v>375.40000000000003</v>
      </c>
      <c r="T290" s="71">
        <f>Range!$R290*0.03</f>
        <v>112.61999999999999</v>
      </c>
      <c r="U290" s="72">
        <f>Range!$R290-Range!$S290+Range!$T290</f>
        <v>3491.22</v>
      </c>
      <c r="V290" s="73" t="str">
        <f>IF(Range!$U290&gt;=6000,"Over","Normal")</f>
        <v>Normal</v>
      </c>
      <c r="W290" s="74">
        <f>VLOOKUP(Range!$U290,$Z$10:$AA$14,2)</f>
        <v>0.05</v>
      </c>
    </row>
    <row r="291" spans="1:23" ht="15.75" customHeight="1">
      <c r="A291" s="75">
        <v>1290</v>
      </c>
      <c r="B291" s="76" t="s">
        <v>586</v>
      </c>
      <c r="C291" s="76" t="s">
        <v>176</v>
      </c>
      <c r="D291" s="77" t="str">
        <f>PROPER(TRIM(Range!$C291&amp;" "&amp;Range!$C291))</f>
        <v>Eubayd Eubayd</v>
      </c>
      <c r="E291" s="76" t="s">
        <v>100</v>
      </c>
      <c r="F291" s="76" t="s">
        <v>848</v>
      </c>
      <c r="G291" s="76" t="s">
        <v>13</v>
      </c>
      <c r="H291" s="78" t="s">
        <v>8</v>
      </c>
      <c r="I291" s="78" t="s">
        <v>25</v>
      </c>
      <c r="J291" s="79" t="s">
        <v>12</v>
      </c>
      <c r="K291" s="76" t="s">
        <v>1077</v>
      </c>
      <c r="L291" s="80">
        <v>26</v>
      </c>
      <c r="M291" s="81">
        <v>10</v>
      </c>
      <c r="N291" s="81">
        <v>2003</v>
      </c>
      <c r="O291" s="82">
        <f>DATE(Range!$N291,Range!$M291,Range!$L291)</f>
        <v>37920</v>
      </c>
      <c r="P291" s="82">
        <f t="shared" ca="1" si="4"/>
        <v>46071</v>
      </c>
      <c r="Q291" s="81">
        <f ca="1">DATEDIF(Range!$O291,Range!$P291,"Y")</f>
        <v>22</v>
      </c>
      <c r="R291" s="83">
        <v>6579</v>
      </c>
      <c r="S291" s="84">
        <f>Range!$R291*0.1</f>
        <v>657.90000000000009</v>
      </c>
      <c r="T291" s="85">
        <f>Range!$R291*0.03</f>
        <v>197.37</v>
      </c>
      <c r="U291" s="86">
        <f>Range!$R291-Range!$S291+Range!$T291</f>
        <v>6118.47</v>
      </c>
      <c r="V291" s="87" t="str">
        <f>IF(Range!$U291&gt;=6000,"Over","Normal")</f>
        <v>Over</v>
      </c>
      <c r="W291" s="88">
        <f>VLOOKUP(Range!$U291,$Z$10:$AA$14,2)</f>
        <v>0.02</v>
      </c>
    </row>
    <row r="292" spans="1:23" ht="15.75" customHeight="1">
      <c r="A292" s="61">
        <v>1291</v>
      </c>
      <c r="B292" s="62" t="s">
        <v>607</v>
      </c>
      <c r="C292" s="62" t="s">
        <v>608</v>
      </c>
      <c r="D292" s="63" t="str">
        <f>PROPER(TRIM(Range!$C292&amp;" "&amp;Range!$C292))</f>
        <v>Nieamah Nieamah</v>
      </c>
      <c r="E292" s="62" t="s">
        <v>99</v>
      </c>
      <c r="F292" s="62" t="s">
        <v>849</v>
      </c>
      <c r="G292" s="62" t="s">
        <v>17</v>
      </c>
      <c r="H292" s="64" t="s">
        <v>11</v>
      </c>
      <c r="I292" s="64" t="s">
        <v>18</v>
      </c>
      <c r="J292" s="65" t="s">
        <v>10</v>
      </c>
      <c r="K292" s="62" t="s">
        <v>1078</v>
      </c>
      <c r="L292" s="66">
        <v>8</v>
      </c>
      <c r="M292" s="67">
        <v>12</v>
      </c>
      <c r="N292" s="67">
        <v>2021</v>
      </c>
      <c r="O292" s="68">
        <f>DATE(Range!$N292,Range!$M292,Range!$L292)</f>
        <v>44538</v>
      </c>
      <c r="P292" s="68">
        <f t="shared" ca="1" si="4"/>
        <v>46071</v>
      </c>
      <c r="Q292" s="67">
        <f ca="1">DATEDIF(Range!$O292,Range!$P292,"Y")</f>
        <v>4</v>
      </c>
      <c r="R292" s="69">
        <v>5373</v>
      </c>
      <c r="S292" s="70">
        <f>Range!$R292*0.1</f>
        <v>537.30000000000007</v>
      </c>
      <c r="T292" s="71">
        <f>Range!$R292*0.03</f>
        <v>161.19</v>
      </c>
      <c r="U292" s="72">
        <f>Range!$R292-Range!$S292+Range!$T292</f>
        <v>4996.8899999999994</v>
      </c>
      <c r="V292" s="73" t="str">
        <f>IF(Range!$U292&gt;=6000,"Over","Normal")</f>
        <v>Normal</v>
      </c>
      <c r="W292" s="74">
        <f>VLOOKUP(Range!$U292,$Z$10:$AA$14,2)</f>
        <v>0.05</v>
      </c>
    </row>
    <row r="293" spans="1:23" ht="15.75" customHeight="1">
      <c r="A293" s="75">
        <v>1292</v>
      </c>
      <c r="B293" s="76" t="s">
        <v>30</v>
      </c>
      <c r="C293" s="76" t="s">
        <v>609</v>
      </c>
      <c r="D293" s="77" t="str">
        <f>PROPER(TRIM(Range!$C293&amp;" "&amp;Range!$C293))</f>
        <v>Nhl Nhl</v>
      </c>
      <c r="E293" s="76" t="s">
        <v>100</v>
      </c>
      <c r="F293" s="76" t="s">
        <v>850</v>
      </c>
      <c r="G293" s="76" t="s">
        <v>13</v>
      </c>
      <c r="H293" s="78" t="s">
        <v>11</v>
      </c>
      <c r="I293" s="78" t="s">
        <v>15</v>
      </c>
      <c r="J293" s="79" t="s">
        <v>12</v>
      </c>
      <c r="K293" s="76" t="s">
        <v>1079</v>
      </c>
      <c r="L293" s="80">
        <v>7</v>
      </c>
      <c r="M293" s="81">
        <v>11</v>
      </c>
      <c r="N293" s="81">
        <v>1997</v>
      </c>
      <c r="O293" s="82">
        <f>DATE(Range!$N293,Range!$M293,Range!$L293)</f>
        <v>35741</v>
      </c>
      <c r="P293" s="82">
        <f t="shared" ca="1" si="4"/>
        <v>46071</v>
      </c>
      <c r="Q293" s="81">
        <f ca="1">DATEDIF(Range!$O293,Range!$P293,"Y")</f>
        <v>28</v>
      </c>
      <c r="R293" s="83">
        <v>1391</v>
      </c>
      <c r="S293" s="84">
        <f>Range!$R293*0.1</f>
        <v>139.1</v>
      </c>
      <c r="T293" s="85">
        <f>Range!$R293*0.03</f>
        <v>41.73</v>
      </c>
      <c r="U293" s="86">
        <f>Range!$R293-Range!$S293+Range!$T293</f>
        <v>1293.6300000000001</v>
      </c>
      <c r="V293" s="87" t="str">
        <f>IF(Range!$U293&gt;=6000,"Over","Normal")</f>
        <v>Normal</v>
      </c>
      <c r="W293" s="88">
        <f>VLOOKUP(Range!$U293,$Z$10:$AA$14,2)</f>
        <v>0.08</v>
      </c>
    </row>
    <row r="294" spans="1:23" ht="15.75" customHeight="1">
      <c r="A294" s="61">
        <v>1293</v>
      </c>
      <c r="B294" s="62" t="s">
        <v>610</v>
      </c>
      <c r="C294" s="62" t="s">
        <v>611</v>
      </c>
      <c r="D294" s="63" t="str">
        <f>PROPER(TRIM(Range!$C294&amp;" "&amp;Range!$C294))</f>
        <v>Iismaeil Iismaeil</v>
      </c>
      <c r="E294" s="62" t="s">
        <v>100</v>
      </c>
      <c r="F294" s="62" t="s">
        <v>851</v>
      </c>
      <c r="G294" s="62" t="s">
        <v>17</v>
      </c>
      <c r="H294" s="64" t="s">
        <v>14</v>
      </c>
      <c r="I294" s="64" t="s">
        <v>264</v>
      </c>
      <c r="J294" s="65" t="s">
        <v>23</v>
      </c>
      <c r="K294" s="62" t="s">
        <v>1080</v>
      </c>
      <c r="L294" s="66">
        <v>28</v>
      </c>
      <c r="M294" s="67">
        <v>7</v>
      </c>
      <c r="N294" s="67">
        <v>1993</v>
      </c>
      <c r="O294" s="68">
        <f>DATE(Range!$N294,Range!$M294,Range!$L294)</f>
        <v>34178</v>
      </c>
      <c r="P294" s="68">
        <f t="shared" ca="1" si="4"/>
        <v>46071</v>
      </c>
      <c r="Q294" s="67">
        <f ca="1">DATEDIF(Range!$O294,Range!$P294,"Y")</f>
        <v>32</v>
      </c>
      <c r="R294" s="69">
        <v>2528</v>
      </c>
      <c r="S294" s="70">
        <f>Range!$R294*0.1</f>
        <v>252.8</v>
      </c>
      <c r="T294" s="71">
        <f>Range!$R294*0.03</f>
        <v>75.84</v>
      </c>
      <c r="U294" s="72">
        <f>Range!$R294-Range!$S294+Range!$T294</f>
        <v>2351.04</v>
      </c>
      <c r="V294" s="73" t="str">
        <f>IF(Range!$U294&gt;=6000,"Over","Normal")</f>
        <v>Normal</v>
      </c>
      <c r="W294" s="74">
        <f>VLOOKUP(Range!$U294,$Z$10:$AA$14,2)</f>
        <v>0.08</v>
      </c>
    </row>
    <row r="295" spans="1:23" ht="15.75" customHeight="1">
      <c r="A295" s="75">
        <v>1294</v>
      </c>
      <c r="B295" s="76" t="s">
        <v>612</v>
      </c>
      <c r="C295" s="76" t="s">
        <v>613</v>
      </c>
      <c r="D295" s="77" t="str">
        <f>PROPER(TRIM(Range!$C295&amp;" "&amp;Range!$C295))</f>
        <v>Mansur Mansur</v>
      </c>
      <c r="E295" s="76" t="s">
        <v>100</v>
      </c>
      <c r="F295" s="76" t="s">
        <v>852</v>
      </c>
      <c r="G295" s="76" t="s">
        <v>17</v>
      </c>
      <c r="H295" s="78" t="s">
        <v>11</v>
      </c>
      <c r="I295" s="78" t="s">
        <v>29</v>
      </c>
      <c r="J295" s="79" t="s">
        <v>12</v>
      </c>
      <c r="K295" s="76" t="s">
        <v>1081</v>
      </c>
      <c r="L295" s="80">
        <v>28</v>
      </c>
      <c r="M295" s="81">
        <v>4</v>
      </c>
      <c r="N295" s="81">
        <v>1992</v>
      </c>
      <c r="O295" s="82">
        <f>DATE(Range!$N295,Range!$M295,Range!$L295)</f>
        <v>33722</v>
      </c>
      <c r="P295" s="82">
        <f t="shared" ca="1" si="4"/>
        <v>46071</v>
      </c>
      <c r="Q295" s="81">
        <f ca="1">DATEDIF(Range!$O295,Range!$P295,"Y")</f>
        <v>33</v>
      </c>
      <c r="R295" s="83">
        <v>6040</v>
      </c>
      <c r="S295" s="84">
        <f>Range!$R295*0.1</f>
        <v>604</v>
      </c>
      <c r="T295" s="85">
        <f>Range!$R295*0.03</f>
        <v>181.2</v>
      </c>
      <c r="U295" s="86">
        <f>Range!$R295-Range!$S295+Range!$T295</f>
        <v>5617.2</v>
      </c>
      <c r="V295" s="87" t="str">
        <f>IF(Range!$U295&gt;=6000,"Over","Normal")</f>
        <v>Normal</v>
      </c>
      <c r="W295" s="88">
        <f>VLOOKUP(Range!$U295,$Z$10:$AA$14,2)</f>
        <v>0.05</v>
      </c>
    </row>
    <row r="296" spans="1:23" ht="15.75" customHeight="1">
      <c r="A296" s="61">
        <v>1295</v>
      </c>
      <c r="B296" s="62" t="s">
        <v>586</v>
      </c>
      <c r="C296" s="62" t="s">
        <v>614</v>
      </c>
      <c r="D296" s="63" t="str">
        <f>PROPER(TRIM(Range!$C296&amp;" "&amp;Range!$C296))</f>
        <v>Zawal Zawal</v>
      </c>
      <c r="E296" s="62" t="s">
        <v>100</v>
      </c>
      <c r="F296" s="62" t="s">
        <v>853</v>
      </c>
      <c r="G296" s="62" t="s">
        <v>1100</v>
      </c>
      <c r="H296" s="64" t="s">
        <v>22</v>
      </c>
      <c r="I296" s="64" t="s">
        <v>18</v>
      </c>
      <c r="J296" s="65" t="s">
        <v>12</v>
      </c>
      <c r="K296" s="62" t="s">
        <v>1082</v>
      </c>
      <c r="L296" s="66">
        <v>13</v>
      </c>
      <c r="M296" s="67">
        <v>8</v>
      </c>
      <c r="N296" s="67">
        <v>2015</v>
      </c>
      <c r="O296" s="68">
        <f>DATE(Range!$N296,Range!$M296,Range!$L296)</f>
        <v>42229</v>
      </c>
      <c r="P296" s="68">
        <f t="shared" ca="1" si="4"/>
        <v>46071</v>
      </c>
      <c r="Q296" s="67">
        <f ca="1">DATEDIF(Range!$O296,Range!$P296,"Y")</f>
        <v>10</v>
      </c>
      <c r="R296" s="69">
        <v>3842</v>
      </c>
      <c r="S296" s="70">
        <f>Range!$R296*0.1</f>
        <v>384.20000000000005</v>
      </c>
      <c r="T296" s="71">
        <f>Range!$R296*0.03</f>
        <v>115.25999999999999</v>
      </c>
      <c r="U296" s="72">
        <f>Range!$R296-Range!$S296+Range!$T296</f>
        <v>3573.0600000000004</v>
      </c>
      <c r="V296" s="73" t="str">
        <f>IF(Range!$U296&gt;=6000,"Over","Normal")</f>
        <v>Normal</v>
      </c>
      <c r="W296" s="74">
        <f>VLOOKUP(Range!$U296,$Z$10:$AA$14,2)</f>
        <v>0.05</v>
      </c>
    </row>
    <row r="297" spans="1:23" ht="15.75" customHeight="1">
      <c r="A297" s="75">
        <v>1296</v>
      </c>
      <c r="B297" s="76" t="s">
        <v>313</v>
      </c>
      <c r="C297" s="76" t="s">
        <v>615</v>
      </c>
      <c r="D297" s="77" t="str">
        <f>PROPER(TRIM(Range!$C297&amp;" "&amp;Range!$C297))</f>
        <v>Almala Almala</v>
      </c>
      <c r="E297" s="76" t="s">
        <v>99</v>
      </c>
      <c r="F297" s="76" t="s">
        <v>854</v>
      </c>
      <c r="G297" s="76" t="s">
        <v>17</v>
      </c>
      <c r="H297" s="78" t="s">
        <v>11</v>
      </c>
      <c r="I297" s="78" t="s">
        <v>264</v>
      </c>
      <c r="J297" s="79" t="s">
        <v>10</v>
      </c>
      <c r="K297" s="76" t="s">
        <v>1083</v>
      </c>
      <c r="L297" s="80">
        <v>9</v>
      </c>
      <c r="M297" s="81">
        <v>11</v>
      </c>
      <c r="N297" s="81">
        <v>1992</v>
      </c>
      <c r="O297" s="82">
        <f>DATE(Range!$N297,Range!$M297,Range!$L297)</f>
        <v>33917</v>
      </c>
      <c r="P297" s="82">
        <f t="shared" ca="1" si="4"/>
        <v>46071</v>
      </c>
      <c r="Q297" s="81">
        <f ca="1">DATEDIF(Range!$O297,Range!$P297,"Y")</f>
        <v>33</v>
      </c>
      <c r="R297" s="83">
        <v>1542</v>
      </c>
      <c r="S297" s="84">
        <f>Range!$R297*0.1</f>
        <v>154.20000000000002</v>
      </c>
      <c r="T297" s="85">
        <f>Range!$R297*0.03</f>
        <v>46.26</v>
      </c>
      <c r="U297" s="86">
        <f>Range!$R297-Range!$S297+Range!$T297</f>
        <v>1434.06</v>
      </c>
      <c r="V297" s="87" t="str">
        <f>IF(Range!$U297&gt;=6000,"Over","Normal")</f>
        <v>Normal</v>
      </c>
      <c r="W297" s="88">
        <f>VLOOKUP(Range!$U297,$Z$10:$AA$14,2)</f>
        <v>0.08</v>
      </c>
    </row>
    <row r="298" spans="1:23" ht="15.75" customHeight="1">
      <c r="A298" s="61">
        <v>1297</v>
      </c>
      <c r="B298" s="62" t="s">
        <v>616</v>
      </c>
      <c r="C298" s="62" t="s">
        <v>617</v>
      </c>
      <c r="D298" s="63" t="str">
        <f>PROPER(TRIM(Range!$C298&amp;" "&amp;Range!$C298))</f>
        <v>Alriys Alriys</v>
      </c>
      <c r="E298" s="62" t="s">
        <v>100</v>
      </c>
      <c r="F298" s="62" t="s">
        <v>855</v>
      </c>
      <c r="G298" s="62" t="s">
        <v>17</v>
      </c>
      <c r="H298" s="64" t="s">
        <v>14</v>
      </c>
      <c r="I298" s="64" t="s">
        <v>9</v>
      </c>
      <c r="J298" s="65" t="s">
        <v>12</v>
      </c>
      <c r="K298" s="62" t="s">
        <v>1084</v>
      </c>
      <c r="L298" s="66">
        <v>10</v>
      </c>
      <c r="M298" s="67">
        <v>4</v>
      </c>
      <c r="N298" s="67">
        <v>2001</v>
      </c>
      <c r="O298" s="68">
        <f>DATE(Range!$N298,Range!$M298,Range!$L298)</f>
        <v>36991</v>
      </c>
      <c r="P298" s="68">
        <f t="shared" ca="1" si="4"/>
        <v>46071</v>
      </c>
      <c r="Q298" s="67">
        <f ca="1">DATEDIF(Range!$O298,Range!$P298,"Y")</f>
        <v>24</v>
      </c>
      <c r="R298" s="69">
        <v>3134</v>
      </c>
      <c r="S298" s="70">
        <f>Range!$R298*0.1</f>
        <v>313.40000000000003</v>
      </c>
      <c r="T298" s="71">
        <f>Range!$R298*0.03</f>
        <v>94.02</v>
      </c>
      <c r="U298" s="72">
        <f>Range!$R298-Range!$S298+Range!$T298</f>
        <v>2914.62</v>
      </c>
      <c r="V298" s="73" t="str">
        <f>IF(Range!$U298&gt;=6000,"Over","Normal")</f>
        <v>Normal</v>
      </c>
      <c r="W298" s="74">
        <f>VLOOKUP(Range!$U298,$Z$10:$AA$14,2)</f>
        <v>0.08</v>
      </c>
    </row>
    <row r="299" spans="1:23" ht="15.75" customHeight="1">
      <c r="A299" s="75">
        <v>1298</v>
      </c>
      <c r="B299" s="76" t="s">
        <v>321</v>
      </c>
      <c r="C299" s="76" t="s">
        <v>276</v>
      </c>
      <c r="D299" s="77" t="str">
        <f>PROPER(TRIM(Range!$C299&amp;" "&amp;Range!$C299))</f>
        <v>Alkhatib Alkhatib</v>
      </c>
      <c r="E299" s="76" t="s">
        <v>100</v>
      </c>
      <c r="F299" s="76" t="s">
        <v>856</v>
      </c>
      <c r="G299" s="76" t="s">
        <v>17</v>
      </c>
      <c r="H299" s="78" t="s">
        <v>14</v>
      </c>
      <c r="I299" s="78" t="s">
        <v>25</v>
      </c>
      <c r="J299" s="79" t="s">
        <v>23</v>
      </c>
      <c r="K299" s="76" t="s">
        <v>1085</v>
      </c>
      <c r="L299" s="80">
        <v>21</v>
      </c>
      <c r="M299" s="81">
        <v>1</v>
      </c>
      <c r="N299" s="81">
        <v>2010</v>
      </c>
      <c r="O299" s="82">
        <f>DATE(Range!$N299,Range!$M299,Range!$L299)</f>
        <v>40199</v>
      </c>
      <c r="P299" s="82">
        <f t="shared" ca="1" si="4"/>
        <v>46071</v>
      </c>
      <c r="Q299" s="81">
        <f ca="1">DATEDIF(Range!$O299,Range!$P299,"Y")</f>
        <v>16</v>
      </c>
      <c r="R299" s="83">
        <v>4921</v>
      </c>
      <c r="S299" s="84">
        <f>Range!$R299*0.1</f>
        <v>492.1</v>
      </c>
      <c r="T299" s="85">
        <f>Range!$R299*0.03</f>
        <v>147.63</v>
      </c>
      <c r="U299" s="86">
        <f>Range!$R299-Range!$S299+Range!$T299</f>
        <v>4576.53</v>
      </c>
      <c r="V299" s="87" t="str">
        <f>IF(Range!$U299&gt;=6000,"Over","Normal")</f>
        <v>Normal</v>
      </c>
      <c r="W299" s="88">
        <f>VLOOKUP(Range!$U299,$Z$10:$AA$14,2)</f>
        <v>0.05</v>
      </c>
    </row>
    <row r="300" spans="1:23" ht="15.75" customHeight="1">
      <c r="A300" s="61">
        <v>1299</v>
      </c>
      <c r="B300" s="62" t="s">
        <v>618</v>
      </c>
      <c r="C300" s="62" t="s">
        <v>619</v>
      </c>
      <c r="D300" s="63" t="str">
        <f>PROPER(TRIM(Range!$C300&amp;" "&amp;Range!$C300))</f>
        <v>Alhizae Alhizae</v>
      </c>
      <c r="E300" s="62" t="s">
        <v>99</v>
      </c>
      <c r="F300" s="62" t="s">
        <v>857</v>
      </c>
      <c r="G300" s="62" t="s">
        <v>17</v>
      </c>
      <c r="H300" s="64" t="s">
        <v>11</v>
      </c>
      <c r="I300" s="64" t="s">
        <v>264</v>
      </c>
      <c r="J300" s="65" t="s">
        <v>20</v>
      </c>
      <c r="K300" s="62" t="s">
        <v>1086</v>
      </c>
      <c r="L300" s="66">
        <v>13</v>
      </c>
      <c r="M300" s="67">
        <v>7</v>
      </c>
      <c r="N300" s="67">
        <v>2001</v>
      </c>
      <c r="O300" s="68">
        <f>DATE(Range!$N300,Range!$M300,Range!$L300)</f>
        <v>37085</v>
      </c>
      <c r="P300" s="68">
        <f t="shared" ca="1" si="4"/>
        <v>46071</v>
      </c>
      <c r="Q300" s="67">
        <f ca="1">DATEDIF(Range!$O300,Range!$P300,"Y")</f>
        <v>24</v>
      </c>
      <c r="R300" s="69">
        <v>1948</v>
      </c>
      <c r="S300" s="70">
        <f>Range!$R300*0.1</f>
        <v>194.8</v>
      </c>
      <c r="T300" s="71">
        <f>Range!$R300*0.03</f>
        <v>58.44</v>
      </c>
      <c r="U300" s="72">
        <f>Range!$R300-Range!$S300+Range!$T300</f>
        <v>1811.64</v>
      </c>
      <c r="V300" s="73" t="str">
        <f>IF(Range!$U300&gt;=6000,"Over","Normal")</f>
        <v>Normal</v>
      </c>
      <c r="W300" s="74">
        <f>VLOOKUP(Range!$U300,$Z$10:$AA$14,2)</f>
        <v>0.08</v>
      </c>
    </row>
    <row r="301" spans="1:23" ht="15.75" customHeight="1">
      <c r="A301" s="91">
        <v>1300</v>
      </c>
      <c r="B301" s="92" t="s">
        <v>102</v>
      </c>
      <c r="C301" s="92" t="s">
        <v>620</v>
      </c>
      <c r="D301" s="93" t="str">
        <f>PROPER(TRIM(Range!$C301&amp;" "&amp;Range!$C301))</f>
        <v>Qadimati Qadimati</v>
      </c>
      <c r="E301" s="92" t="s">
        <v>100</v>
      </c>
      <c r="F301" s="92" t="s">
        <v>858</v>
      </c>
      <c r="G301" s="92" t="s">
        <v>19</v>
      </c>
      <c r="H301" s="94" t="s">
        <v>8</v>
      </c>
      <c r="I301" s="94" t="s">
        <v>25</v>
      </c>
      <c r="J301" s="95" t="s">
        <v>23</v>
      </c>
      <c r="K301" s="92" t="s">
        <v>1087</v>
      </c>
      <c r="L301" s="96">
        <v>8</v>
      </c>
      <c r="M301" s="97">
        <v>3</v>
      </c>
      <c r="N301" s="97">
        <v>2015</v>
      </c>
      <c r="O301" s="98">
        <f>DATE(Range!$N301,Range!$M301,Range!$L301)</f>
        <v>42071</v>
      </c>
      <c r="P301" s="98">
        <f t="shared" ca="1" si="4"/>
        <v>46071</v>
      </c>
      <c r="Q301" s="97">
        <f ca="1">DATEDIF(Range!$O301,Range!$P301,"Y")</f>
        <v>10</v>
      </c>
      <c r="R301" s="99">
        <v>3294</v>
      </c>
      <c r="S301" s="100">
        <f>Range!$R301*0.1</f>
        <v>329.40000000000003</v>
      </c>
      <c r="T301" s="101">
        <f>Range!$R301*0.03</f>
        <v>98.82</v>
      </c>
      <c r="U301" s="102">
        <f>Range!$R301-Range!$S301+Range!$T301</f>
        <v>3063.42</v>
      </c>
      <c r="V301" s="103" t="str">
        <f>IF(Range!$U301&gt;=6000,"Over","Normal")</f>
        <v>Normal</v>
      </c>
      <c r="W301" s="104">
        <f>VLOOKUP(Range!$U301,$Z$10:$AA$14,2)</f>
        <v>0.05</v>
      </c>
    </row>
    <row r="302" spans="1:23" ht="15.75" customHeight="1">
      <c r="A302" s="105"/>
      <c r="B302" s="106"/>
      <c r="C302" s="106"/>
      <c r="D302" s="107"/>
      <c r="E302" s="106"/>
      <c r="F302" s="106"/>
      <c r="G302" s="106"/>
      <c r="J302" s="108"/>
      <c r="L302" s="109"/>
      <c r="M302" s="109"/>
      <c r="N302" s="109"/>
      <c r="O302" s="109"/>
      <c r="P302" s="109"/>
      <c r="Q302" s="109"/>
    </row>
    <row r="303" spans="1:23" ht="15.75" customHeight="1">
      <c r="A303" s="105"/>
      <c r="B303" s="106"/>
      <c r="C303" s="106"/>
      <c r="D303" s="107"/>
      <c r="E303" s="106"/>
      <c r="F303" s="106"/>
      <c r="G303" s="106"/>
      <c r="J303" s="108"/>
      <c r="L303" s="109"/>
      <c r="M303" s="109"/>
      <c r="N303" s="109"/>
      <c r="O303" s="109"/>
      <c r="P303" s="109"/>
      <c r="Q303" s="109"/>
    </row>
    <row r="304" spans="1:23" ht="15.75" customHeight="1">
      <c r="A304" s="105"/>
      <c r="B304" s="106"/>
      <c r="C304" s="106"/>
      <c r="D304" s="107"/>
      <c r="E304" s="106"/>
      <c r="F304" s="106"/>
      <c r="G304" s="106"/>
      <c r="J304" s="108"/>
      <c r="L304" s="109"/>
      <c r="M304" s="109"/>
      <c r="N304" s="109"/>
      <c r="O304" s="109"/>
      <c r="P304" s="109"/>
      <c r="Q304" s="109"/>
    </row>
    <row r="305" spans="1:21" s="110" customFormat="1" ht="15.75" customHeight="1">
      <c r="A305" s="105"/>
      <c r="B305" s="106"/>
      <c r="C305" s="106"/>
      <c r="D305" s="107"/>
      <c r="E305" s="106"/>
      <c r="F305" s="106"/>
      <c r="G305" s="106"/>
      <c r="H305" s="60"/>
      <c r="I305" s="60"/>
      <c r="J305" s="108"/>
      <c r="K305" s="60"/>
      <c r="L305" s="109"/>
      <c r="M305" s="109"/>
      <c r="N305" s="109"/>
      <c r="O305" s="109"/>
      <c r="P305" s="109"/>
      <c r="Q305" s="109"/>
      <c r="S305" s="111"/>
      <c r="T305" s="60"/>
      <c r="U305" s="112"/>
    </row>
    <row r="306" spans="1:21" s="110" customFormat="1" ht="15.75" customHeight="1">
      <c r="A306" s="105"/>
      <c r="B306" s="106"/>
      <c r="C306" s="106"/>
      <c r="D306" s="107"/>
      <c r="E306" s="106"/>
      <c r="F306" s="106"/>
      <c r="G306" s="106"/>
      <c r="H306" s="60"/>
      <c r="I306" s="60"/>
      <c r="J306" s="108"/>
      <c r="K306" s="60"/>
      <c r="L306" s="109"/>
      <c r="M306" s="109"/>
      <c r="N306" s="109"/>
      <c r="O306" s="109"/>
      <c r="P306" s="109"/>
      <c r="Q306" s="109"/>
      <c r="S306" s="111"/>
      <c r="T306" s="60"/>
      <c r="U306" s="112"/>
    </row>
    <row r="307" spans="1:21" s="110" customFormat="1" ht="15.75" customHeight="1">
      <c r="A307" s="105"/>
      <c r="B307" s="106"/>
      <c r="C307" s="106"/>
      <c r="D307" s="107"/>
      <c r="E307" s="106"/>
      <c r="F307" s="106"/>
      <c r="G307" s="106"/>
      <c r="H307" s="60"/>
      <c r="I307" s="60"/>
      <c r="J307" s="108"/>
      <c r="K307" s="60"/>
      <c r="L307" s="109"/>
      <c r="M307" s="109"/>
      <c r="N307" s="109"/>
      <c r="O307" s="109"/>
      <c r="P307" s="109"/>
      <c r="Q307" s="109"/>
      <c r="S307" s="111"/>
      <c r="T307" s="60"/>
      <c r="U307" s="112"/>
    </row>
    <row r="308" spans="1:21" s="110" customFormat="1" ht="15.75" customHeight="1">
      <c r="A308" s="105"/>
      <c r="B308" s="106"/>
      <c r="C308" s="106"/>
      <c r="D308" s="107"/>
      <c r="E308" s="106"/>
      <c r="F308" s="106"/>
      <c r="G308" s="106"/>
      <c r="H308" s="60"/>
      <c r="I308" s="60"/>
      <c r="J308" s="108"/>
      <c r="K308" s="60"/>
      <c r="L308" s="109"/>
      <c r="M308" s="109"/>
      <c r="N308" s="109"/>
      <c r="O308" s="109"/>
      <c r="P308" s="109"/>
      <c r="Q308" s="109"/>
      <c r="S308" s="111"/>
      <c r="T308" s="60"/>
      <c r="U308" s="112"/>
    </row>
    <row r="309" spans="1:21" s="110" customFormat="1" ht="15.75" customHeight="1">
      <c r="A309" s="105"/>
      <c r="B309" s="106"/>
      <c r="C309" s="106"/>
      <c r="D309" s="107"/>
      <c r="E309" s="106"/>
      <c r="F309" s="106"/>
      <c r="G309" s="106"/>
      <c r="H309" s="60"/>
      <c r="I309" s="60"/>
      <c r="J309" s="108"/>
      <c r="K309" s="60"/>
      <c r="L309" s="109"/>
      <c r="M309" s="109"/>
      <c r="N309" s="109"/>
      <c r="O309" s="109"/>
      <c r="P309" s="109"/>
      <c r="Q309" s="109"/>
      <c r="S309" s="111"/>
      <c r="T309" s="60"/>
      <c r="U309" s="112"/>
    </row>
    <row r="310" spans="1:21" s="110" customFormat="1" ht="15.75" customHeight="1">
      <c r="A310" s="105"/>
      <c r="B310" s="106"/>
      <c r="C310" s="106"/>
      <c r="D310" s="107"/>
      <c r="E310" s="106"/>
      <c r="F310" s="106"/>
      <c r="G310" s="106"/>
      <c r="H310" s="60"/>
      <c r="I310" s="60"/>
      <c r="J310" s="108"/>
      <c r="K310" s="60"/>
      <c r="L310" s="109"/>
      <c r="M310" s="109"/>
      <c r="N310" s="109"/>
      <c r="O310" s="109"/>
      <c r="P310" s="109"/>
      <c r="Q310" s="109"/>
      <c r="S310" s="111"/>
      <c r="T310" s="60"/>
      <c r="U310" s="112"/>
    </row>
    <row r="311" spans="1:21" s="110" customFormat="1" ht="15.75" customHeight="1">
      <c r="A311" s="105"/>
      <c r="B311" s="106"/>
      <c r="C311" s="106"/>
      <c r="D311" s="107"/>
      <c r="E311" s="106"/>
      <c r="F311" s="106"/>
      <c r="G311" s="106"/>
      <c r="H311" s="60"/>
      <c r="I311" s="60"/>
      <c r="J311" s="108"/>
      <c r="K311" s="60"/>
      <c r="L311" s="109"/>
      <c r="M311" s="109"/>
      <c r="N311" s="109"/>
      <c r="O311" s="109"/>
      <c r="P311" s="109"/>
      <c r="Q311" s="109"/>
      <c r="S311" s="111"/>
      <c r="T311" s="60"/>
      <c r="U311" s="112"/>
    </row>
    <row r="312" spans="1:21" s="110" customFormat="1" ht="15.75" customHeight="1">
      <c r="A312" s="105"/>
      <c r="B312" s="106"/>
      <c r="C312" s="106"/>
      <c r="D312" s="107"/>
      <c r="E312" s="106"/>
      <c r="F312" s="106"/>
      <c r="G312" s="106"/>
      <c r="H312" s="60"/>
      <c r="I312" s="60"/>
      <c r="J312" s="108"/>
      <c r="K312" s="60"/>
      <c r="L312" s="109"/>
      <c r="M312" s="109"/>
      <c r="N312" s="109"/>
      <c r="O312" s="109"/>
      <c r="P312" s="109"/>
      <c r="Q312" s="109"/>
      <c r="S312" s="111"/>
      <c r="T312" s="60"/>
      <c r="U312" s="112"/>
    </row>
    <row r="313" spans="1:21" s="110" customFormat="1" ht="15.75" customHeight="1">
      <c r="A313" s="105"/>
      <c r="B313" s="106"/>
      <c r="C313" s="106"/>
      <c r="D313" s="107"/>
      <c r="E313" s="106"/>
      <c r="F313" s="106"/>
      <c r="G313" s="106"/>
      <c r="H313" s="60"/>
      <c r="I313" s="60"/>
      <c r="J313" s="108"/>
      <c r="K313" s="60"/>
      <c r="L313" s="109"/>
      <c r="M313" s="109"/>
      <c r="N313" s="109"/>
      <c r="O313" s="109"/>
      <c r="P313" s="109"/>
      <c r="Q313" s="109"/>
      <c r="S313" s="111"/>
      <c r="T313" s="60"/>
      <c r="U313" s="112"/>
    </row>
    <row r="314" spans="1:21" s="110" customFormat="1" ht="15.75" customHeight="1">
      <c r="A314" s="105"/>
      <c r="B314" s="106"/>
      <c r="C314" s="106"/>
      <c r="D314" s="107"/>
      <c r="E314" s="106"/>
      <c r="F314" s="106"/>
      <c r="G314" s="106"/>
      <c r="H314" s="60"/>
      <c r="I314" s="60"/>
      <c r="J314" s="108"/>
      <c r="K314" s="60"/>
      <c r="L314" s="109"/>
      <c r="M314" s="109"/>
      <c r="N314" s="109"/>
      <c r="O314" s="109"/>
      <c r="P314" s="109"/>
      <c r="Q314" s="109"/>
      <c r="S314" s="111"/>
      <c r="T314" s="60"/>
      <c r="U314" s="112"/>
    </row>
    <row r="315" spans="1:21" s="110" customFormat="1" ht="15.75" customHeight="1">
      <c r="A315" s="105"/>
      <c r="B315" s="106"/>
      <c r="C315" s="106"/>
      <c r="D315" s="107"/>
      <c r="E315" s="106"/>
      <c r="F315" s="106"/>
      <c r="G315" s="106"/>
      <c r="H315" s="60"/>
      <c r="I315" s="60"/>
      <c r="J315" s="108"/>
      <c r="K315" s="60"/>
      <c r="L315" s="109"/>
      <c r="M315" s="109"/>
      <c r="N315" s="109"/>
      <c r="O315" s="109"/>
      <c r="P315" s="109"/>
      <c r="Q315" s="109"/>
      <c r="S315" s="111"/>
      <c r="T315" s="60"/>
      <c r="U315" s="112"/>
    </row>
    <row r="316" spans="1:21" s="110" customFormat="1" ht="15.75" customHeight="1">
      <c r="A316" s="105"/>
      <c r="B316" s="106"/>
      <c r="C316" s="106"/>
      <c r="D316" s="107"/>
      <c r="E316" s="106"/>
      <c r="F316" s="106"/>
      <c r="G316" s="106"/>
      <c r="H316" s="60"/>
      <c r="I316" s="60"/>
      <c r="J316" s="108"/>
      <c r="K316" s="60"/>
      <c r="L316" s="109"/>
      <c r="M316" s="109"/>
      <c r="N316" s="109"/>
      <c r="O316" s="109"/>
      <c r="P316" s="109"/>
      <c r="Q316" s="109"/>
      <c r="S316" s="111"/>
      <c r="T316" s="60"/>
      <c r="U316" s="112"/>
    </row>
    <row r="317" spans="1:21" s="110" customFormat="1" ht="15.75" customHeight="1">
      <c r="A317" s="105"/>
      <c r="B317" s="106"/>
      <c r="C317" s="106"/>
      <c r="D317" s="107"/>
      <c r="E317" s="106"/>
      <c r="F317" s="106"/>
      <c r="G317" s="106"/>
      <c r="H317" s="60"/>
      <c r="I317" s="60"/>
      <c r="J317" s="108"/>
      <c r="K317" s="60"/>
      <c r="L317" s="109"/>
      <c r="M317" s="109"/>
      <c r="N317" s="109"/>
      <c r="O317" s="109"/>
      <c r="P317" s="109"/>
      <c r="Q317" s="109"/>
      <c r="S317" s="111"/>
      <c r="T317" s="60"/>
      <c r="U317" s="112"/>
    </row>
    <row r="318" spans="1:21" s="110" customFormat="1" ht="15.75" customHeight="1">
      <c r="A318" s="105"/>
      <c r="B318" s="106"/>
      <c r="C318" s="106"/>
      <c r="D318" s="107"/>
      <c r="E318" s="106"/>
      <c r="F318" s="106"/>
      <c r="G318" s="106"/>
      <c r="H318" s="60"/>
      <c r="I318" s="60"/>
      <c r="J318" s="108"/>
      <c r="K318" s="60"/>
      <c r="L318" s="109"/>
      <c r="M318" s="109"/>
      <c r="N318" s="109"/>
      <c r="O318" s="109"/>
      <c r="P318" s="109"/>
      <c r="Q318" s="109"/>
      <c r="S318" s="111"/>
      <c r="T318" s="60"/>
      <c r="U318" s="112"/>
    </row>
    <row r="319" spans="1:21" s="110" customFormat="1" ht="15.75" customHeight="1">
      <c r="A319" s="105"/>
      <c r="B319" s="106"/>
      <c r="C319" s="106"/>
      <c r="D319" s="107"/>
      <c r="E319" s="106"/>
      <c r="F319" s="106"/>
      <c r="G319" s="106"/>
      <c r="H319" s="60"/>
      <c r="I319" s="60"/>
      <c r="J319" s="108"/>
      <c r="K319" s="60"/>
      <c r="L319" s="109"/>
      <c r="M319" s="109"/>
      <c r="N319" s="109"/>
      <c r="O319" s="109"/>
      <c r="P319" s="109"/>
      <c r="Q319" s="109"/>
      <c r="S319" s="111"/>
      <c r="T319" s="60"/>
      <c r="U319" s="112"/>
    </row>
    <row r="320" spans="1:21" s="110" customFormat="1" ht="15.75" customHeight="1">
      <c r="A320" s="105"/>
      <c r="B320" s="106"/>
      <c r="C320" s="106"/>
      <c r="D320" s="107"/>
      <c r="E320" s="106"/>
      <c r="F320" s="106"/>
      <c r="G320" s="106"/>
      <c r="H320" s="60"/>
      <c r="I320" s="60"/>
      <c r="J320" s="108"/>
      <c r="K320" s="60"/>
      <c r="L320" s="109"/>
      <c r="M320" s="109"/>
      <c r="N320" s="109"/>
      <c r="O320" s="109"/>
      <c r="P320" s="109"/>
      <c r="Q320" s="109"/>
      <c r="S320" s="111"/>
      <c r="T320" s="60"/>
      <c r="U320" s="112"/>
    </row>
    <row r="321" spans="1:21" s="110" customFormat="1" ht="15.75" customHeight="1">
      <c r="A321" s="105"/>
      <c r="B321" s="106"/>
      <c r="C321" s="106"/>
      <c r="D321" s="107"/>
      <c r="E321" s="106"/>
      <c r="F321" s="106"/>
      <c r="G321" s="106"/>
      <c r="H321" s="60"/>
      <c r="I321" s="60"/>
      <c r="J321" s="108"/>
      <c r="K321" s="60"/>
      <c r="L321" s="109"/>
      <c r="M321" s="109"/>
      <c r="N321" s="109"/>
      <c r="O321" s="109"/>
      <c r="P321" s="109"/>
      <c r="Q321" s="109"/>
      <c r="S321" s="111"/>
      <c r="T321" s="60"/>
      <c r="U321" s="112"/>
    </row>
    <row r="322" spans="1:21" s="110" customFormat="1" ht="15.75" customHeight="1">
      <c r="A322" s="105"/>
      <c r="B322" s="106"/>
      <c r="C322" s="106"/>
      <c r="D322" s="107"/>
      <c r="E322" s="106"/>
      <c r="F322" s="106"/>
      <c r="G322" s="106"/>
      <c r="H322" s="60"/>
      <c r="I322" s="60"/>
      <c r="J322" s="108"/>
      <c r="K322" s="60"/>
      <c r="L322" s="109"/>
      <c r="M322" s="109"/>
      <c r="N322" s="109"/>
      <c r="O322" s="109"/>
      <c r="P322" s="109"/>
      <c r="Q322" s="109"/>
      <c r="S322" s="111"/>
      <c r="T322" s="60"/>
      <c r="U322" s="112"/>
    </row>
    <row r="323" spans="1:21" s="110" customFormat="1" ht="15.75" customHeight="1">
      <c r="A323" s="105"/>
      <c r="B323" s="106"/>
      <c r="C323" s="106"/>
      <c r="D323" s="107"/>
      <c r="E323" s="106"/>
      <c r="F323" s="106"/>
      <c r="G323" s="106"/>
      <c r="H323" s="60"/>
      <c r="I323" s="60"/>
      <c r="J323" s="108"/>
      <c r="K323" s="60"/>
      <c r="L323" s="109"/>
      <c r="M323" s="109"/>
      <c r="N323" s="109"/>
      <c r="O323" s="109"/>
      <c r="P323" s="109"/>
      <c r="Q323" s="109"/>
      <c r="S323" s="111"/>
      <c r="T323" s="60"/>
      <c r="U323" s="112"/>
    </row>
    <row r="324" spans="1:21" s="110" customFormat="1" ht="15.75" customHeight="1">
      <c r="A324" s="105"/>
      <c r="B324" s="106"/>
      <c r="C324" s="106"/>
      <c r="D324" s="107"/>
      <c r="E324" s="106"/>
      <c r="F324" s="106"/>
      <c r="G324" s="106"/>
      <c r="H324" s="60"/>
      <c r="I324" s="60"/>
      <c r="J324" s="108"/>
      <c r="K324" s="60"/>
      <c r="L324" s="109"/>
      <c r="M324" s="109"/>
      <c r="N324" s="109"/>
      <c r="O324" s="109"/>
      <c r="P324" s="109"/>
      <c r="Q324" s="109"/>
      <c r="S324" s="111"/>
      <c r="T324" s="60"/>
      <c r="U324" s="112"/>
    </row>
    <row r="325" spans="1:21" s="110" customFormat="1" ht="15.75" customHeight="1">
      <c r="A325" s="105"/>
      <c r="B325" s="106"/>
      <c r="C325" s="106"/>
      <c r="D325" s="107"/>
      <c r="E325" s="106"/>
      <c r="F325" s="106"/>
      <c r="G325" s="106"/>
      <c r="H325" s="60"/>
      <c r="I325" s="60"/>
      <c r="J325" s="108"/>
      <c r="K325" s="60"/>
      <c r="L325" s="109"/>
      <c r="M325" s="109"/>
      <c r="N325" s="109"/>
      <c r="O325" s="109"/>
      <c r="P325" s="109"/>
      <c r="Q325" s="109"/>
      <c r="S325" s="111"/>
      <c r="T325" s="60"/>
      <c r="U325" s="112"/>
    </row>
    <row r="326" spans="1:21" s="110" customFormat="1" ht="15.75" customHeight="1">
      <c r="A326" s="105"/>
      <c r="B326" s="106"/>
      <c r="C326" s="106"/>
      <c r="D326" s="107"/>
      <c r="E326" s="106"/>
      <c r="F326" s="106"/>
      <c r="G326" s="106"/>
      <c r="H326" s="60"/>
      <c r="I326" s="60"/>
      <c r="J326" s="108"/>
      <c r="K326" s="60"/>
      <c r="L326" s="109"/>
      <c r="M326" s="109"/>
      <c r="N326" s="109"/>
      <c r="O326" s="109"/>
      <c r="P326" s="109"/>
      <c r="Q326" s="109"/>
      <c r="S326" s="111"/>
      <c r="T326" s="60"/>
      <c r="U326" s="112"/>
    </row>
    <row r="327" spans="1:21" s="110" customFormat="1" ht="15.75" customHeight="1">
      <c r="A327" s="105"/>
      <c r="B327" s="106"/>
      <c r="C327" s="106"/>
      <c r="D327" s="107"/>
      <c r="E327" s="106"/>
      <c r="F327" s="106"/>
      <c r="G327" s="106"/>
      <c r="H327" s="60"/>
      <c r="I327" s="60"/>
      <c r="J327" s="108"/>
      <c r="K327" s="60"/>
      <c r="L327" s="109"/>
      <c r="M327" s="109"/>
      <c r="N327" s="109"/>
      <c r="O327" s="109"/>
      <c r="P327" s="109"/>
      <c r="Q327" s="109"/>
      <c r="S327" s="111"/>
      <c r="T327" s="60"/>
      <c r="U327" s="112"/>
    </row>
    <row r="328" spans="1:21" s="110" customFormat="1" ht="15.75" customHeight="1">
      <c r="A328" s="105"/>
      <c r="B328" s="106"/>
      <c r="C328" s="106"/>
      <c r="D328" s="107"/>
      <c r="E328" s="106"/>
      <c r="F328" s="106"/>
      <c r="G328" s="106"/>
      <c r="H328" s="60"/>
      <c r="I328" s="60"/>
      <c r="J328" s="108"/>
      <c r="K328" s="60"/>
      <c r="L328" s="109"/>
      <c r="M328" s="109"/>
      <c r="N328" s="109"/>
      <c r="O328" s="109"/>
      <c r="P328" s="109"/>
      <c r="Q328" s="109"/>
      <c r="S328" s="111"/>
      <c r="T328" s="60"/>
      <c r="U328" s="112"/>
    </row>
    <row r="329" spans="1:21" s="110" customFormat="1" ht="15.75" customHeight="1">
      <c r="A329" s="105"/>
      <c r="B329" s="106"/>
      <c r="C329" s="106"/>
      <c r="D329" s="107"/>
      <c r="E329" s="106"/>
      <c r="F329" s="106"/>
      <c r="G329" s="106"/>
      <c r="H329" s="60"/>
      <c r="I329" s="60"/>
      <c r="J329" s="108"/>
      <c r="K329" s="60"/>
      <c r="L329" s="109"/>
      <c r="M329" s="109"/>
      <c r="N329" s="109"/>
      <c r="O329" s="109"/>
      <c r="P329" s="109"/>
      <c r="Q329" s="109"/>
      <c r="S329" s="111"/>
      <c r="T329" s="60"/>
      <c r="U329" s="112"/>
    </row>
    <row r="330" spans="1:21" s="110" customFormat="1" ht="15.75" customHeight="1">
      <c r="A330" s="105"/>
      <c r="B330" s="106"/>
      <c r="C330" s="106"/>
      <c r="D330" s="107"/>
      <c r="E330" s="106"/>
      <c r="F330" s="106"/>
      <c r="G330" s="106"/>
      <c r="H330" s="60"/>
      <c r="I330" s="60"/>
      <c r="J330" s="108"/>
      <c r="K330" s="60"/>
      <c r="L330" s="109"/>
      <c r="M330" s="109"/>
      <c r="N330" s="109"/>
      <c r="O330" s="109"/>
      <c r="P330" s="109"/>
      <c r="Q330" s="109"/>
      <c r="S330" s="111"/>
      <c r="T330" s="60"/>
      <c r="U330" s="112"/>
    </row>
    <row r="331" spans="1:21" s="110" customFormat="1" ht="15.75" customHeight="1">
      <c r="A331" s="105"/>
      <c r="B331" s="106"/>
      <c r="C331" s="106"/>
      <c r="D331" s="107"/>
      <c r="E331" s="106"/>
      <c r="F331" s="106"/>
      <c r="G331" s="106"/>
      <c r="H331" s="60"/>
      <c r="I331" s="60"/>
      <c r="J331" s="108"/>
      <c r="K331" s="60"/>
      <c r="L331" s="109"/>
      <c r="M331" s="109"/>
      <c r="N331" s="109"/>
      <c r="O331" s="109"/>
      <c r="P331" s="109"/>
      <c r="Q331" s="109"/>
      <c r="S331" s="111"/>
      <c r="T331" s="60"/>
      <c r="U331" s="112"/>
    </row>
    <row r="332" spans="1:21" s="110" customFormat="1" ht="15.75" customHeight="1">
      <c r="A332" s="105"/>
      <c r="B332" s="106"/>
      <c r="C332" s="106"/>
      <c r="D332" s="107"/>
      <c r="E332" s="106"/>
      <c r="F332" s="106"/>
      <c r="G332" s="106"/>
      <c r="H332" s="60"/>
      <c r="I332" s="60"/>
      <c r="J332" s="108"/>
      <c r="K332" s="60"/>
      <c r="L332" s="109"/>
      <c r="M332" s="109"/>
      <c r="N332" s="109"/>
      <c r="O332" s="109"/>
      <c r="P332" s="109"/>
      <c r="Q332" s="109"/>
      <c r="S332" s="111"/>
      <c r="T332" s="60"/>
      <c r="U332" s="112"/>
    </row>
    <row r="333" spans="1:21" s="110" customFormat="1" ht="15.75" customHeight="1">
      <c r="A333" s="105"/>
      <c r="B333" s="106"/>
      <c r="C333" s="106"/>
      <c r="D333" s="107"/>
      <c r="E333" s="106"/>
      <c r="F333" s="106"/>
      <c r="G333" s="106"/>
      <c r="H333" s="60"/>
      <c r="I333" s="60"/>
      <c r="J333" s="108"/>
      <c r="K333" s="60"/>
      <c r="L333" s="109"/>
      <c r="M333" s="109"/>
      <c r="N333" s="109"/>
      <c r="O333" s="109"/>
      <c r="P333" s="109"/>
      <c r="Q333" s="109"/>
      <c r="S333" s="111"/>
      <c r="T333" s="60"/>
      <c r="U333" s="112"/>
    </row>
    <row r="334" spans="1:21" s="110" customFormat="1" ht="15.75" customHeight="1">
      <c r="A334" s="105"/>
      <c r="B334" s="106"/>
      <c r="C334" s="106"/>
      <c r="D334" s="107"/>
      <c r="E334" s="106"/>
      <c r="F334" s="106"/>
      <c r="G334" s="106"/>
      <c r="H334" s="60"/>
      <c r="I334" s="60"/>
      <c r="J334" s="108"/>
      <c r="K334" s="60"/>
      <c r="L334" s="109"/>
      <c r="M334" s="109"/>
      <c r="N334" s="109"/>
      <c r="O334" s="109"/>
      <c r="P334" s="109"/>
      <c r="Q334" s="109"/>
      <c r="S334" s="111"/>
      <c r="T334" s="60"/>
      <c r="U334" s="112"/>
    </row>
    <row r="335" spans="1:21" s="110" customFormat="1" ht="15.75" customHeight="1">
      <c r="A335" s="105"/>
      <c r="B335" s="106"/>
      <c r="C335" s="106"/>
      <c r="D335" s="107"/>
      <c r="E335" s="106"/>
      <c r="F335" s="106"/>
      <c r="G335" s="106"/>
      <c r="H335" s="60"/>
      <c r="I335" s="60"/>
      <c r="J335" s="108"/>
      <c r="K335" s="60"/>
      <c r="L335" s="109"/>
      <c r="M335" s="109"/>
      <c r="N335" s="109"/>
      <c r="O335" s="109"/>
      <c r="P335" s="109"/>
      <c r="Q335" s="109"/>
      <c r="S335" s="111"/>
      <c r="T335" s="60"/>
      <c r="U335" s="112"/>
    </row>
    <row r="336" spans="1:21" s="110" customFormat="1" ht="15.75" customHeight="1">
      <c r="A336" s="105"/>
      <c r="B336" s="106"/>
      <c r="C336" s="106"/>
      <c r="D336" s="107"/>
      <c r="E336" s="106"/>
      <c r="F336" s="106"/>
      <c r="G336" s="106"/>
      <c r="H336" s="60"/>
      <c r="I336" s="60"/>
      <c r="J336" s="108"/>
      <c r="K336" s="60"/>
      <c r="L336" s="109"/>
      <c r="M336" s="109"/>
      <c r="N336" s="109"/>
      <c r="O336" s="109"/>
      <c r="P336" s="109"/>
      <c r="Q336" s="109"/>
      <c r="S336" s="111"/>
      <c r="T336" s="60"/>
      <c r="U336" s="112"/>
    </row>
    <row r="337" spans="1:21" s="110" customFormat="1" ht="15.75" customHeight="1">
      <c r="A337" s="105"/>
      <c r="B337" s="106"/>
      <c r="C337" s="106"/>
      <c r="D337" s="107"/>
      <c r="E337" s="106"/>
      <c r="F337" s="106"/>
      <c r="G337" s="106"/>
      <c r="H337" s="60"/>
      <c r="I337" s="60"/>
      <c r="J337" s="108"/>
      <c r="K337" s="60"/>
      <c r="L337" s="109"/>
      <c r="M337" s="109"/>
      <c r="N337" s="109"/>
      <c r="O337" s="109"/>
      <c r="P337" s="109"/>
      <c r="Q337" s="109"/>
      <c r="S337" s="111"/>
      <c r="T337" s="60"/>
      <c r="U337" s="112"/>
    </row>
    <row r="338" spans="1:21" s="110" customFormat="1" ht="15.75" customHeight="1">
      <c r="A338" s="105"/>
      <c r="B338" s="106"/>
      <c r="C338" s="106"/>
      <c r="D338" s="107"/>
      <c r="E338" s="106"/>
      <c r="F338" s="106"/>
      <c r="G338" s="106"/>
      <c r="H338" s="60"/>
      <c r="I338" s="60"/>
      <c r="J338" s="108"/>
      <c r="K338" s="60"/>
      <c r="L338" s="109"/>
      <c r="M338" s="109"/>
      <c r="N338" s="109"/>
      <c r="O338" s="109"/>
      <c r="P338" s="109"/>
      <c r="Q338" s="109"/>
      <c r="S338" s="111"/>
      <c r="T338" s="60"/>
      <c r="U338" s="112"/>
    </row>
    <row r="339" spans="1:21" s="110" customFormat="1" ht="15.75" customHeight="1">
      <c r="A339" s="105"/>
      <c r="B339" s="106"/>
      <c r="C339" s="106"/>
      <c r="D339" s="107"/>
      <c r="E339" s="106"/>
      <c r="F339" s="106"/>
      <c r="G339" s="106"/>
      <c r="H339" s="60"/>
      <c r="I339" s="60"/>
      <c r="J339" s="108"/>
      <c r="K339" s="60"/>
      <c r="L339" s="109"/>
      <c r="M339" s="109"/>
      <c r="N339" s="109"/>
      <c r="O339" s="109"/>
      <c r="P339" s="109"/>
      <c r="Q339" s="109"/>
      <c r="S339" s="111"/>
      <c r="T339" s="60"/>
      <c r="U339" s="112"/>
    </row>
    <row r="340" spans="1:21" s="110" customFormat="1" ht="15.75" customHeight="1">
      <c r="A340" s="105"/>
      <c r="B340" s="106"/>
      <c r="C340" s="106"/>
      <c r="D340" s="107"/>
      <c r="E340" s="106"/>
      <c r="F340" s="106"/>
      <c r="G340" s="106"/>
      <c r="H340" s="60"/>
      <c r="I340" s="60"/>
      <c r="J340" s="108"/>
      <c r="K340" s="60"/>
      <c r="L340" s="109"/>
      <c r="M340" s="109"/>
      <c r="N340" s="109"/>
      <c r="O340" s="109"/>
      <c r="P340" s="109"/>
      <c r="Q340" s="109"/>
      <c r="S340" s="111"/>
      <c r="T340" s="60"/>
      <c r="U340" s="112"/>
    </row>
    <row r="341" spans="1:21" s="110" customFormat="1" ht="15.75" customHeight="1">
      <c r="A341" s="105"/>
      <c r="B341" s="106"/>
      <c r="C341" s="106"/>
      <c r="D341" s="107"/>
      <c r="E341" s="106"/>
      <c r="F341" s="106"/>
      <c r="G341" s="106"/>
      <c r="H341" s="60"/>
      <c r="I341" s="60"/>
      <c r="J341" s="108"/>
      <c r="K341" s="60"/>
      <c r="L341" s="109"/>
      <c r="M341" s="109"/>
      <c r="N341" s="109"/>
      <c r="O341" s="109"/>
      <c r="P341" s="109"/>
      <c r="Q341" s="109"/>
      <c r="S341" s="111"/>
      <c r="T341" s="60"/>
      <c r="U341" s="112"/>
    </row>
    <row r="342" spans="1:21" s="110" customFormat="1" ht="15.75" customHeight="1">
      <c r="A342" s="105"/>
      <c r="B342" s="106"/>
      <c r="C342" s="106"/>
      <c r="D342" s="107"/>
      <c r="E342" s="106"/>
      <c r="F342" s="106"/>
      <c r="G342" s="106"/>
      <c r="H342" s="60"/>
      <c r="I342" s="60"/>
      <c r="J342" s="108"/>
      <c r="K342" s="60"/>
      <c r="L342" s="109"/>
      <c r="M342" s="109"/>
      <c r="N342" s="109"/>
      <c r="O342" s="109"/>
      <c r="P342" s="109"/>
      <c r="Q342" s="109"/>
      <c r="S342" s="111"/>
      <c r="T342" s="60"/>
      <c r="U342" s="112"/>
    </row>
    <row r="343" spans="1:21" s="110" customFormat="1" ht="15.75" customHeight="1">
      <c r="A343" s="105"/>
      <c r="B343" s="106"/>
      <c r="C343" s="106"/>
      <c r="D343" s="107"/>
      <c r="E343" s="106"/>
      <c r="F343" s="106"/>
      <c r="G343" s="106"/>
      <c r="H343" s="60"/>
      <c r="I343" s="60"/>
      <c r="J343" s="108"/>
      <c r="K343" s="60"/>
      <c r="L343" s="109"/>
      <c r="M343" s="109"/>
      <c r="N343" s="109"/>
      <c r="O343" s="109"/>
      <c r="P343" s="109"/>
      <c r="Q343" s="109"/>
      <c r="S343" s="111"/>
      <c r="T343" s="60"/>
      <c r="U343" s="112"/>
    </row>
    <row r="344" spans="1:21" s="110" customFormat="1" ht="15.75" customHeight="1">
      <c r="A344" s="105"/>
      <c r="B344" s="106"/>
      <c r="C344" s="106"/>
      <c r="D344" s="107"/>
      <c r="E344" s="106"/>
      <c r="F344" s="106"/>
      <c r="G344" s="106"/>
      <c r="H344" s="60"/>
      <c r="I344" s="60"/>
      <c r="J344" s="108"/>
      <c r="K344" s="60"/>
      <c r="L344" s="109"/>
      <c r="M344" s="109"/>
      <c r="N344" s="109"/>
      <c r="O344" s="109"/>
      <c r="P344" s="109"/>
      <c r="Q344" s="109"/>
      <c r="S344" s="111"/>
      <c r="T344" s="60"/>
      <c r="U344" s="112"/>
    </row>
    <row r="345" spans="1:21" s="110" customFormat="1" ht="15.75" customHeight="1">
      <c r="A345" s="105"/>
      <c r="B345" s="106"/>
      <c r="C345" s="106"/>
      <c r="D345" s="107"/>
      <c r="E345" s="106"/>
      <c r="F345" s="106"/>
      <c r="G345" s="106"/>
      <c r="H345" s="60"/>
      <c r="I345" s="60"/>
      <c r="J345" s="108"/>
      <c r="K345" s="60"/>
      <c r="L345" s="109"/>
      <c r="M345" s="109"/>
      <c r="N345" s="109"/>
      <c r="O345" s="109"/>
      <c r="P345" s="109"/>
      <c r="Q345" s="109"/>
      <c r="S345" s="111"/>
      <c r="T345" s="60"/>
      <c r="U345" s="112"/>
    </row>
    <row r="346" spans="1:21" s="110" customFormat="1" ht="15.75" customHeight="1">
      <c r="A346" s="105"/>
      <c r="B346" s="106"/>
      <c r="C346" s="106"/>
      <c r="D346" s="107"/>
      <c r="E346" s="106"/>
      <c r="F346" s="106"/>
      <c r="G346" s="106"/>
      <c r="H346" s="60"/>
      <c r="I346" s="60"/>
      <c r="J346" s="108"/>
      <c r="K346" s="60"/>
      <c r="L346" s="109"/>
      <c r="M346" s="109"/>
      <c r="N346" s="109"/>
      <c r="O346" s="109"/>
      <c r="P346" s="109"/>
      <c r="Q346" s="109"/>
      <c r="S346" s="111"/>
      <c r="T346" s="60"/>
      <c r="U346" s="112"/>
    </row>
    <row r="347" spans="1:21" s="110" customFormat="1" ht="15.75" customHeight="1">
      <c r="A347" s="105"/>
      <c r="B347" s="106"/>
      <c r="C347" s="106"/>
      <c r="D347" s="107"/>
      <c r="E347" s="106"/>
      <c r="F347" s="106"/>
      <c r="G347" s="106"/>
      <c r="H347" s="60"/>
      <c r="I347" s="60"/>
      <c r="J347" s="108"/>
      <c r="K347" s="60"/>
      <c r="L347" s="109"/>
      <c r="M347" s="109"/>
      <c r="N347" s="109"/>
      <c r="O347" s="109"/>
      <c r="P347" s="109"/>
      <c r="Q347" s="109"/>
      <c r="S347" s="111"/>
      <c r="T347" s="60"/>
      <c r="U347" s="112"/>
    </row>
    <row r="348" spans="1:21" s="110" customFormat="1" ht="15.75" customHeight="1">
      <c r="A348" s="105"/>
      <c r="B348" s="106"/>
      <c r="C348" s="106"/>
      <c r="D348" s="107"/>
      <c r="E348" s="106"/>
      <c r="F348" s="106"/>
      <c r="G348" s="106"/>
      <c r="H348" s="60"/>
      <c r="I348" s="60"/>
      <c r="J348" s="108"/>
      <c r="K348" s="60"/>
      <c r="L348" s="109"/>
      <c r="M348" s="109"/>
      <c r="N348" s="109"/>
      <c r="O348" s="109"/>
      <c r="P348" s="109"/>
      <c r="Q348" s="109"/>
      <c r="S348" s="111"/>
      <c r="T348" s="60"/>
      <c r="U348" s="112"/>
    </row>
    <row r="349" spans="1:21" s="110" customFormat="1" ht="15.75" customHeight="1">
      <c r="A349" s="105"/>
      <c r="B349" s="106"/>
      <c r="C349" s="106"/>
      <c r="D349" s="107"/>
      <c r="E349" s="106"/>
      <c r="F349" s="106"/>
      <c r="G349" s="106"/>
      <c r="H349" s="60"/>
      <c r="I349" s="60"/>
      <c r="J349" s="108"/>
      <c r="K349" s="60"/>
      <c r="L349" s="109"/>
      <c r="M349" s="109"/>
      <c r="N349" s="109"/>
      <c r="O349" s="109"/>
      <c r="P349" s="109"/>
      <c r="Q349" s="109"/>
      <c r="S349" s="111"/>
      <c r="T349" s="60"/>
      <c r="U349" s="112"/>
    </row>
    <row r="350" spans="1:21" s="110" customFormat="1" ht="15.75" customHeight="1">
      <c r="A350" s="105"/>
      <c r="B350" s="106"/>
      <c r="C350" s="106"/>
      <c r="D350" s="107"/>
      <c r="E350" s="106"/>
      <c r="F350" s="106"/>
      <c r="G350" s="106"/>
      <c r="H350" s="60"/>
      <c r="I350" s="60"/>
      <c r="J350" s="108"/>
      <c r="K350" s="60"/>
      <c r="L350" s="109"/>
      <c r="M350" s="109"/>
      <c r="N350" s="109"/>
      <c r="O350" s="109"/>
      <c r="P350" s="109"/>
      <c r="Q350" s="109"/>
      <c r="S350" s="111"/>
      <c r="T350" s="60"/>
      <c r="U350" s="112"/>
    </row>
    <row r="351" spans="1:21" s="110" customFormat="1" ht="15.75" customHeight="1">
      <c r="A351" s="105"/>
      <c r="B351" s="106"/>
      <c r="C351" s="106"/>
      <c r="D351" s="107"/>
      <c r="E351" s="106"/>
      <c r="F351" s="106"/>
      <c r="G351" s="106"/>
      <c r="H351" s="60"/>
      <c r="I351" s="60"/>
      <c r="J351" s="108"/>
      <c r="K351" s="60"/>
      <c r="L351" s="109"/>
      <c r="M351" s="109"/>
      <c r="N351" s="109"/>
      <c r="O351" s="109"/>
      <c r="P351" s="109"/>
      <c r="Q351" s="109"/>
      <c r="S351" s="111"/>
      <c r="T351" s="60"/>
      <c r="U351" s="112"/>
    </row>
    <row r="352" spans="1:21" s="110" customFormat="1" ht="15.75" customHeight="1">
      <c r="A352" s="105"/>
      <c r="B352" s="106"/>
      <c r="C352" s="106"/>
      <c r="D352" s="107"/>
      <c r="E352" s="106"/>
      <c r="F352" s="106"/>
      <c r="G352" s="106"/>
      <c r="H352" s="60"/>
      <c r="I352" s="60"/>
      <c r="J352" s="108"/>
      <c r="K352" s="60"/>
      <c r="L352" s="109"/>
      <c r="M352" s="109"/>
      <c r="N352" s="109"/>
      <c r="O352" s="109"/>
      <c r="P352" s="109"/>
      <c r="Q352" s="109"/>
      <c r="S352" s="111"/>
      <c r="T352" s="60"/>
      <c r="U352" s="112"/>
    </row>
    <row r="353" spans="1:21" s="110" customFormat="1" ht="15.75" customHeight="1">
      <c r="A353" s="105"/>
      <c r="B353" s="106"/>
      <c r="C353" s="106"/>
      <c r="D353" s="107"/>
      <c r="E353" s="106"/>
      <c r="F353" s="106"/>
      <c r="G353" s="106"/>
      <c r="H353" s="60"/>
      <c r="I353" s="60"/>
      <c r="J353" s="108"/>
      <c r="K353" s="60"/>
      <c r="L353" s="109"/>
      <c r="M353" s="109"/>
      <c r="N353" s="109"/>
      <c r="O353" s="109"/>
      <c r="P353" s="109"/>
      <c r="Q353" s="109"/>
      <c r="S353" s="111"/>
      <c r="T353" s="60"/>
      <c r="U353" s="112"/>
    </row>
    <row r="354" spans="1:21" s="110" customFormat="1" ht="15.75" customHeight="1">
      <c r="A354" s="105"/>
      <c r="B354" s="106"/>
      <c r="C354" s="106"/>
      <c r="D354" s="107"/>
      <c r="E354" s="106"/>
      <c r="F354" s="106"/>
      <c r="G354" s="106"/>
      <c r="H354" s="60"/>
      <c r="I354" s="60"/>
      <c r="J354" s="108"/>
      <c r="K354" s="60"/>
      <c r="L354" s="109"/>
      <c r="M354" s="109"/>
      <c r="N354" s="109"/>
      <c r="O354" s="109"/>
      <c r="P354" s="109"/>
      <c r="Q354" s="109"/>
      <c r="S354" s="111"/>
      <c r="T354" s="60"/>
      <c r="U354" s="112"/>
    </row>
    <row r="355" spans="1:21" s="110" customFormat="1" ht="15.75" customHeight="1">
      <c r="A355" s="105"/>
      <c r="B355" s="106"/>
      <c r="C355" s="106"/>
      <c r="D355" s="107"/>
      <c r="E355" s="106"/>
      <c r="F355" s="106"/>
      <c r="G355" s="106"/>
      <c r="H355" s="60"/>
      <c r="I355" s="60"/>
      <c r="J355" s="108"/>
      <c r="K355" s="60"/>
      <c r="L355" s="109"/>
      <c r="M355" s="109"/>
      <c r="N355" s="109"/>
      <c r="O355" s="109"/>
      <c r="P355" s="109"/>
      <c r="Q355" s="109"/>
      <c r="S355" s="111"/>
      <c r="T355" s="60"/>
      <c r="U355" s="112"/>
    </row>
    <row r="356" spans="1:21" s="110" customFormat="1" ht="15.75" customHeight="1">
      <c r="A356" s="105"/>
      <c r="B356" s="106"/>
      <c r="C356" s="106"/>
      <c r="D356" s="107"/>
      <c r="E356" s="106"/>
      <c r="F356" s="106"/>
      <c r="G356" s="106"/>
      <c r="H356" s="60"/>
      <c r="I356" s="60"/>
      <c r="J356" s="108"/>
      <c r="K356" s="60"/>
      <c r="L356" s="109"/>
      <c r="M356" s="109"/>
      <c r="N356" s="109"/>
      <c r="O356" s="109"/>
      <c r="P356" s="109"/>
      <c r="Q356" s="109"/>
      <c r="S356" s="111"/>
      <c r="T356" s="60"/>
      <c r="U356" s="112"/>
    </row>
    <row r="357" spans="1:21" s="110" customFormat="1" ht="15.75" customHeight="1">
      <c r="A357" s="105"/>
      <c r="B357" s="106"/>
      <c r="C357" s="106"/>
      <c r="D357" s="107"/>
      <c r="E357" s="106"/>
      <c r="F357" s="106"/>
      <c r="G357" s="106"/>
      <c r="H357" s="60"/>
      <c r="I357" s="60"/>
      <c r="J357" s="108"/>
      <c r="K357" s="60"/>
      <c r="L357" s="109"/>
      <c r="M357" s="109"/>
      <c r="N357" s="109"/>
      <c r="O357" s="109"/>
      <c r="P357" s="109"/>
      <c r="Q357" s="109"/>
      <c r="S357" s="111"/>
      <c r="T357" s="60"/>
      <c r="U357" s="112"/>
    </row>
    <row r="358" spans="1:21" s="110" customFormat="1" ht="15.75" customHeight="1">
      <c r="A358" s="105"/>
      <c r="B358" s="106"/>
      <c r="C358" s="106"/>
      <c r="D358" s="107"/>
      <c r="E358" s="106"/>
      <c r="F358" s="106"/>
      <c r="G358" s="106"/>
      <c r="H358" s="60"/>
      <c r="I358" s="60"/>
      <c r="J358" s="108"/>
      <c r="K358" s="60"/>
      <c r="L358" s="109"/>
      <c r="M358" s="109"/>
      <c r="N358" s="109"/>
      <c r="O358" s="109"/>
      <c r="P358" s="109"/>
      <c r="Q358" s="109"/>
      <c r="S358" s="111"/>
      <c r="T358" s="60"/>
      <c r="U358" s="112"/>
    </row>
    <row r="359" spans="1:21" s="110" customFormat="1" ht="15.75" customHeight="1">
      <c r="A359" s="105"/>
      <c r="B359" s="106"/>
      <c r="C359" s="106"/>
      <c r="D359" s="107"/>
      <c r="E359" s="106"/>
      <c r="F359" s="106"/>
      <c r="G359" s="106"/>
      <c r="H359" s="60"/>
      <c r="I359" s="60"/>
      <c r="J359" s="108"/>
      <c r="K359" s="60"/>
      <c r="L359" s="109"/>
      <c r="M359" s="109"/>
      <c r="N359" s="109"/>
      <c r="O359" s="109"/>
      <c r="P359" s="109"/>
      <c r="Q359" s="109"/>
      <c r="S359" s="111"/>
      <c r="T359" s="60"/>
      <c r="U359" s="112"/>
    </row>
    <row r="360" spans="1:21" s="110" customFormat="1" ht="15.75" customHeight="1">
      <c r="A360" s="105"/>
      <c r="B360" s="106"/>
      <c r="C360" s="106"/>
      <c r="D360" s="107"/>
      <c r="E360" s="106"/>
      <c r="F360" s="106"/>
      <c r="G360" s="106"/>
      <c r="H360" s="60"/>
      <c r="I360" s="60"/>
      <c r="J360" s="108"/>
      <c r="K360" s="60"/>
      <c r="L360" s="109"/>
      <c r="M360" s="109"/>
      <c r="N360" s="109"/>
      <c r="O360" s="109"/>
      <c r="P360" s="109"/>
      <c r="Q360" s="109"/>
      <c r="S360" s="111"/>
      <c r="T360" s="60"/>
      <c r="U360" s="112"/>
    </row>
    <row r="361" spans="1:21" s="110" customFormat="1" ht="15.75" customHeight="1">
      <c r="A361" s="105"/>
      <c r="B361" s="106"/>
      <c r="C361" s="106"/>
      <c r="D361" s="107"/>
      <c r="E361" s="106"/>
      <c r="F361" s="106"/>
      <c r="G361" s="106"/>
      <c r="H361" s="60"/>
      <c r="I361" s="60"/>
      <c r="J361" s="108"/>
      <c r="K361" s="60"/>
      <c r="L361" s="109"/>
      <c r="M361" s="109"/>
      <c r="N361" s="109"/>
      <c r="O361" s="109"/>
      <c r="P361" s="109"/>
      <c r="Q361" s="109"/>
      <c r="S361" s="111"/>
      <c r="T361" s="60"/>
      <c r="U361" s="112"/>
    </row>
    <row r="362" spans="1:21" s="110" customFormat="1" ht="15.75" customHeight="1">
      <c r="A362" s="105"/>
      <c r="B362" s="106"/>
      <c r="C362" s="106"/>
      <c r="D362" s="107"/>
      <c r="E362" s="106"/>
      <c r="F362" s="106"/>
      <c r="G362" s="106"/>
      <c r="H362" s="60"/>
      <c r="I362" s="60"/>
      <c r="J362" s="108"/>
      <c r="K362" s="60"/>
      <c r="L362" s="109"/>
      <c r="M362" s="109"/>
      <c r="N362" s="109"/>
      <c r="O362" s="109"/>
      <c r="P362" s="109"/>
      <c r="Q362" s="109"/>
      <c r="S362" s="111"/>
      <c r="T362" s="60"/>
      <c r="U362" s="112"/>
    </row>
    <row r="363" spans="1:21" s="110" customFormat="1" ht="15.75" customHeight="1">
      <c r="A363" s="105"/>
      <c r="B363" s="106"/>
      <c r="C363" s="106"/>
      <c r="D363" s="107"/>
      <c r="E363" s="106"/>
      <c r="F363" s="106"/>
      <c r="G363" s="106"/>
      <c r="H363" s="60"/>
      <c r="I363" s="60"/>
      <c r="J363" s="108"/>
      <c r="K363" s="60"/>
      <c r="L363" s="109"/>
      <c r="M363" s="109"/>
      <c r="N363" s="109"/>
      <c r="O363" s="109"/>
      <c r="P363" s="109"/>
      <c r="Q363" s="109"/>
      <c r="S363" s="111"/>
      <c r="T363" s="60"/>
      <c r="U363" s="112"/>
    </row>
    <row r="364" spans="1:21" s="110" customFormat="1" ht="15.75" customHeight="1">
      <c r="A364" s="105"/>
      <c r="B364" s="106"/>
      <c r="C364" s="106"/>
      <c r="D364" s="107"/>
      <c r="E364" s="106"/>
      <c r="F364" s="106"/>
      <c r="G364" s="106"/>
      <c r="H364" s="60"/>
      <c r="I364" s="60"/>
      <c r="J364" s="108"/>
      <c r="K364" s="60"/>
      <c r="L364" s="109"/>
      <c r="M364" s="109"/>
      <c r="N364" s="109"/>
      <c r="O364" s="109"/>
      <c r="P364" s="109"/>
      <c r="Q364" s="109"/>
      <c r="S364" s="111"/>
      <c r="T364" s="60"/>
      <c r="U364" s="112"/>
    </row>
    <row r="365" spans="1:21" s="110" customFormat="1" ht="15.75" customHeight="1">
      <c r="A365" s="105"/>
      <c r="B365" s="106"/>
      <c r="C365" s="106"/>
      <c r="D365" s="107"/>
      <c r="E365" s="106"/>
      <c r="F365" s="106"/>
      <c r="G365" s="106"/>
      <c r="H365" s="60"/>
      <c r="I365" s="60"/>
      <c r="J365" s="108"/>
      <c r="K365" s="60"/>
      <c r="L365" s="109"/>
      <c r="M365" s="109"/>
      <c r="N365" s="109"/>
      <c r="O365" s="109"/>
      <c r="P365" s="109"/>
      <c r="Q365" s="109"/>
      <c r="S365" s="111"/>
      <c r="T365" s="60"/>
      <c r="U365" s="112"/>
    </row>
    <row r="366" spans="1:21" s="110" customFormat="1" ht="15.75" customHeight="1">
      <c r="A366" s="105"/>
      <c r="B366" s="106"/>
      <c r="C366" s="106"/>
      <c r="D366" s="107"/>
      <c r="E366" s="106"/>
      <c r="F366" s="106"/>
      <c r="G366" s="106"/>
      <c r="H366" s="60"/>
      <c r="I366" s="60"/>
      <c r="J366" s="108"/>
      <c r="K366" s="60"/>
      <c r="L366" s="109"/>
      <c r="M366" s="109"/>
      <c r="N366" s="109"/>
      <c r="O366" s="109"/>
      <c r="P366" s="109"/>
      <c r="Q366" s="109"/>
      <c r="S366" s="111"/>
      <c r="T366" s="60"/>
      <c r="U366" s="112"/>
    </row>
    <row r="367" spans="1:21" s="110" customFormat="1" ht="15.75" customHeight="1">
      <c r="A367" s="105"/>
      <c r="B367" s="106"/>
      <c r="C367" s="106"/>
      <c r="D367" s="107"/>
      <c r="E367" s="106"/>
      <c r="F367" s="106"/>
      <c r="G367" s="106"/>
      <c r="H367" s="60"/>
      <c r="I367" s="60"/>
      <c r="J367" s="108"/>
      <c r="K367" s="60"/>
      <c r="L367" s="109"/>
      <c r="M367" s="109"/>
      <c r="N367" s="109"/>
      <c r="O367" s="109"/>
      <c r="P367" s="109"/>
      <c r="Q367" s="109"/>
      <c r="S367" s="111"/>
      <c r="T367" s="60"/>
      <c r="U367" s="112"/>
    </row>
    <row r="368" spans="1:21" s="110" customFormat="1" ht="15.75" customHeight="1">
      <c r="A368" s="105"/>
      <c r="B368" s="106"/>
      <c r="C368" s="106"/>
      <c r="D368" s="107"/>
      <c r="E368" s="106"/>
      <c r="F368" s="106"/>
      <c r="G368" s="106"/>
      <c r="H368" s="60"/>
      <c r="I368" s="60"/>
      <c r="J368" s="108"/>
      <c r="K368" s="60"/>
      <c r="L368" s="109"/>
      <c r="M368" s="109"/>
      <c r="N368" s="109"/>
      <c r="O368" s="109"/>
      <c r="P368" s="109"/>
      <c r="Q368" s="109"/>
      <c r="S368" s="111"/>
      <c r="T368" s="60"/>
      <c r="U368" s="112"/>
    </row>
    <row r="369" spans="1:21" s="110" customFormat="1" ht="15.75" customHeight="1">
      <c r="A369" s="105"/>
      <c r="B369" s="106"/>
      <c r="C369" s="106"/>
      <c r="D369" s="107"/>
      <c r="E369" s="106"/>
      <c r="F369" s="106"/>
      <c r="G369" s="106"/>
      <c r="H369" s="60"/>
      <c r="I369" s="60"/>
      <c r="J369" s="108"/>
      <c r="K369" s="60"/>
      <c r="L369" s="109"/>
      <c r="M369" s="109"/>
      <c r="N369" s="109"/>
      <c r="O369" s="109"/>
      <c r="P369" s="109"/>
      <c r="Q369" s="109"/>
      <c r="S369" s="111"/>
      <c r="T369" s="60"/>
      <c r="U369" s="112"/>
    </row>
    <row r="370" spans="1:21" s="110" customFormat="1" ht="15.75" customHeight="1">
      <c r="A370" s="105"/>
      <c r="B370" s="106"/>
      <c r="C370" s="106"/>
      <c r="D370" s="107"/>
      <c r="E370" s="106"/>
      <c r="F370" s="106"/>
      <c r="G370" s="106"/>
      <c r="H370" s="60"/>
      <c r="I370" s="60"/>
      <c r="J370" s="108"/>
      <c r="K370" s="60"/>
      <c r="L370" s="109"/>
      <c r="M370" s="109"/>
      <c r="N370" s="109"/>
      <c r="O370" s="109"/>
      <c r="P370" s="109"/>
      <c r="Q370" s="109"/>
      <c r="S370" s="111"/>
      <c r="T370" s="60"/>
      <c r="U370" s="112"/>
    </row>
    <row r="371" spans="1:21" s="110" customFormat="1" ht="15.75" customHeight="1">
      <c r="A371" s="105"/>
      <c r="B371" s="106"/>
      <c r="C371" s="106"/>
      <c r="D371" s="107"/>
      <c r="E371" s="106"/>
      <c r="F371" s="106"/>
      <c r="G371" s="106"/>
      <c r="H371" s="60"/>
      <c r="I371" s="60"/>
      <c r="J371" s="108"/>
      <c r="K371" s="60"/>
      <c r="L371" s="109"/>
      <c r="M371" s="109"/>
      <c r="N371" s="109"/>
      <c r="O371" s="109"/>
      <c r="P371" s="109"/>
      <c r="Q371" s="109"/>
      <c r="S371" s="111"/>
      <c r="T371" s="60"/>
      <c r="U371" s="112"/>
    </row>
    <row r="372" spans="1:21" s="110" customFormat="1" ht="15.75" customHeight="1">
      <c r="A372" s="105"/>
      <c r="B372" s="106"/>
      <c r="C372" s="106"/>
      <c r="D372" s="107"/>
      <c r="E372" s="106"/>
      <c r="F372" s="106"/>
      <c r="G372" s="106"/>
      <c r="H372" s="60"/>
      <c r="I372" s="60"/>
      <c r="J372" s="108"/>
      <c r="K372" s="60"/>
      <c r="L372" s="109"/>
      <c r="M372" s="109"/>
      <c r="N372" s="109"/>
      <c r="O372" s="109"/>
      <c r="P372" s="109"/>
      <c r="Q372" s="109"/>
      <c r="S372" s="111"/>
      <c r="T372" s="60"/>
      <c r="U372" s="112"/>
    </row>
    <row r="373" spans="1:21" s="110" customFormat="1" ht="15.75" customHeight="1">
      <c r="A373" s="105"/>
      <c r="B373" s="106"/>
      <c r="C373" s="106"/>
      <c r="D373" s="107"/>
      <c r="E373" s="106"/>
      <c r="F373" s="106"/>
      <c r="G373" s="106"/>
      <c r="H373" s="60"/>
      <c r="I373" s="60"/>
      <c r="J373" s="108"/>
      <c r="K373" s="60"/>
      <c r="L373" s="109"/>
      <c r="M373" s="109"/>
      <c r="N373" s="109"/>
      <c r="O373" s="109"/>
      <c r="P373" s="109"/>
      <c r="Q373" s="109"/>
      <c r="S373" s="111"/>
      <c r="T373" s="60"/>
      <c r="U373" s="112"/>
    </row>
    <row r="374" spans="1:21" s="110" customFormat="1" ht="15.75" customHeight="1">
      <c r="A374" s="105"/>
      <c r="B374" s="106"/>
      <c r="C374" s="106"/>
      <c r="D374" s="107"/>
      <c r="E374" s="106"/>
      <c r="F374" s="106"/>
      <c r="G374" s="106"/>
      <c r="H374" s="60"/>
      <c r="I374" s="60"/>
      <c r="J374" s="108"/>
      <c r="K374" s="60"/>
      <c r="L374" s="109"/>
      <c r="M374" s="109"/>
      <c r="N374" s="109"/>
      <c r="O374" s="109"/>
      <c r="P374" s="109"/>
      <c r="Q374" s="109"/>
      <c r="S374" s="111"/>
      <c r="T374" s="60"/>
      <c r="U374" s="112"/>
    </row>
    <row r="375" spans="1:21" s="110" customFormat="1" ht="15.75" customHeight="1">
      <c r="A375" s="105"/>
      <c r="B375" s="106"/>
      <c r="C375" s="106"/>
      <c r="D375" s="107"/>
      <c r="E375" s="106"/>
      <c r="F375" s="106"/>
      <c r="G375" s="106"/>
      <c r="H375" s="60"/>
      <c r="I375" s="60"/>
      <c r="J375" s="108"/>
      <c r="K375" s="60"/>
      <c r="L375" s="109"/>
      <c r="M375" s="109"/>
      <c r="N375" s="109"/>
      <c r="O375" s="109"/>
      <c r="P375" s="109"/>
      <c r="Q375" s="109"/>
      <c r="S375" s="111"/>
      <c r="T375" s="60"/>
      <c r="U375" s="112"/>
    </row>
    <row r="376" spans="1:21" s="110" customFormat="1" ht="15.75" customHeight="1">
      <c r="A376" s="105"/>
      <c r="B376" s="106"/>
      <c r="C376" s="106"/>
      <c r="D376" s="107"/>
      <c r="E376" s="106"/>
      <c r="F376" s="106"/>
      <c r="G376" s="106"/>
      <c r="H376" s="60"/>
      <c r="I376" s="60"/>
      <c r="J376" s="108"/>
      <c r="K376" s="60"/>
      <c r="L376" s="109"/>
      <c r="M376" s="109"/>
      <c r="N376" s="109"/>
      <c r="O376" s="109"/>
      <c r="P376" s="109"/>
      <c r="Q376" s="109"/>
      <c r="S376" s="111"/>
      <c r="T376" s="60"/>
      <c r="U376" s="112"/>
    </row>
    <row r="377" spans="1:21" s="110" customFormat="1" ht="15.75" customHeight="1">
      <c r="A377" s="105"/>
      <c r="B377" s="106"/>
      <c r="C377" s="106"/>
      <c r="D377" s="107"/>
      <c r="E377" s="106"/>
      <c r="F377" s="106"/>
      <c r="G377" s="106"/>
      <c r="H377" s="60"/>
      <c r="I377" s="60"/>
      <c r="J377" s="108"/>
      <c r="K377" s="60"/>
      <c r="L377" s="109"/>
      <c r="M377" s="109"/>
      <c r="N377" s="109"/>
      <c r="O377" s="109"/>
      <c r="P377" s="109"/>
      <c r="Q377" s="109"/>
      <c r="S377" s="111"/>
      <c r="T377" s="60"/>
      <c r="U377" s="112"/>
    </row>
    <row r="378" spans="1:21" s="110" customFormat="1" ht="15.75" customHeight="1">
      <c r="A378" s="105"/>
      <c r="B378" s="106"/>
      <c r="C378" s="106"/>
      <c r="D378" s="107"/>
      <c r="E378" s="106"/>
      <c r="F378" s="106"/>
      <c r="G378" s="106"/>
      <c r="H378" s="60"/>
      <c r="I378" s="60"/>
      <c r="J378" s="108"/>
      <c r="K378" s="60"/>
      <c r="L378" s="109"/>
      <c r="M378" s="109"/>
      <c r="N378" s="109"/>
      <c r="O378" s="109"/>
      <c r="P378" s="109"/>
      <c r="Q378" s="109"/>
      <c r="S378" s="111"/>
      <c r="T378" s="60"/>
      <c r="U378" s="112"/>
    </row>
    <row r="379" spans="1:21" s="110" customFormat="1" ht="15.75" customHeight="1">
      <c r="A379" s="105"/>
      <c r="B379" s="106"/>
      <c r="C379" s="106"/>
      <c r="D379" s="107"/>
      <c r="E379" s="106"/>
      <c r="F379" s="106"/>
      <c r="G379" s="106"/>
      <c r="H379" s="60"/>
      <c r="I379" s="60"/>
      <c r="J379" s="108"/>
      <c r="K379" s="60"/>
      <c r="L379" s="109"/>
      <c r="M379" s="109"/>
      <c r="N379" s="109"/>
      <c r="O379" s="109"/>
      <c r="P379" s="109"/>
      <c r="Q379" s="109"/>
      <c r="S379" s="111"/>
      <c r="T379" s="60"/>
      <c r="U379" s="112"/>
    </row>
    <row r="380" spans="1:21" s="110" customFormat="1" ht="15.75" customHeight="1">
      <c r="A380" s="105"/>
      <c r="B380" s="106"/>
      <c r="C380" s="106"/>
      <c r="D380" s="107"/>
      <c r="E380" s="106"/>
      <c r="F380" s="106"/>
      <c r="G380" s="106"/>
      <c r="H380" s="60"/>
      <c r="I380" s="60"/>
      <c r="J380" s="108"/>
      <c r="K380" s="60"/>
      <c r="L380" s="109"/>
      <c r="M380" s="109"/>
      <c r="N380" s="109"/>
      <c r="O380" s="109"/>
      <c r="P380" s="109"/>
      <c r="Q380" s="109"/>
      <c r="S380" s="111"/>
      <c r="T380" s="60"/>
      <c r="U380" s="112"/>
    </row>
    <row r="381" spans="1:21" s="110" customFormat="1" ht="15.75" customHeight="1">
      <c r="A381" s="105"/>
      <c r="B381" s="106"/>
      <c r="C381" s="106"/>
      <c r="D381" s="107"/>
      <c r="E381" s="106"/>
      <c r="F381" s="106"/>
      <c r="G381" s="106"/>
      <c r="H381" s="60"/>
      <c r="I381" s="60"/>
      <c r="J381" s="108"/>
      <c r="K381" s="60"/>
      <c r="L381" s="109"/>
      <c r="M381" s="109"/>
      <c r="N381" s="109"/>
      <c r="O381" s="109"/>
      <c r="P381" s="109"/>
      <c r="Q381" s="109"/>
      <c r="S381" s="111"/>
      <c r="T381" s="60"/>
      <c r="U381" s="112"/>
    </row>
    <row r="382" spans="1:21" s="110" customFormat="1" ht="15.75" customHeight="1">
      <c r="A382" s="105"/>
      <c r="B382" s="106"/>
      <c r="C382" s="106"/>
      <c r="D382" s="107"/>
      <c r="E382" s="106"/>
      <c r="F382" s="106"/>
      <c r="G382" s="106"/>
      <c r="H382" s="60"/>
      <c r="I382" s="60"/>
      <c r="J382" s="108"/>
      <c r="K382" s="60"/>
      <c r="L382" s="109"/>
      <c r="M382" s="109"/>
      <c r="N382" s="109"/>
      <c r="O382" s="109"/>
      <c r="P382" s="109"/>
      <c r="Q382" s="109"/>
      <c r="S382" s="111"/>
      <c r="T382" s="60"/>
      <c r="U382" s="112"/>
    </row>
    <row r="383" spans="1:21" s="110" customFormat="1" ht="15.75" customHeight="1">
      <c r="A383" s="105"/>
      <c r="B383" s="106"/>
      <c r="C383" s="106"/>
      <c r="D383" s="107"/>
      <c r="E383" s="106"/>
      <c r="F383" s="106"/>
      <c r="G383" s="106"/>
      <c r="H383" s="60"/>
      <c r="I383" s="60"/>
      <c r="J383" s="108"/>
      <c r="K383" s="60"/>
      <c r="L383" s="109"/>
      <c r="M383" s="109"/>
      <c r="N383" s="109"/>
      <c r="O383" s="109"/>
      <c r="P383" s="109"/>
      <c r="Q383" s="109"/>
      <c r="S383" s="111"/>
      <c r="T383" s="60"/>
      <c r="U383" s="112"/>
    </row>
    <row r="384" spans="1:21" s="110" customFormat="1" ht="15.75" customHeight="1">
      <c r="A384" s="105"/>
      <c r="B384" s="106"/>
      <c r="C384" s="106"/>
      <c r="D384" s="107"/>
      <c r="E384" s="106"/>
      <c r="F384" s="106"/>
      <c r="G384" s="106"/>
      <c r="H384" s="60"/>
      <c r="I384" s="60"/>
      <c r="J384" s="108"/>
      <c r="K384" s="60"/>
      <c r="L384" s="109"/>
      <c r="M384" s="109"/>
      <c r="N384" s="109"/>
      <c r="O384" s="109"/>
      <c r="P384" s="109"/>
      <c r="Q384" s="109"/>
      <c r="S384" s="111"/>
      <c r="T384" s="60"/>
      <c r="U384" s="112"/>
    </row>
    <row r="385" spans="1:21" s="110" customFormat="1" ht="15.75" customHeight="1">
      <c r="A385" s="105"/>
      <c r="B385" s="106"/>
      <c r="C385" s="106"/>
      <c r="D385" s="107"/>
      <c r="E385" s="106"/>
      <c r="F385" s="106"/>
      <c r="G385" s="106"/>
      <c r="H385" s="60"/>
      <c r="I385" s="60"/>
      <c r="J385" s="108"/>
      <c r="K385" s="60"/>
      <c r="L385" s="109"/>
      <c r="M385" s="109"/>
      <c r="N385" s="109"/>
      <c r="O385" s="109"/>
      <c r="P385" s="109"/>
      <c r="Q385" s="109"/>
      <c r="S385" s="111"/>
      <c r="T385" s="60"/>
      <c r="U385" s="112"/>
    </row>
    <row r="386" spans="1:21" s="110" customFormat="1" ht="15.75" customHeight="1">
      <c r="A386" s="105"/>
      <c r="B386" s="106"/>
      <c r="C386" s="106"/>
      <c r="D386" s="107"/>
      <c r="E386" s="106"/>
      <c r="F386" s="106"/>
      <c r="G386" s="106"/>
      <c r="H386" s="60"/>
      <c r="I386" s="60"/>
      <c r="J386" s="108"/>
      <c r="K386" s="60"/>
      <c r="L386" s="109"/>
      <c r="M386" s="109"/>
      <c r="N386" s="109"/>
      <c r="O386" s="109"/>
      <c r="P386" s="109"/>
      <c r="Q386" s="109"/>
      <c r="S386" s="111"/>
      <c r="T386" s="60"/>
      <c r="U386" s="112"/>
    </row>
    <row r="387" spans="1:21" s="110" customFormat="1" ht="15.75" customHeight="1">
      <c r="A387" s="105"/>
      <c r="B387" s="106"/>
      <c r="C387" s="106"/>
      <c r="D387" s="107"/>
      <c r="E387" s="106"/>
      <c r="F387" s="106"/>
      <c r="G387" s="106"/>
      <c r="H387" s="60"/>
      <c r="I387" s="60"/>
      <c r="J387" s="108"/>
      <c r="K387" s="60"/>
      <c r="L387" s="109"/>
      <c r="M387" s="109"/>
      <c r="N387" s="109"/>
      <c r="O387" s="109"/>
      <c r="P387" s="109"/>
      <c r="Q387" s="109"/>
      <c r="S387" s="111"/>
      <c r="T387" s="60"/>
      <c r="U387" s="112"/>
    </row>
    <row r="388" spans="1:21" s="110" customFormat="1" ht="15.75" customHeight="1">
      <c r="A388" s="105"/>
      <c r="B388" s="106"/>
      <c r="C388" s="106"/>
      <c r="D388" s="107"/>
      <c r="E388" s="106"/>
      <c r="F388" s="106"/>
      <c r="G388" s="106"/>
      <c r="H388" s="60"/>
      <c r="I388" s="60"/>
      <c r="J388" s="108"/>
      <c r="K388" s="60"/>
      <c r="L388" s="109"/>
      <c r="M388" s="109"/>
      <c r="N388" s="109"/>
      <c r="O388" s="109"/>
      <c r="P388" s="109"/>
      <c r="Q388" s="109"/>
      <c r="S388" s="111"/>
      <c r="T388" s="60"/>
      <c r="U388" s="112"/>
    </row>
    <row r="389" spans="1:21" s="110" customFormat="1" ht="15.75" customHeight="1">
      <c r="A389" s="105"/>
      <c r="B389" s="106"/>
      <c r="C389" s="106"/>
      <c r="D389" s="107"/>
      <c r="E389" s="106"/>
      <c r="F389" s="106"/>
      <c r="G389" s="106"/>
      <c r="H389" s="60"/>
      <c r="I389" s="60"/>
      <c r="J389" s="108"/>
      <c r="K389" s="60"/>
      <c r="L389" s="109"/>
      <c r="M389" s="109"/>
      <c r="N389" s="109"/>
      <c r="O389" s="109"/>
      <c r="P389" s="109"/>
      <c r="Q389" s="109"/>
      <c r="S389" s="111"/>
      <c r="T389" s="60"/>
      <c r="U389" s="112"/>
    </row>
    <row r="390" spans="1:21" s="110" customFormat="1" ht="15.75" customHeight="1">
      <c r="A390" s="105"/>
      <c r="B390" s="106"/>
      <c r="C390" s="106"/>
      <c r="D390" s="107"/>
      <c r="E390" s="106"/>
      <c r="F390" s="106"/>
      <c r="G390" s="106"/>
      <c r="H390" s="60"/>
      <c r="I390" s="60"/>
      <c r="J390" s="108"/>
      <c r="K390" s="60"/>
      <c r="L390" s="109"/>
      <c r="M390" s="109"/>
      <c r="N390" s="109"/>
      <c r="O390" s="109"/>
      <c r="P390" s="109"/>
      <c r="Q390" s="109"/>
      <c r="S390" s="111"/>
      <c r="T390" s="60"/>
      <c r="U390" s="112"/>
    </row>
    <row r="391" spans="1:21" s="110" customFormat="1" ht="15.75" customHeight="1">
      <c r="A391" s="105"/>
      <c r="B391" s="106"/>
      <c r="C391" s="106"/>
      <c r="D391" s="107"/>
      <c r="E391" s="106"/>
      <c r="F391" s="106"/>
      <c r="G391" s="106"/>
      <c r="H391" s="60"/>
      <c r="I391" s="60"/>
      <c r="J391" s="108"/>
      <c r="K391" s="60"/>
      <c r="L391" s="109"/>
      <c r="M391" s="109"/>
      <c r="N391" s="109"/>
      <c r="O391" s="109"/>
      <c r="P391" s="109"/>
      <c r="Q391" s="109"/>
      <c r="S391" s="111"/>
      <c r="T391" s="60"/>
      <c r="U391" s="112"/>
    </row>
    <row r="392" spans="1:21" s="110" customFormat="1" ht="15.75" customHeight="1">
      <c r="A392" s="105"/>
      <c r="B392" s="106"/>
      <c r="C392" s="106"/>
      <c r="D392" s="107"/>
      <c r="E392" s="106"/>
      <c r="F392" s="106"/>
      <c r="G392" s="106"/>
      <c r="H392" s="60"/>
      <c r="I392" s="60"/>
      <c r="J392" s="108"/>
      <c r="K392" s="60"/>
      <c r="L392" s="109"/>
      <c r="M392" s="109"/>
      <c r="N392" s="109"/>
      <c r="O392" s="109"/>
      <c r="P392" s="109"/>
      <c r="Q392" s="109"/>
      <c r="S392" s="111"/>
      <c r="T392" s="60"/>
      <c r="U392" s="112"/>
    </row>
    <row r="393" spans="1:21" s="110" customFormat="1" ht="15.75" customHeight="1">
      <c r="A393" s="105"/>
      <c r="B393" s="106"/>
      <c r="C393" s="106"/>
      <c r="D393" s="107"/>
      <c r="E393" s="106"/>
      <c r="F393" s="106"/>
      <c r="G393" s="106"/>
      <c r="H393" s="60"/>
      <c r="I393" s="60"/>
      <c r="J393" s="108"/>
      <c r="K393" s="60"/>
      <c r="L393" s="109"/>
      <c r="M393" s="109"/>
      <c r="N393" s="109"/>
      <c r="O393" s="109"/>
      <c r="P393" s="109"/>
      <c r="Q393" s="109"/>
      <c r="S393" s="111"/>
      <c r="T393" s="60"/>
      <c r="U393" s="112"/>
    </row>
    <row r="394" spans="1:21" s="110" customFormat="1" ht="15.75" customHeight="1">
      <c r="A394" s="105"/>
      <c r="B394" s="106"/>
      <c r="C394" s="106"/>
      <c r="D394" s="107"/>
      <c r="E394" s="106"/>
      <c r="F394" s="106"/>
      <c r="G394" s="106"/>
      <c r="H394" s="60"/>
      <c r="I394" s="60"/>
      <c r="J394" s="108"/>
      <c r="K394" s="60"/>
      <c r="L394" s="109"/>
      <c r="M394" s="109"/>
      <c r="N394" s="109"/>
      <c r="O394" s="109"/>
      <c r="P394" s="109"/>
      <c r="Q394" s="109"/>
      <c r="S394" s="111"/>
      <c r="T394" s="60"/>
      <c r="U394" s="112"/>
    </row>
    <row r="395" spans="1:21" s="110" customFormat="1" ht="15.75" customHeight="1">
      <c r="A395" s="105"/>
      <c r="B395" s="106"/>
      <c r="C395" s="106"/>
      <c r="D395" s="107"/>
      <c r="E395" s="106"/>
      <c r="F395" s="106"/>
      <c r="G395" s="106"/>
      <c r="H395" s="60"/>
      <c r="I395" s="60"/>
      <c r="J395" s="108"/>
      <c r="K395" s="60"/>
      <c r="L395" s="109"/>
      <c r="M395" s="109"/>
      <c r="N395" s="109"/>
      <c r="O395" s="109"/>
      <c r="P395" s="109"/>
      <c r="Q395" s="109"/>
      <c r="S395" s="111"/>
      <c r="T395" s="60"/>
      <c r="U395" s="112"/>
    </row>
    <row r="396" spans="1:21" s="110" customFormat="1" ht="15.75" customHeight="1">
      <c r="A396" s="105"/>
      <c r="B396" s="106"/>
      <c r="C396" s="106"/>
      <c r="D396" s="107"/>
      <c r="E396" s="106"/>
      <c r="F396" s="106"/>
      <c r="G396" s="106"/>
      <c r="H396" s="60"/>
      <c r="I396" s="60"/>
      <c r="J396" s="108"/>
      <c r="K396" s="60"/>
      <c r="L396" s="109"/>
      <c r="M396" s="109"/>
      <c r="N396" s="109"/>
      <c r="O396" s="109"/>
      <c r="P396" s="109"/>
      <c r="Q396" s="109"/>
      <c r="S396" s="111"/>
      <c r="T396" s="60"/>
      <c r="U396" s="112"/>
    </row>
    <row r="397" spans="1:21" s="110" customFormat="1" ht="15.75" customHeight="1">
      <c r="A397" s="105"/>
      <c r="B397" s="106"/>
      <c r="C397" s="106"/>
      <c r="D397" s="107"/>
      <c r="E397" s="106"/>
      <c r="F397" s="106"/>
      <c r="G397" s="106"/>
      <c r="H397" s="60"/>
      <c r="I397" s="60"/>
      <c r="J397" s="108"/>
      <c r="K397" s="60"/>
      <c r="L397" s="109"/>
      <c r="M397" s="109"/>
      <c r="N397" s="109"/>
      <c r="O397" s="109"/>
      <c r="P397" s="109"/>
      <c r="Q397" s="109"/>
      <c r="S397" s="111"/>
      <c r="T397" s="60"/>
      <c r="U397" s="112"/>
    </row>
    <row r="398" spans="1:21" s="110" customFormat="1" ht="15.75" customHeight="1">
      <c r="A398" s="105"/>
      <c r="B398" s="106"/>
      <c r="C398" s="106"/>
      <c r="D398" s="107"/>
      <c r="E398" s="106"/>
      <c r="F398" s="106"/>
      <c r="G398" s="106"/>
      <c r="H398" s="60"/>
      <c r="I398" s="60"/>
      <c r="J398" s="108"/>
      <c r="K398" s="60"/>
      <c r="L398" s="109"/>
      <c r="M398" s="109"/>
      <c r="N398" s="109"/>
      <c r="O398" s="109"/>
      <c r="P398" s="109"/>
      <c r="Q398" s="109"/>
      <c r="S398" s="111"/>
      <c r="T398" s="60"/>
      <c r="U398" s="112"/>
    </row>
    <row r="399" spans="1:21" s="110" customFormat="1" ht="15.75" customHeight="1">
      <c r="A399" s="105"/>
      <c r="B399" s="106"/>
      <c r="C399" s="106"/>
      <c r="D399" s="107"/>
      <c r="E399" s="106"/>
      <c r="F399" s="106"/>
      <c r="G399" s="106"/>
      <c r="H399" s="60"/>
      <c r="I399" s="60"/>
      <c r="J399" s="108"/>
      <c r="K399" s="60"/>
      <c r="L399" s="109"/>
      <c r="M399" s="109"/>
      <c r="N399" s="109"/>
      <c r="O399" s="109"/>
      <c r="P399" s="109"/>
      <c r="Q399" s="109"/>
      <c r="S399" s="111"/>
      <c r="T399" s="60"/>
      <c r="U399" s="112"/>
    </row>
    <row r="400" spans="1:21" s="110" customFormat="1" ht="15.75" customHeight="1">
      <c r="A400" s="105"/>
      <c r="B400" s="106"/>
      <c r="C400" s="106"/>
      <c r="D400" s="107"/>
      <c r="E400" s="106"/>
      <c r="F400" s="106"/>
      <c r="G400" s="106"/>
      <c r="H400" s="60"/>
      <c r="I400" s="60"/>
      <c r="J400" s="108"/>
      <c r="K400" s="60"/>
      <c r="L400" s="109"/>
      <c r="M400" s="109"/>
      <c r="N400" s="109"/>
      <c r="O400" s="109"/>
      <c r="P400" s="109"/>
      <c r="Q400" s="109"/>
      <c r="S400" s="111"/>
      <c r="T400" s="60"/>
      <c r="U400" s="112"/>
    </row>
    <row r="401" spans="1:21" s="110" customFormat="1" ht="15.75" customHeight="1">
      <c r="A401" s="105"/>
      <c r="B401" s="106"/>
      <c r="C401" s="106"/>
      <c r="D401" s="107"/>
      <c r="E401" s="106"/>
      <c r="F401" s="106"/>
      <c r="G401" s="106"/>
      <c r="H401" s="60"/>
      <c r="I401" s="60"/>
      <c r="J401" s="108"/>
      <c r="K401" s="60"/>
      <c r="L401" s="109"/>
      <c r="M401" s="109"/>
      <c r="N401" s="109"/>
      <c r="O401" s="109"/>
      <c r="P401" s="109"/>
      <c r="Q401" s="109"/>
      <c r="S401" s="111"/>
      <c r="T401" s="60"/>
      <c r="U401" s="112"/>
    </row>
    <row r="402" spans="1:21" s="110" customFormat="1" ht="15.75" customHeight="1">
      <c r="A402" s="105"/>
      <c r="B402" s="106"/>
      <c r="C402" s="106"/>
      <c r="D402" s="107"/>
      <c r="E402" s="106"/>
      <c r="F402" s="106"/>
      <c r="G402" s="106"/>
      <c r="H402" s="60"/>
      <c r="I402" s="60"/>
      <c r="J402" s="108"/>
      <c r="K402" s="60"/>
      <c r="L402" s="109"/>
      <c r="M402" s="109"/>
      <c r="N402" s="109"/>
      <c r="O402" s="109"/>
      <c r="P402" s="109"/>
      <c r="Q402" s="109"/>
      <c r="S402" s="111"/>
      <c r="T402" s="60"/>
      <c r="U402" s="112"/>
    </row>
    <row r="403" spans="1:21" s="110" customFormat="1" ht="15.75" customHeight="1">
      <c r="A403" s="105"/>
      <c r="B403" s="106"/>
      <c r="C403" s="106"/>
      <c r="D403" s="107"/>
      <c r="E403" s="106"/>
      <c r="F403" s="106"/>
      <c r="G403" s="106"/>
      <c r="H403" s="60"/>
      <c r="I403" s="60"/>
      <c r="J403" s="108"/>
      <c r="K403" s="60"/>
      <c r="L403" s="109"/>
      <c r="M403" s="109"/>
      <c r="N403" s="109"/>
      <c r="O403" s="109"/>
      <c r="P403" s="109"/>
      <c r="Q403" s="109"/>
      <c r="S403" s="111"/>
      <c r="T403" s="60"/>
      <c r="U403" s="112"/>
    </row>
    <row r="404" spans="1:21" s="110" customFormat="1" ht="15.75" customHeight="1">
      <c r="A404" s="105"/>
      <c r="B404" s="106"/>
      <c r="C404" s="106"/>
      <c r="D404" s="107"/>
      <c r="E404" s="106"/>
      <c r="F404" s="106"/>
      <c r="G404" s="106"/>
      <c r="H404" s="60"/>
      <c r="I404" s="60"/>
      <c r="J404" s="108"/>
      <c r="K404" s="60"/>
      <c r="L404" s="109"/>
      <c r="M404" s="109"/>
      <c r="N404" s="109"/>
      <c r="O404" s="109"/>
      <c r="P404" s="109"/>
      <c r="Q404" s="109"/>
      <c r="S404" s="111"/>
      <c r="T404" s="60"/>
      <c r="U404" s="112"/>
    </row>
    <row r="405" spans="1:21" s="110" customFormat="1" ht="15.75" customHeight="1">
      <c r="A405" s="105"/>
      <c r="B405" s="106"/>
      <c r="C405" s="106"/>
      <c r="D405" s="107"/>
      <c r="E405" s="106"/>
      <c r="F405" s="106"/>
      <c r="G405" s="106"/>
      <c r="H405" s="60"/>
      <c r="I405" s="60"/>
      <c r="J405" s="108"/>
      <c r="K405" s="60"/>
      <c r="L405" s="109"/>
      <c r="M405" s="109"/>
      <c r="N405" s="109"/>
      <c r="O405" s="109"/>
      <c r="P405" s="109"/>
      <c r="Q405" s="109"/>
      <c r="S405" s="111"/>
      <c r="T405" s="60"/>
      <c r="U405" s="112"/>
    </row>
    <row r="406" spans="1:21" s="110" customFormat="1" ht="15.75" customHeight="1">
      <c r="A406" s="105"/>
      <c r="B406" s="106"/>
      <c r="C406" s="106"/>
      <c r="D406" s="107"/>
      <c r="E406" s="106"/>
      <c r="F406" s="106"/>
      <c r="G406" s="106"/>
      <c r="H406" s="60"/>
      <c r="I406" s="60"/>
      <c r="J406" s="108"/>
      <c r="K406" s="60"/>
      <c r="L406" s="109"/>
      <c r="M406" s="109"/>
      <c r="N406" s="109"/>
      <c r="O406" s="109"/>
      <c r="P406" s="109"/>
      <c r="Q406" s="109"/>
      <c r="S406" s="111"/>
      <c r="T406" s="60"/>
      <c r="U406" s="112"/>
    </row>
    <row r="407" spans="1:21" s="110" customFormat="1" ht="15.75" customHeight="1">
      <c r="A407" s="105"/>
      <c r="B407" s="106"/>
      <c r="C407" s="106"/>
      <c r="D407" s="107"/>
      <c r="E407" s="106"/>
      <c r="F407" s="106"/>
      <c r="G407" s="106"/>
      <c r="H407" s="60"/>
      <c r="I407" s="60"/>
      <c r="J407" s="108"/>
      <c r="K407" s="60"/>
      <c r="L407" s="109"/>
      <c r="M407" s="109"/>
      <c r="N407" s="109"/>
      <c r="O407" s="109"/>
      <c r="P407" s="109"/>
      <c r="Q407" s="109"/>
      <c r="S407" s="111"/>
      <c r="T407" s="60"/>
      <c r="U407" s="112"/>
    </row>
    <row r="408" spans="1:21" s="110" customFormat="1" ht="15.75" customHeight="1">
      <c r="A408" s="105"/>
      <c r="B408" s="106"/>
      <c r="C408" s="106"/>
      <c r="D408" s="107"/>
      <c r="E408" s="106"/>
      <c r="F408" s="106"/>
      <c r="G408" s="106"/>
      <c r="H408" s="60"/>
      <c r="I408" s="60"/>
      <c r="J408" s="108"/>
      <c r="K408" s="60"/>
      <c r="L408" s="109"/>
      <c r="M408" s="109"/>
      <c r="N408" s="109"/>
      <c r="O408" s="109"/>
      <c r="P408" s="109"/>
      <c r="Q408" s="109"/>
      <c r="S408" s="111"/>
      <c r="T408" s="60"/>
      <c r="U408" s="112"/>
    </row>
    <row r="409" spans="1:21" s="110" customFormat="1" ht="15.75" customHeight="1">
      <c r="A409" s="105"/>
      <c r="B409" s="106"/>
      <c r="C409" s="106"/>
      <c r="D409" s="107"/>
      <c r="E409" s="106"/>
      <c r="F409" s="106"/>
      <c r="G409" s="106"/>
      <c r="H409" s="60"/>
      <c r="I409" s="60"/>
      <c r="J409" s="108"/>
      <c r="K409" s="60"/>
      <c r="L409" s="109"/>
      <c r="M409" s="109"/>
      <c r="N409" s="109"/>
      <c r="O409" s="109"/>
      <c r="P409" s="109"/>
      <c r="Q409" s="109"/>
      <c r="S409" s="111"/>
      <c r="T409" s="60"/>
      <c r="U409" s="112"/>
    </row>
    <row r="410" spans="1:21" s="110" customFormat="1" ht="15.75" customHeight="1">
      <c r="A410" s="105"/>
      <c r="B410" s="106"/>
      <c r="C410" s="106"/>
      <c r="D410" s="107"/>
      <c r="E410" s="106"/>
      <c r="F410" s="106"/>
      <c r="G410" s="106"/>
      <c r="H410" s="60"/>
      <c r="I410" s="60"/>
      <c r="J410" s="108"/>
      <c r="K410" s="60"/>
      <c r="L410" s="109"/>
      <c r="M410" s="109"/>
      <c r="N410" s="109"/>
      <c r="O410" s="109"/>
      <c r="P410" s="109"/>
      <c r="Q410" s="109"/>
      <c r="S410" s="111"/>
      <c r="T410" s="60"/>
      <c r="U410" s="112"/>
    </row>
    <row r="411" spans="1:21" s="110" customFormat="1" ht="15.75" customHeight="1">
      <c r="A411" s="105"/>
      <c r="B411" s="106"/>
      <c r="C411" s="106"/>
      <c r="D411" s="107"/>
      <c r="E411" s="106"/>
      <c r="F411" s="106"/>
      <c r="G411" s="106"/>
      <c r="H411" s="60"/>
      <c r="I411" s="60"/>
      <c r="J411" s="108"/>
      <c r="K411" s="60"/>
      <c r="L411" s="109"/>
      <c r="M411" s="109"/>
      <c r="N411" s="109"/>
      <c r="O411" s="109"/>
      <c r="P411" s="109"/>
      <c r="Q411" s="109"/>
      <c r="S411" s="111"/>
      <c r="T411" s="60"/>
      <c r="U411" s="112"/>
    </row>
    <row r="412" spans="1:21" s="110" customFormat="1" ht="15.75" customHeight="1">
      <c r="A412" s="105"/>
      <c r="B412" s="106"/>
      <c r="C412" s="106"/>
      <c r="D412" s="107"/>
      <c r="E412" s="106"/>
      <c r="F412" s="106"/>
      <c r="G412" s="106"/>
      <c r="H412" s="60"/>
      <c r="I412" s="60"/>
      <c r="J412" s="108"/>
      <c r="K412" s="60"/>
      <c r="L412" s="109"/>
      <c r="M412" s="109"/>
      <c r="N412" s="109"/>
      <c r="O412" s="109"/>
      <c r="P412" s="109"/>
      <c r="Q412" s="109"/>
      <c r="S412" s="111"/>
      <c r="T412" s="60"/>
      <c r="U412" s="112"/>
    </row>
    <row r="413" spans="1:21" s="110" customFormat="1" ht="15.75" customHeight="1">
      <c r="A413" s="105"/>
      <c r="B413" s="106"/>
      <c r="C413" s="106"/>
      <c r="D413" s="107"/>
      <c r="E413" s="106"/>
      <c r="F413" s="106"/>
      <c r="G413" s="106"/>
      <c r="H413" s="60"/>
      <c r="I413" s="60"/>
      <c r="J413" s="108"/>
      <c r="K413" s="60"/>
      <c r="L413" s="109"/>
      <c r="M413" s="109"/>
      <c r="N413" s="109"/>
      <c r="O413" s="109"/>
      <c r="P413" s="109"/>
      <c r="Q413" s="109"/>
      <c r="S413" s="111"/>
      <c r="T413" s="60"/>
      <c r="U413" s="112"/>
    </row>
    <row r="414" spans="1:21" s="110" customFormat="1" ht="15.75" customHeight="1">
      <c r="A414" s="105"/>
      <c r="B414" s="106"/>
      <c r="C414" s="106"/>
      <c r="D414" s="107"/>
      <c r="E414" s="106"/>
      <c r="F414" s="106"/>
      <c r="G414" s="106"/>
      <c r="H414" s="60"/>
      <c r="I414" s="60"/>
      <c r="J414" s="108"/>
      <c r="K414" s="60"/>
      <c r="L414" s="109"/>
      <c r="M414" s="109"/>
      <c r="N414" s="109"/>
      <c r="O414" s="109"/>
      <c r="P414" s="109"/>
      <c r="Q414" s="109"/>
      <c r="S414" s="111"/>
      <c r="T414" s="60"/>
      <c r="U414" s="112"/>
    </row>
    <row r="415" spans="1:21" s="110" customFormat="1" ht="15.75" customHeight="1">
      <c r="A415" s="105"/>
      <c r="B415" s="106"/>
      <c r="C415" s="106"/>
      <c r="D415" s="107"/>
      <c r="E415" s="106"/>
      <c r="F415" s="106"/>
      <c r="G415" s="106"/>
      <c r="H415" s="60"/>
      <c r="I415" s="60"/>
      <c r="J415" s="108"/>
      <c r="K415" s="60"/>
      <c r="L415" s="109"/>
      <c r="M415" s="109"/>
      <c r="N415" s="109"/>
      <c r="O415" s="109"/>
      <c r="P415" s="109"/>
      <c r="Q415" s="109"/>
      <c r="S415" s="111"/>
      <c r="T415" s="60"/>
      <c r="U415" s="112"/>
    </row>
    <row r="416" spans="1:21" s="110" customFormat="1" ht="15.75" customHeight="1">
      <c r="A416" s="105"/>
      <c r="B416" s="106"/>
      <c r="C416" s="106"/>
      <c r="D416" s="107"/>
      <c r="E416" s="106"/>
      <c r="F416" s="106"/>
      <c r="G416" s="106"/>
      <c r="H416" s="60"/>
      <c r="I416" s="60"/>
      <c r="J416" s="108"/>
      <c r="K416" s="60"/>
      <c r="L416" s="109"/>
      <c r="M416" s="109"/>
      <c r="N416" s="109"/>
      <c r="O416" s="109"/>
      <c r="P416" s="109"/>
      <c r="Q416" s="109"/>
      <c r="S416" s="111"/>
      <c r="T416" s="60"/>
      <c r="U416" s="112"/>
    </row>
    <row r="417" spans="1:21" s="110" customFormat="1" ht="15.75" customHeight="1">
      <c r="A417" s="105"/>
      <c r="B417" s="106"/>
      <c r="C417" s="106"/>
      <c r="D417" s="107"/>
      <c r="E417" s="106"/>
      <c r="F417" s="106"/>
      <c r="G417" s="106"/>
      <c r="H417" s="60"/>
      <c r="I417" s="60"/>
      <c r="J417" s="108"/>
      <c r="K417" s="60"/>
      <c r="L417" s="109"/>
      <c r="M417" s="109"/>
      <c r="N417" s="109"/>
      <c r="O417" s="109"/>
      <c r="P417" s="109"/>
      <c r="Q417" s="109"/>
      <c r="S417" s="111"/>
      <c r="T417" s="60"/>
      <c r="U417" s="112"/>
    </row>
    <row r="418" spans="1:21" s="110" customFormat="1" ht="15.75" customHeight="1">
      <c r="A418" s="105"/>
      <c r="B418" s="106"/>
      <c r="C418" s="106"/>
      <c r="D418" s="107"/>
      <c r="E418" s="106"/>
      <c r="F418" s="106"/>
      <c r="G418" s="106"/>
      <c r="H418" s="60"/>
      <c r="I418" s="60"/>
      <c r="J418" s="108"/>
      <c r="K418" s="60"/>
      <c r="L418" s="109"/>
      <c r="M418" s="109"/>
      <c r="N418" s="109"/>
      <c r="O418" s="109"/>
      <c r="P418" s="109"/>
      <c r="Q418" s="109"/>
      <c r="S418" s="111"/>
      <c r="T418" s="60"/>
      <c r="U418" s="112"/>
    </row>
    <row r="419" spans="1:21" s="110" customFormat="1" ht="15.75" customHeight="1">
      <c r="A419" s="105"/>
      <c r="B419" s="106"/>
      <c r="C419" s="106"/>
      <c r="D419" s="107"/>
      <c r="E419" s="106"/>
      <c r="F419" s="106"/>
      <c r="G419" s="106"/>
      <c r="H419" s="60"/>
      <c r="I419" s="60"/>
      <c r="J419" s="108"/>
      <c r="K419" s="60"/>
      <c r="L419" s="109"/>
      <c r="M419" s="109"/>
      <c r="N419" s="109"/>
      <c r="O419" s="109"/>
      <c r="P419" s="109"/>
      <c r="Q419" s="109"/>
      <c r="S419" s="111"/>
      <c r="T419" s="60"/>
      <c r="U419" s="112"/>
    </row>
    <row r="420" spans="1:21" s="110" customFormat="1" ht="15.75" customHeight="1">
      <c r="A420" s="105"/>
      <c r="B420" s="106"/>
      <c r="C420" s="106"/>
      <c r="D420" s="107"/>
      <c r="E420" s="106"/>
      <c r="F420" s="106"/>
      <c r="G420" s="106"/>
      <c r="H420" s="60"/>
      <c r="I420" s="60"/>
      <c r="J420" s="108"/>
      <c r="K420" s="60"/>
      <c r="L420" s="109"/>
      <c r="M420" s="109"/>
      <c r="N420" s="109"/>
      <c r="O420" s="109"/>
      <c r="P420" s="109"/>
      <c r="Q420" s="109"/>
      <c r="S420" s="111"/>
      <c r="T420" s="60"/>
      <c r="U420" s="112"/>
    </row>
    <row r="421" spans="1:21" s="110" customFormat="1" ht="15.75" customHeight="1">
      <c r="A421" s="105"/>
      <c r="B421" s="106"/>
      <c r="C421" s="106"/>
      <c r="D421" s="107"/>
      <c r="E421" s="106"/>
      <c r="F421" s="106"/>
      <c r="G421" s="106"/>
      <c r="H421" s="60"/>
      <c r="I421" s="60"/>
      <c r="J421" s="108"/>
      <c r="K421" s="60"/>
      <c r="L421" s="109"/>
      <c r="M421" s="109"/>
      <c r="N421" s="109"/>
      <c r="O421" s="109"/>
      <c r="P421" s="109"/>
      <c r="Q421" s="109"/>
      <c r="S421" s="111"/>
      <c r="T421" s="60"/>
      <c r="U421" s="112"/>
    </row>
    <row r="422" spans="1:21" s="110" customFormat="1" ht="15.75" customHeight="1">
      <c r="A422" s="105"/>
      <c r="B422" s="106"/>
      <c r="C422" s="106"/>
      <c r="D422" s="107"/>
      <c r="E422" s="106"/>
      <c r="F422" s="106"/>
      <c r="G422" s="106"/>
      <c r="H422" s="60"/>
      <c r="I422" s="60"/>
      <c r="J422" s="108"/>
      <c r="K422" s="60"/>
      <c r="L422" s="109"/>
      <c r="M422" s="109"/>
      <c r="N422" s="109"/>
      <c r="O422" s="109"/>
      <c r="P422" s="109"/>
      <c r="Q422" s="109"/>
      <c r="S422" s="111"/>
      <c r="T422" s="60"/>
      <c r="U422" s="112"/>
    </row>
    <row r="423" spans="1:21" s="110" customFormat="1" ht="15.75" customHeight="1">
      <c r="A423" s="105"/>
      <c r="B423" s="106"/>
      <c r="C423" s="106"/>
      <c r="D423" s="107"/>
      <c r="E423" s="106"/>
      <c r="F423" s="106"/>
      <c r="G423" s="106"/>
      <c r="H423" s="60"/>
      <c r="I423" s="60"/>
      <c r="J423" s="108"/>
      <c r="K423" s="60"/>
      <c r="L423" s="109"/>
      <c r="M423" s="109"/>
      <c r="N423" s="109"/>
      <c r="O423" s="109"/>
      <c r="P423" s="109"/>
      <c r="Q423" s="109"/>
      <c r="S423" s="111"/>
      <c r="T423" s="60"/>
      <c r="U423" s="112"/>
    </row>
    <row r="424" spans="1:21" s="110" customFormat="1" ht="15.75" customHeight="1">
      <c r="A424" s="105"/>
      <c r="B424" s="106"/>
      <c r="C424" s="106"/>
      <c r="D424" s="107"/>
      <c r="E424" s="106"/>
      <c r="F424" s="106"/>
      <c r="G424" s="106"/>
      <c r="H424" s="60"/>
      <c r="I424" s="60"/>
      <c r="J424" s="108"/>
      <c r="K424" s="60"/>
      <c r="L424" s="109"/>
      <c r="M424" s="109"/>
      <c r="N424" s="109"/>
      <c r="O424" s="109"/>
      <c r="P424" s="109"/>
      <c r="Q424" s="109"/>
      <c r="S424" s="111"/>
      <c r="T424" s="60"/>
      <c r="U424" s="112"/>
    </row>
    <row r="425" spans="1:21" s="110" customFormat="1" ht="15.75" customHeight="1">
      <c r="A425" s="105"/>
      <c r="B425" s="106"/>
      <c r="C425" s="106"/>
      <c r="D425" s="107"/>
      <c r="E425" s="106"/>
      <c r="F425" s="106"/>
      <c r="G425" s="106"/>
      <c r="H425" s="60"/>
      <c r="I425" s="60"/>
      <c r="J425" s="108"/>
      <c r="K425" s="60"/>
      <c r="L425" s="109"/>
      <c r="M425" s="109"/>
      <c r="N425" s="109"/>
      <c r="O425" s="109"/>
      <c r="P425" s="109"/>
      <c r="Q425" s="109"/>
      <c r="S425" s="111"/>
      <c r="T425" s="60"/>
      <c r="U425" s="112"/>
    </row>
    <row r="426" spans="1:21" s="110" customFormat="1" ht="15.75" customHeight="1">
      <c r="A426" s="105"/>
      <c r="B426" s="106"/>
      <c r="C426" s="106"/>
      <c r="D426" s="107"/>
      <c r="E426" s="106"/>
      <c r="F426" s="106"/>
      <c r="G426" s="106"/>
      <c r="H426" s="60"/>
      <c r="I426" s="60"/>
      <c r="J426" s="108"/>
      <c r="K426" s="60"/>
      <c r="L426" s="109"/>
      <c r="M426" s="109"/>
      <c r="N426" s="109"/>
      <c r="O426" s="109"/>
      <c r="P426" s="109"/>
      <c r="Q426" s="109"/>
      <c r="S426" s="111"/>
      <c r="T426" s="60"/>
      <c r="U426" s="112"/>
    </row>
    <row r="427" spans="1:21" s="110" customFormat="1" ht="15.75" customHeight="1">
      <c r="A427" s="105"/>
      <c r="B427" s="106"/>
      <c r="C427" s="106"/>
      <c r="D427" s="107"/>
      <c r="E427" s="106"/>
      <c r="F427" s="106"/>
      <c r="G427" s="106"/>
      <c r="H427" s="60"/>
      <c r="I427" s="60"/>
      <c r="J427" s="108"/>
      <c r="K427" s="60"/>
      <c r="L427" s="109"/>
      <c r="M427" s="109"/>
      <c r="N427" s="109"/>
      <c r="O427" s="109"/>
      <c r="P427" s="109"/>
      <c r="Q427" s="109"/>
      <c r="S427" s="111"/>
      <c r="T427" s="60"/>
      <c r="U427" s="112"/>
    </row>
    <row r="428" spans="1:21" s="110" customFormat="1" ht="15.75" customHeight="1">
      <c r="A428" s="105"/>
      <c r="B428" s="106"/>
      <c r="C428" s="106"/>
      <c r="D428" s="107"/>
      <c r="E428" s="106"/>
      <c r="F428" s="106"/>
      <c r="G428" s="106"/>
      <c r="H428" s="60"/>
      <c r="I428" s="60"/>
      <c r="J428" s="108"/>
      <c r="K428" s="60"/>
      <c r="L428" s="109"/>
      <c r="M428" s="109"/>
      <c r="N428" s="109"/>
      <c r="O428" s="109"/>
      <c r="P428" s="109"/>
      <c r="Q428" s="109"/>
      <c r="S428" s="111"/>
      <c r="T428" s="60"/>
      <c r="U428" s="112"/>
    </row>
    <row r="429" spans="1:21" s="110" customFormat="1" ht="15.75" customHeight="1">
      <c r="A429" s="105"/>
      <c r="B429" s="106"/>
      <c r="C429" s="106"/>
      <c r="D429" s="107"/>
      <c r="E429" s="106"/>
      <c r="F429" s="106"/>
      <c r="G429" s="106"/>
      <c r="H429" s="60"/>
      <c r="I429" s="60"/>
      <c r="J429" s="108"/>
      <c r="K429" s="60"/>
      <c r="L429" s="109"/>
      <c r="M429" s="109"/>
      <c r="N429" s="109"/>
      <c r="O429" s="109"/>
      <c r="P429" s="109"/>
      <c r="Q429" s="109"/>
      <c r="S429" s="111"/>
      <c r="T429" s="60"/>
      <c r="U429" s="112"/>
    </row>
    <row r="430" spans="1:21" s="110" customFormat="1" ht="15.75" customHeight="1">
      <c r="A430" s="105"/>
      <c r="B430" s="106"/>
      <c r="C430" s="106"/>
      <c r="D430" s="107"/>
      <c r="E430" s="106"/>
      <c r="F430" s="106"/>
      <c r="G430" s="106"/>
      <c r="H430" s="60"/>
      <c r="I430" s="60"/>
      <c r="J430" s="108"/>
      <c r="K430" s="60"/>
      <c r="L430" s="109"/>
      <c r="M430" s="109"/>
      <c r="N430" s="109"/>
      <c r="O430" s="109"/>
      <c r="P430" s="109"/>
      <c r="Q430" s="109"/>
      <c r="S430" s="111"/>
      <c r="T430" s="60"/>
      <c r="U430" s="112"/>
    </row>
    <row r="431" spans="1:21" s="110" customFormat="1" ht="15.75" customHeight="1">
      <c r="A431" s="105"/>
      <c r="B431" s="106"/>
      <c r="C431" s="106"/>
      <c r="D431" s="107"/>
      <c r="E431" s="106"/>
      <c r="F431" s="106"/>
      <c r="G431" s="106"/>
      <c r="H431" s="60"/>
      <c r="I431" s="60"/>
      <c r="J431" s="108"/>
      <c r="K431" s="60"/>
      <c r="L431" s="109"/>
      <c r="M431" s="109"/>
      <c r="N431" s="109"/>
      <c r="O431" s="109"/>
      <c r="P431" s="109"/>
      <c r="Q431" s="109"/>
      <c r="S431" s="111"/>
      <c r="T431" s="60"/>
      <c r="U431" s="112"/>
    </row>
    <row r="432" spans="1:21" s="110" customFormat="1" ht="15.75" customHeight="1">
      <c r="A432" s="105"/>
      <c r="B432" s="106"/>
      <c r="C432" s="106"/>
      <c r="D432" s="107"/>
      <c r="E432" s="106"/>
      <c r="F432" s="106"/>
      <c r="G432" s="106"/>
      <c r="H432" s="60"/>
      <c r="I432" s="60"/>
      <c r="J432" s="108"/>
      <c r="K432" s="60"/>
      <c r="L432" s="109"/>
      <c r="M432" s="109"/>
      <c r="N432" s="109"/>
      <c r="O432" s="109"/>
      <c r="P432" s="109"/>
      <c r="Q432" s="109"/>
      <c r="S432" s="111"/>
      <c r="T432" s="60"/>
      <c r="U432" s="112"/>
    </row>
    <row r="433" spans="1:21" s="110" customFormat="1" ht="15.75" customHeight="1">
      <c r="A433" s="105"/>
      <c r="B433" s="106"/>
      <c r="C433" s="106"/>
      <c r="D433" s="107"/>
      <c r="E433" s="106"/>
      <c r="F433" s="106"/>
      <c r="G433" s="106"/>
      <c r="H433" s="60"/>
      <c r="I433" s="60"/>
      <c r="J433" s="108"/>
      <c r="K433" s="60"/>
      <c r="L433" s="109"/>
      <c r="M433" s="109"/>
      <c r="N433" s="109"/>
      <c r="O433" s="109"/>
      <c r="P433" s="109"/>
      <c r="Q433" s="109"/>
      <c r="S433" s="111"/>
      <c r="T433" s="60"/>
      <c r="U433" s="112"/>
    </row>
    <row r="434" spans="1:21" s="110" customFormat="1" ht="15.75" customHeight="1">
      <c r="A434" s="105"/>
      <c r="B434" s="106"/>
      <c r="C434" s="106"/>
      <c r="D434" s="107"/>
      <c r="E434" s="106"/>
      <c r="F434" s="106"/>
      <c r="G434" s="106"/>
      <c r="H434" s="60"/>
      <c r="I434" s="60"/>
      <c r="J434" s="108"/>
      <c r="K434" s="60"/>
      <c r="L434" s="109"/>
      <c r="M434" s="109"/>
      <c r="N434" s="109"/>
      <c r="O434" s="109"/>
      <c r="P434" s="109"/>
      <c r="Q434" s="109"/>
      <c r="S434" s="111"/>
      <c r="T434" s="60"/>
      <c r="U434" s="112"/>
    </row>
    <row r="435" spans="1:21" s="110" customFormat="1" ht="15.75" customHeight="1">
      <c r="A435" s="105"/>
      <c r="B435" s="106"/>
      <c r="C435" s="106"/>
      <c r="D435" s="107"/>
      <c r="E435" s="106"/>
      <c r="F435" s="106"/>
      <c r="G435" s="106"/>
      <c r="H435" s="60"/>
      <c r="I435" s="60"/>
      <c r="J435" s="108"/>
      <c r="K435" s="60"/>
      <c r="L435" s="109"/>
      <c r="M435" s="109"/>
      <c r="N435" s="109"/>
      <c r="O435" s="109"/>
      <c r="P435" s="109"/>
      <c r="Q435" s="109"/>
      <c r="S435" s="111"/>
      <c r="T435" s="60"/>
      <c r="U435" s="112"/>
    </row>
    <row r="436" spans="1:21" s="110" customFormat="1" ht="15.75" customHeight="1">
      <c r="A436" s="105"/>
      <c r="B436" s="106"/>
      <c r="C436" s="106"/>
      <c r="D436" s="107"/>
      <c r="E436" s="106"/>
      <c r="F436" s="106"/>
      <c r="G436" s="106"/>
      <c r="H436" s="60"/>
      <c r="I436" s="60"/>
      <c r="J436" s="108"/>
      <c r="K436" s="60"/>
      <c r="L436" s="109"/>
      <c r="M436" s="109"/>
      <c r="N436" s="109"/>
      <c r="O436" s="109"/>
      <c r="P436" s="109"/>
      <c r="Q436" s="109"/>
      <c r="S436" s="111"/>
      <c r="T436" s="60"/>
      <c r="U436" s="112"/>
    </row>
    <row r="437" spans="1:21" s="110" customFormat="1" ht="15.75" customHeight="1">
      <c r="A437" s="105"/>
      <c r="B437" s="106"/>
      <c r="C437" s="106"/>
      <c r="D437" s="107"/>
      <c r="E437" s="106"/>
      <c r="F437" s="106"/>
      <c r="G437" s="106"/>
      <c r="H437" s="60"/>
      <c r="I437" s="60"/>
      <c r="J437" s="108"/>
      <c r="K437" s="60"/>
      <c r="L437" s="109"/>
      <c r="M437" s="109"/>
      <c r="N437" s="109"/>
      <c r="O437" s="109"/>
      <c r="P437" s="109"/>
      <c r="Q437" s="109"/>
      <c r="S437" s="111"/>
      <c r="T437" s="60"/>
      <c r="U437" s="112"/>
    </row>
    <row r="438" spans="1:21" s="110" customFormat="1" ht="15.75" customHeight="1">
      <c r="A438" s="105"/>
      <c r="B438" s="106"/>
      <c r="C438" s="106"/>
      <c r="D438" s="107"/>
      <c r="E438" s="106"/>
      <c r="F438" s="106"/>
      <c r="G438" s="106"/>
      <c r="H438" s="60"/>
      <c r="I438" s="60"/>
      <c r="J438" s="108"/>
      <c r="K438" s="60"/>
      <c r="L438" s="109"/>
      <c r="M438" s="109"/>
      <c r="N438" s="109"/>
      <c r="O438" s="109"/>
      <c r="P438" s="109"/>
      <c r="Q438" s="109"/>
      <c r="S438" s="111"/>
      <c r="T438" s="60"/>
      <c r="U438" s="112"/>
    </row>
    <row r="439" spans="1:21" s="110" customFormat="1" ht="15.75" customHeight="1">
      <c r="A439" s="105"/>
      <c r="B439" s="106"/>
      <c r="C439" s="106"/>
      <c r="D439" s="107"/>
      <c r="E439" s="106"/>
      <c r="F439" s="106"/>
      <c r="G439" s="106"/>
      <c r="H439" s="60"/>
      <c r="I439" s="60"/>
      <c r="J439" s="108"/>
      <c r="K439" s="60"/>
      <c r="L439" s="109"/>
      <c r="M439" s="109"/>
      <c r="N439" s="109"/>
      <c r="O439" s="109"/>
      <c r="P439" s="109"/>
      <c r="Q439" s="109"/>
      <c r="S439" s="111"/>
      <c r="T439" s="60"/>
      <c r="U439" s="112"/>
    </row>
    <row r="440" spans="1:21" s="110" customFormat="1" ht="15.75" customHeight="1">
      <c r="A440" s="105"/>
      <c r="B440" s="106"/>
      <c r="C440" s="106"/>
      <c r="D440" s="107"/>
      <c r="E440" s="106"/>
      <c r="F440" s="106"/>
      <c r="G440" s="106"/>
      <c r="H440" s="60"/>
      <c r="I440" s="60"/>
      <c r="J440" s="108"/>
      <c r="K440" s="60"/>
      <c r="L440" s="109"/>
      <c r="M440" s="109"/>
      <c r="N440" s="109"/>
      <c r="O440" s="109"/>
      <c r="P440" s="109"/>
      <c r="Q440" s="109"/>
      <c r="S440" s="111"/>
      <c r="T440" s="60"/>
      <c r="U440" s="112"/>
    </row>
    <row r="441" spans="1:21" s="110" customFormat="1" ht="15.75" customHeight="1">
      <c r="A441" s="105"/>
      <c r="B441" s="106"/>
      <c r="C441" s="106"/>
      <c r="D441" s="107"/>
      <c r="E441" s="106"/>
      <c r="F441" s="106"/>
      <c r="G441" s="106"/>
      <c r="H441" s="60"/>
      <c r="I441" s="60"/>
      <c r="J441" s="108"/>
      <c r="K441" s="60"/>
      <c r="L441" s="109"/>
      <c r="M441" s="109"/>
      <c r="N441" s="109"/>
      <c r="O441" s="109"/>
      <c r="P441" s="109"/>
      <c r="Q441" s="109"/>
      <c r="S441" s="111"/>
      <c r="T441" s="60"/>
      <c r="U441" s="112"/>
    </row>
    <row r="442" spans="1:21" s="110" customFormat="1" ht="15.75" customHeight="1">
      <c r="A442" s="105"/>
      <c r="B442" s="106"/>
      <c r="C442" s="106"/>
      <c r="D442" s="107"/>
      <c r="E442" s="106"/>
      <c r="F442" s="106"/>
      <c r="G442" s="106"/>
      <c r="H442" s="60"/>
      <c r="I442" s="60"/>
      <c r="J442" s="108"/>
      <c r="K442" s="60"/>
      <c r="L442" s="109"/>
      <c r="M442" s="109"/>
      <c r="N442" s="109"/>
      <c r="O442" s="109"/>
      <c r="P442" s="109"/>
      <c r="Q442" s="109"/>
      <c r="S442" s="111"/>
      <c r="T442" s="60"/>
      <c r="U442" s="112"/>
    </row>
    <row r="443" spans="1:21" s="110" customFormat="1" ht="15.75" customHeight="1">
      <c r="A443" s="105"/>
      <c r="B443" s="106"/>
      <c r="C443" s="106"/>
      <c r="D443" s="107"/>
      <c r="E443" s="106"/>
      <c r="F443" s="106"/>
      <c r="G443" s="106"/>
      <c r="H443" s="60"/>
      <c r="I443" s="60"/>
      <c r="J443" s="108"/>
      <c r="K443" s="60"/>
      <c r="L443" s="109"/>
      <c r="M443" s="109"/>
      <c r="N443" s="109"/>
      <c r="O443" s="109"/>
      <c r="P443" s="109"/>
      <c r="Q443" s="109"/>
      <c r="S443" s="111"/>
      <c r="T443" s="60"/>
      <c r="U443" s="112"/>
    </row>
    <row r="444" spans="1:21" s="110" customFormat="1" ht="15.75" customHeight="1">
      <c r="A444" s="105"/>
      <c r="B444" s="106"/>
      <c r="C444" s="106"/>
      <c r="D444" s="107"/>
      <c r="E444" s="106"/>
      <c r="F444" s="106"/>
      <c r="G444" s="106"/>
      <c r="H444" s="60"/>
      <c r="I444" s="60"/>
      <c r="J444" s="108"/>
      <c r="K444" s="60"/>
      <c r="L444" s="109"/>
      <c r="M444" s="109"/>
      <c r="N444" s="109"/>
      <c r="O444" s="109"/>
      <c r="P444" s="109"/>
      <c r="Q444" s="109"/>
      <c r="S444" s="111"/>
      <c r="T444" s="60"/>
      <c r="U444" s="112"/>
    </row>
    <row r="445" spans="1:21" s="110" customFormat="1" ht="15.75" customHeight="1">
      <c r="A445" s="105"/>
      <c r="B445" s="106"/>
      <c r="C445" s="106"/>
      <c r="D445" s="107"/>
      <c r="E445" s="106"/>
      <c r="F445" s="106"/>
      <c r="G445" s="106"/>
      <c r="H445" s="60"/>
      <c r="I445" s="60"/>
      <c r="J445" s="108"/>
      <c r="K445" s="60"/>
      <c r="L445" s="109"/>
      <c r="M445" s="109"/>
      <c r="N445" s="109"/>
      <c r="O445" s="109"/>
      <c r="P445" s="109"/>
      <c r="Q445" s="109"/>
      <c r="S445" s="111"/>
      <c r="T445" s="60"/>
      <c r="U445" s="112"/>
    </row>
    <row r="446" spans="1:21" s="110" customFormat="1" ht="15.75" customHeight="1">
      <c r="A446" s="105"/>
      <c r="B446" s="106"/>
      <c r="C446" s="106"/>
      <c r="D446" s="107"/>
      <c r="E446" s="106"/>
      <c r="F446" s="106"/>
      <c r="G446" s="106"/>
      <c r="H446" s="60"/>
      <c r="I446" s="60"/>
      <c r="J446" s="108"/>
      <c r="K446" s="60"/>
      <c r="L446" s="109"/>
      <c r="M446" s="109"/>
      <c r="N446" s="109"/>
      <c r="O446" s="109"/>
      <c r="P446" s="109"/>
      <c r="Q446" s="109"/>
      <c r="S446" s="111"/>
      <c r="T446" s="60"/>
      <c r="U446" s="112"/>
    </row>
    <row r="447" spans="1:21" s="110" customFormat="1" ht="15.75" customHeight="1">
      <c r="A447" s="105"/>
      <c r="B447" s="106"/>
      <c r="C447" s="106"/>
      <c r="D447" s="107"/>
      <c r="E447" s="106"/>
      <c r="F447" s="106"/>
      <c r="G447" s="106"/>
      <c r="H447" s="60"/>
      <c r="I447" s="60"/>
      <c r="J447" s="108"/>
      <c r="K447" s="60"/>
      <c r="L447" s="109"/>
      <c r="M447" s="109"/>
      <c r="N447" s="109"/>
      <c r="O447" s="109"/>
      <c r="P447" s="109"/>
      <c r="Q447" s="109"/>
      <c r="S447" s="111"/>
      <c r="T447" s="60"/>
      <c r="U447" s="112"/>
    </row>
    <row r="448" spans="1:21" s="110" customFormat="1" ht="15.75" customHeight="1">
      <c r="A448" s="105"/>
      <c r="B448" s="106"/>
      <c r="C448" s="106"/>
      <c r="D448" s="107"/>
      <c r="E448" s="106"/>
      <c r="F448" s="106"/>
      <c r="G448" s="106"/>
      <c r="H448" s="60"/>
      <c r="I448" s="60"/>
      <c r="J448" s="108"/>
      <c r="K448" s="60"/>
      <c r="L448" s="109"/>
      <c r="M448" s="109"/>
      <c r="N448" s="109"/>
      <c r="O448" s="109"/>
      <c r="P448" s="109"/>
      <c r="Q448" s="109"/>
      <c r="S448" s="111"/>
      <c r="T448" s="60"/>
      <c r="U448" s="112"/>
    </row>
    <row r="449" spans="1:21" s="110" customFormat="1" ht="15.75" customHeight="1">
      <c r="A449" s="105"/>
      <c r="B449" s="106"/>
      <c r="C449" s="106"/>
      <c r="D449" s="107"/>
      <c r="E449" s="106"/>
      <c r="F449" s="106"/>
      <c r="G449" s="106"/>
      <c r="H449" s="60"/>
      <c r="I449" s="60"/>
      <c r="J449" s="108"/>
      <c r="K449" s="60"/>
      <c r="L449" s="109"/>
      <c r="M449" s="109"/>
      <c r="N449" s="109"/>
      <c r="O449" s="109"/>
      <c r="P449" s="109"/>
      <c r="Q449" s="109"/>
      <c r="S449" s="111"/>
      <c r="T449" s="60"/>
      <c r="U449" s="112"/>
    </row>
    <row r="450" spans="1:21" s="110" customFormat="1" ht="15.75" customHeight="1">
      <c r="A450" s="105"/>
      <c r="B450" s="106"/>
      <c r="C450" s="106"/>
      <c r="D450" s="107"/>
      <c r="E450" s="106"/>
      <c r="F450" s="106"/>
      <c r="G450" s="106"/>
      <c r="H450" s="60"/>
      <c r="I450" s="60"/>
      <c r="J450" s="108"/>
      <c r="K450" s="60"/>
      <c r="L450" s="109"/>
      <c r="M450" s="109"/>
      <c r="N450" s="109"/>
      <c r="O450" s="109"/>
      <c r="P450" s="109"/>
      <c r="Q450" s="109"/>
      <c r="S450" s="111"/>
      <c r="T450" s="60"/>
      <c r="U450" s="112"/>
    </row>
    <row r="451" spans="1:21" s="110" customFormat="1" ht="15.75" customHeight="1">
      <c r="A451" s="105"/>
      <c r="B451" s="106"/>
      <c r="C451" s="106"/>
      <c r="D451" s="107"/>
      <c r="E451" s="106"/>
      <c r="F451" s="106"/>
      <c r="G451" s="106"/>
      <c r="H451" s="60"/>
      <c r="I451" s="60"/>
      <c r="J451" s="108"/>
      <c r="K451" s="60"/>
      <c r="L451" s="109"/>
      <c r="M451" s="109"/>
      <c r="N451" s="109"/>
      <c r="O451" s="109"/>
      <c r="P451" s="109"/>
      <c r="Q451" s="109"/>
      <c r="S451" s="111"/>
      <c r="T451" s="60"/>
      <c r="U451" s="112"/>
    </row>
    <row r="452" spans="1:21" s="110" customFormat="1" ht="15.75" customHeight="1">
      <c r="A452" s="105"/>
      <c r="B452" s="106"/>
      <c r="C452" s="106"/>
      <c r="D452" s="107"/>
      <c r="E452" s="106"/>
      <c r="F452" s="106"/>
      <c r="G452" s="106"/>
      <c r="H452" s="60"/>
      <c r="I452" s="60"/>
      <c r="J452" s="108"/>
      <c r="K452" s="60"/>
      <c r="L452" s="109"/>
      <c r="M452" s="109"/>
      <c r="N452" s="109"/>
      <c r="O452" s="109"/>
      <c r="P452" s="109"/>
      <c r="Q452" s="109"/>
      <c r="S452" s="111"/>
      <c r="T452" s="60"/>
      <c r="U452" s="112"/>
    </row>
    <row r="453" spans="1:21" s="110" customFormat="1" ht="15.75" customHeight="1">
      <c r="A453" s="105"/>
      <c r="B453" s="106"/>
      <c r="C453" s="106"/>
      <c r="D453" s="107"/>
      <c r="E453" s="106"/>
      <c r="F453" s="106"/>
      <c r="G453" s="106"/>
      <c r="H453" s="60"/>
      <c r="I453" s="60"/>
      <c r="J453" s="108"/>
      <c r="K453" s="60"/>
      <c r="L453" s="109"/>
      <c r="M453" s="109"/>
      <c r="N453" s="109"/>
      <c r="O453" s="109"/>
      <c r="P453" s="109"/>
      <c r="Q453" s="109"/>
      <c r="S453" s="111"/>
      <c r="T453" s="60"/>
      <c r="U453" s="112"/>
    </row>
    <row r="454" spans="1:21" s="110" customFormat="1" ht="15.75" customHeight="1">
      <c r="A454" s="105"/>
      <c r="B454" s="106"/>
      <c r="C454" s="106"/>
      <c r="D454" s="107"/>
      <c r="E454" s="106"/>
      <c r="F454" s="106"/>
      <c r="G454" s="106"/>
      <c r="H454" s="60"/>
      <c r="I454" s="60"/>
      <c r="J454" s="108"/>
      <c r="K454" s="60"/>
      <c r="L454" s="109"/>
      <c r="M454" s="109"/>
      <c r="N454" s="109"/>
      <c r="O454" s="109"/>
      <c r="P454" s="109"/>
      <c r="Q454" s="109"/>
      <c r="S454" s="111"/>
      <c r="T454" s="60"/>
      <c r="U454" s="112"/>
    </row>
    <row r="455" spans="1:21" s="110" customFormat="1" ht="15.75" customHeight="1">
      <c r="A455" s="105"/>
      <c r="B455" s="106"/>
      <c r="C455" s="106"/>
      <c r="D455" s="107"/>
      <c r="E455" s="106"/>
      <c r="F455" s="106"/>
      <c r="G455" s="106"/>
      <c r="H455" s="60"/>
      <c r="I455" s="60"/>
      <c r="J455" s="108"/>
      <c r="K455" s="60"/>
      <c r="L455" s="109"/>
      <c r="M455" s="109"/>
      <c r="N455" s="109"/>
      <c r="O455" s="109"/>
      <c r="P455" s="109"/>
      <c r="Q455" s="109"/>
      <c r="S455" s="111"/>
      <c r="T455" s="60"/>
      <c r="U455" s="112"/>
    </row>
    <row r="456" spans="1:21" s="110" customFormat="1" ht="15.75" customHeight="1">
      <c r="A456" s="105"/>
      <c r="B456" s="106"/>
      <c r="C456" s="106"/>
      <c r="D456" s="107"/>
      <c r="E456" s="106"/>
      <c r="F456" s="106"/>
      <c r="G456" s="106"/>
      <c r="H456" s="60"/>
      <c r="I456" s="60"/>
      <c r="J456" s="108"/>
      <c r="K456" s="60"/>
      <c r="L456" s="109"/>
      <c r="M456" s="109"/>
      <c r="N456" s="109"/>
      <c r="O456" s="109"/>
      <c r="P456" s="109"/>
      <c r="Q456" s="109"/>
      <c r="S456" s="111"/>
      <c r="T456" s="60"/>
      <c r="U456" s="112"/>
    </row>
    <row r="457" spans="1:21" s="110" customFormat="1" ht="15.75" customHeight="1">
      <c r="A457" s="105"/>
      <c r="B457" s="106"/>
      <c r="C457" s="106"/>
      <c r="D457" s="107"/>
      <c r="E457" s="106"/>
      <c r="F457" s="106"/>
      <c r="G457" s="106"/>
      <c r="H457" s="60"/>
      <c r="I457" s="60"/>
      <c r="J457" s="108"/>
      <c r="K457" s="60"/>
      <c r="L457" s="109"/>
      <c r="M457" s="109"/>
      <c r="N457" s="109"/>
      <c r="O457" s="109"/>
      <c r="P457" s="109"/>
      <c r="Q457" s="109"/>
      <c r="S457" s="111"/>
      <c r="T457" s="60"/>
      <c r="U457" s="112"/>
    </row>
    <row r="458" spans="1:21" s="110" customFormat="1" ht="15.75" customHeight="1">
      <c r="A458" s="105"/>
      <c r="B458" s="106"/>
      <c r="C458" s="106"/>
      <c r="D458" s="107"/>
      <c r="E458" s="106"/>
      <c r="F458" s="106"/>
      <c r="G458" s="106"/>
      <c r="H458" s="60"/>
      <c r="I458" s="60"/>
      <c r="J458" s="108"/>
      <c r="K458" s="60"/>
      <c r="L458" s="109"/>
      <c r="M458" s="109"/>
      <c r="N458" s="109"/>
      <c r="O458" s="109"/>
      <c r="P458" s="109"/>
      <c r="Q458" s="109"/>
      <c r="S458" s="111"/>
      <c r="T458" s="60"/>
      <c r="U458" s="112"/>
    </row>
    <row r="459" spans="1:21" s="110" customFormat="1" ht="15.75" customHeight="1">
      <c r="A459" s="105"/>
      <c r="B459" s="106"/>
      <c r="C459" s="106"/>
      <c r="D459" s="107"/>
      <c r="E459" s="106"/>
      <c r="F459" s="106"/>
      <c r="G459" s="106"/>
      <c r="H459" s="60"/>
      <c r="I459" s="60"/>
      <c r="J459" s="108"/>
      <c r="K459" s="60"/>
      <c r="L459" s="109"/>
      <c r="M459" s="109"/>
      <c r="N459" s="109"/>
      <c r="O459" s="109"/>
      <c r="P459" s="109"/>
      <c r="Q459" s="109"/>
      <c r="S459" s="111"/>
      <c r="T459" s="60"/>
      <c r="U459" s="112"/>
    </row>
    <row r="460" spans="1:21" s="110" customFormat="1" ht="15.75" customHeight="1">
      <c r="A460" s="105"/>
      <c r="B460" s="106"/>
      <c r="C460" s="106"/>
      <c r="D460" s="107"/>
      <c r="E460" s="106"/>
      <c r="F460" s="106"/>
      <c r="G460" s="106"/>
      <c r="H460" s="60"/>
      <c r="I460" s="60"/>
      <c r="J460" s="108"/>
      <c r="K460" s="60"/>
      <c r="L460" s="109"/>
      <c r="M460" s="109"/>
      <c r="N460" s="109"/>
      <c r="O460" s="109"/>
      <c r="P460" s="109"/>
      <c r="Q460" s="109"/>
      <c r="S460" s="111"/>
      <c r="T460" s="60"/>
      <c r="U460" s="112"/>
    </row>
    <row r="461" spans="1:21" s="110" customFormat="1" ht="15.75" customHeight="1">
      <c r="A461" s="105"/>
      <c r="B461" s="106"/>
      <c r="C461" s="106"/>
      <c r="D461" s="107"/>
      <c r="E461" s="106"/>
      <c r="F461" s="106"/>
      <c r="G461" s="106"/>
      <c r="H461" s="60"/>
      <c r="I461" s="60"/>
      <c r="J461" s="108"/>
      <c r="K461" s="60"/>
      <c r="L461" s="109"/>
      <c r="M461" s="109"/>
      <c r="N461" s="109"/>
      <c r="O461" s="109"/>
      <c r="P461" s="109"/>
      <c r="Q461" s="109"/>
      <c r="S461" s="111"/>
      <c r="T461" s="60"/>
      <c r="U461" s="112"/>
    </row>
    <row r="462" spans="1:21" s="110" customFormat="1" ht="15.75" customHeight="1">
      <c r="A462" s="105"/>
      <c r="B462" s="106"/>
      <c r="C462" s="106"/>
      <c r="D462" s="107"/>
      <c r="E462" s="106"/>
      <c r="F462" s="106"/>
      <c r="G462" s="106"/>
      <c r="H462" s="60"/>
      <c r="I462" s="60"/>
      <c r="J462" s="108"/>
      <c r="K462" s="60"/>
      <c r="L462" s="109"/>
      <c r="M462" s="109"/>
      <c r="N462" s="109"/>
      <c r="O462" s="109"/>
      <c r="P462" s="109"/>
      <c r="Q462" s="109"/>
      <c r="S462" s="111"/>
      <c r="T462" s="60"/>
      <c r="U462" s="112"/>
    </row>
    <row r="463" spans="1:21" s="110" customFormat="1" ht="15.75" customHeight="1">
      <c r="A463" s="105"/>
      <c r="B463" s="106"/>
      <c r="C463" s="106"/>
      <c r="D463" s="107"/>
      <c r="E463" s="106"/>
      <c r="F463" s="106"/>
      <c r="G463" s="106"/>
      <c r="H463" s="60"/>
      <c r="I463" s="60"/>
      <c r="J463" s="108"/>
      <c r="K463" s="60"/>
      <c r="L463" s="109"/>
      <c r="M463" s="109"/>
      <c r="N463" s="109"/>
      <c r="O463" s="109"/>
      <c r="P463" s="109"/>
      <c r="Q463" s="109"/>
      <c r="S463" s="111"/>
      <c r="T463" s="60"/>
      <c r="U463" s="112"/>
    </row>
    <row r="464" spans="1:21" s="110" customFormat="1" ht="15.75" customHeight="1">
      <c r="A464" s="105"/>
      <c r="B464" s="106"/>
      <c r="C464" s="106"/>
      <c r="D464" s="107"/>
      <c r="E464" s="106"/>
      <c r="F464" s="106"/>
      <c r="G464" s="106"/>
      <c r="H464" s="60"/>
      <c r="I464" s="60"/>
      <c r="J464" s="108"/>
      <c r="K464" s="60"/>
      <c r="L464" s="109"/>
      <c r="M464" s="109"/>
      <c r="N464" s="109"/>
      <c r="O464" s="109"/>
      <c r="P464" s="109"/>
      <c r="Q464" s="109"/>
      <c r="S464" s="111"/>
      <c r="T464" s="60"/>
      <c r="U464" s="112"/>
    </row>
    <row r="465" spans="1:21" s="110" customFormat="1" ht="15.75" customHeight="1">
      <c r="A465" s="105"/>
      <c r="B465" s="106"/>
      <c r="C465" s="106"/>
      <c r="D465" s="107"/>
      <c r="E465" s="106"/>
      <c r="F465" s="106"/>
      <c r="G465" s="106"/>
      <c r="H465" s="60"/>
      <c r="I465" s="60"/>
      <c r="J465" s="108"/>
      <c r="K465" s="60"/>
      <c r="L465" s="109"/>
      <c r="M465" s="109"/>
      <c r="N465" s="109"/>
      <c r="O465" s="109"/>
      <c r="P465" s="109"/>
      <c r="Q465" s="109"/>
      <c r="S465" s="111"/>
      <c r="T465" s="60"/>
      <c r="U465" s="112"/>
    </row>
    <row r="466" spans="1:21" s="110" customFormat="1" ht="15.75" customHeight="1">
      <c r="A466" s="105"/>
      <c r="B466" s="106"/>
      <c r="C466" s="106"/>
      <c r="D466" s="107"/>
      <c r="E466" s="106"/>
      <c r="F466" s="106"/>
      <c r="G466" s="106"/>
      <c r="H466" s="60"/>
      <c r="I466" s="60"/>
      <c r="J466" s="108"/>
      <c r="K466" s="60"/>
      <c r="L466" s="109"/>
      <c r="M466" s="109"/>
      <c r="N466" s="109"/>
      <c r="O466" s="109"/>
      <c r="P466" s="109"/>
      <c r="Q466" s="109"/>
      <c r="S466" s="111"/>
      <c r="T466" s="60"/>
      <c r="U466" s="112"/>
    </row>
    <row r="467" spans="1:21" s="110" customFormat="1" ht="15.75" customHeight="1">
      <c r="A467" s="105"/>
      <c r="B467" s="106"/>
      <c r="C467" s="106"/>
      <c r="D467" s="107"/>
      <c r="E467" s="106"/>
      <c r="F467" s="106"/>
      <c r="G467" s="106"/>
      <c r="H467" s="60"/>
      <c r="I467" s="60"/>
      <c r="J467" s="108"/>
      <c r="K467" s="60"/>
      <c r="L467" s="109"/>
      <c r="M467" s="109"/>
      <c r="N467" s="109"/>
      <c r="O467" s="109"/>
      <c r="P467" s="109"/>
      <c r="Q467" s="109"/>
      <c r="S467" s="111"/>
      <c r="T467" s="60"/>
      <c r="U467" s="112"/>
    </row>
    <row r="468" spans="1:21" s="110" customFormat="1" ht="15.75" customHeight="1">
      <c r="A468" s="105"/>
      <c r="B468" s="106"/>
      <c r="C468" s="106"/>
      <c r="D468" s="107"/>
      <c r="E468" s="106"/>
      <c r="F468" s="106"/>
      <c r="G468" s="106"/>
      <c r="H468" s="60"/>
      <c r="I468" s="60"/>
      <c r="J468" s="108"/>
      <c r="K468" s="60"/>
      <c r="L468" s="109"/>
      <c r="M468" s="109"/>
      <c r="N468" s="109"/>
      <c r="O468" s="109"/>
      <c r="P468" s="109"/>
      <c r="Q468" s="109"/>
      <c r="S468" s="111"/>
      <c r="T468" s="60"/>
      <c r="U468" s="112"/>
    </row>
    <row r="469" spans="1:21" s="110" customFormat="1" ht="15.75" customHeight="1">
      <c r="A469" s="105"/>
      <c r="B469" s="106"/>
      <c r="C469" s="106"/>
      <c r="D469" s="107"/>
      <c r="E469" s="106"/>
      <c r="F469" s="106"/>
      <c r="G469" s="106"/>
      <c r="H469" s="60"/>
      <c r="I469" s="60"/>
      <c r="J469" s="108"/>
      <c r="K469" s="60"/>
      <c r="L469" s="109"/>
      <c r="M469" s="109"/>
      <c r="N469" s="109"/>
      <c r="O469" s="109"/>
      <c r="P469" s="109"/>
      <c r="Q469" s="109"/>
      <c r="S469" s="111"/>
      <c r="T469" s="60"/>
      <c r="U469" s="112"/>
    </row>
    <row r="470" spans="1:21" s="110" customFormat="1" ht="15.75" customHeight="1">
      <c r="A470" s="105"/>
      <c r="B470" s="106"/>
      <c r="C470" s="106"/>
      <c r="D470" s="107"/>
      <c r="E470" s="106"/>
      <c r="F470" s="106"/>
      <c r="G470" s="106"/>
      <c r="H470" s="60"/>
      <c r="I470" s="60"/>
      <c r="J470" s="108"/>
      <c r="K470" s="60"/>
      <c r="L470" s="109"/>
      <c r="M470" s="109"/>
      <c r="N470" s="109"/>
      <c r="O470" s="109"/>
      <c r="P470" s="109"/>
      <c r="Q470" s="109"/>
      <c r="S470" s="111"/>
      <c r="T470" s="60"/>
      <c r="U470" s="112"/>
    </row>
    <row r="471" spans="1:21" s="110" customFormat="1" ht="15.75" customHeight="1">
      <c r="A471" s="105"/>
      <c r="B471" s="106"/>
      <c r="C471" s="106"/>
      <c r="D471" s="107"/>
      <c r="E471" s="106"/>
      <c r="F471" s="106"/>
      <c r="G471" s="106"/>
      <c r="H471" s="60"/>
      <c r="I471" s="60"/>
      <c r="J471" s="108"/>
      <c r="K471" s="60"/>
      <c r="L471" s="109"/>
      <c r="M471" s="109"/>
      <c r="N471" s="109"/>
      <c r="O471" s="109"/>
      <c r="P471" s="109"/>
      <c r="Q471" s="109"/>
      <c r="S471" s="111"/>
      <c r="T471" s="60"/>
      <c r="U471" s="112"/>
    </row>
    <row r="472" spans="1:21" s="110" customFormat="1" ht="15.75" customHeight="1">
      <c r="A472" s="105"/>
      <c r="B472" s="106"/>
      <c r="C472" s="106"/>
      <c r="D472" s="107"/>
      <c r="E472" s="106"/>
      <c r="F472" s="106"/>
      <c r="G472" s="106"/>
      <c r="H472" s="60"/>
      <c r="I472" s="60"/>
      <c r="J472" s="108"/>
      <c r="K472" s="60"/>
      <c r="L472" s="109"/>
      <c r="M472" s="109"/>
      <c r="N472" s="109"/>
      <c r="O472" s="109"/>
      <c r="P472" s="109"/>
      <c r="Q472" s="109"/>
      <c r="S472" s="111"/>
      <c r="T472" s="60"/>
      <c r="U472" s="112"/>
    </row>
    <row r="473" spans="1:21" s="110" customFormat="1" ht="15.75" customHeight="1">
      <c r="A473" s="105"/>
      <c r="B473" s="106"/>
      <c r="C473" s="106"/>
      <c r="D473" s="107"/>
      <c r="E473" s="106"/>
      <c r="F473" s="106"/>
      <c r="G473" s="106"/>
      <c r="H473" s="60"/>
      <c r="I473" s="60"/>
      <c r="J473" s="108"/>
      <c r="K473" s="60"/>
      <c r="L473" s="109"/>
      <c r="M473" s="109"/>
      <c r="N473" s="109"/>
      <c r="O473" s="109"/>
      <c r="P473" s="109"/>
      <c r="Q473" s="109"/>
      <c r="S473" s="111"/>
      <c r="T473" s="60"/>
      <c r="U473" s="112"/>
    </row>
    <row r="474" spans="1:21" s="110" customFormat="1" ht="15.75" customHeight="1">
      <c r="A474" s="105"/>
      <c r="B474" s="106"/>
      <c r="C474" s="106"/>
      <c r="D474" s="107"/>
      <c r="E474" s="106"/>
      <c r="F474" s="106"/>
      <c r="G474" s="106"/>
      <c r="H474" s="60"/>
      <c r="I474" s="60"/>
      <c r="J474" s="108"/>
      <c r="K474" s="60"/>
      <c r="L474" s="109"/>
      <c r="M474" s="109"/>
      <c r="N474" s="109"/>
      <c r="O474" s="109"/>
      <c r="P474" s="109"/>
      <c r="Q474" s="109"/>
      <c r="S474" s="111"/>
      <c r="T474" s="60"/>
      <c r="U474" s="112"/>
    </row>
    <row r="475" spans="1:21" s="110" customFormat="1" ht="15.75" customHeight="1">
      <c r="A475" s="105"/>
      <c r="B475" s="106"/>
      <c r="C475" s="106"/>
      <c r="D475" s="107"/>
      <c r="E475" s="106"/>
      <c r="F475" s="106"/>
      <c r="G475" s="106"/>
      <c r="H475" s="60"/>
      <c r="I475" s="60"/>
      <c r="J475" s="108"/>
      <c r="K475" s="60"/>
      <c r="L475" s="109"/>
      <c r="M475" s="109"/>
      <c r="N475" s="109"/>
      <c r="O475" s="109"/>
      <c r="P475" s="109"/>
      <c r="Q475" s="109"/>
      <c r="S475" s="111"/>
      <c r="T475" s="60"/>
      <c r="U475" s="112"/>
    </row>
    <row r="476" spans="1:21" s="110" customFormat="1" ht="15.75" customHeight="1">
      <c r="A476" s="105"/>
      <c r="B476" s="106"/>
      <c r="C476" s="106"/>
      <c r="D476" s="107"/>
      <c r="E476" s="106"/>
      <c r="F476" s="106"/>
      <c r="G476" s="106"/>
      <c r="H476" s="60"/>
      <c r="I476" s="60"/>
      <c r="J476" s="108"/>
      <c r="K476" s="60"/>
      <c r="L476" s="109"/>
      <c r="M476" s="109"/>
      <c r="N476" s="109"/>
      <c r="O476" s="109"/>
      <c r="P476" s="109"/>
      <c r="Q476" s="109"/>
      <c r="S476" s="111"/>
      <c r="T476" s="60"/>
      <c r="U476" s="112"/>
    </row>
    <row r="477" spans="1:21" s="110" customFormat="1" ht="15.75" customHeight="1">
      <c r="A477" s="105"/>
      <c r="B477" s="106"/>
      <c r="C477" s="106"/>
      <c r="D477" s="107"/>
      <c r="E477" s="106"/>
      <c r="F477" s="106"/>
      <c r="G477" s="106"/>
      <c r="H477" s="60"/>
      <c r="I477" s="60"/>
      <c r="J477" s="108"/>
      <c r="K477" s="60"/>
      <c r="L477" s="109"/>
      <c r="M477" s="109"/>
      <c r="N477" s="109"/>
      <c r="O477" s="109"/>
      <c r="P477" s="109"/>
      <c r="Q477" s="109"/>
      <c r="S477" s="111"/>
      <c r="T477" s="60"/>
      <c r="U477" s="112"/>
    </row>
    <row r="478" spans="1:21" s="110" customFormat="1" ht="15.75" customHeight="1">
      <c r="A478" s="105"/>
      <c r="B478" s="106"/>
      <c r="C478" s="106"/>
      <c r="D478" s="107"/>
      <c r="E478" s="106"/>
      <c r="F478" s="106"/>
      <c r="G478" s="106"/>
      <c r="H478" s="60"/>
      <c r="I478" s="60"/>
      <c r="J478" s="108"/>
      <c r="K478" s="60"/>
      <c r="L478" s="109"/>
      <c r="M478" s="109"/>
      <c r="N478" s="109"/>
      <c r="O478" s="109"/>
      <c r="P478" s="109"/>
      <c r="Q478" s="109"/>
      <c r="S478" s="111"/>
      <c r="T478" s="60"/>
      <c r="U478" s="112"/>
    </row>
    <row r="479" spans="1:21" s="110" customFormat="1" ht="15.75" customHeight="1">
      <c r="A479" s="105"/>
      <c r="B479" s="106"/>
      <c r="C479" s="106"/>
      <c r="D479" s="107"/>
      <c r="E479" s="106"/>
      <c r="F479" s="106"/>
      <c r="G479" s="106"/>
      <c r="H479" s="60"/>
      <c r="I479" s="60"/>
      <c r="J479" s="108"/>
      <c r="K479" s="60"/>
      <c r="L479" s="109"/>
      <c r="M479" s="109"/>
      <c r="N479" s="109"/>
      <c r="O479" s="109"/>
      <c r="P479" s="109"/>
      <c r="Q479" s="109"/>
      <c r="S479" s="111"/>
      <c r="T479" s="60"/>
      <c r="U479" s="112"/>
    </row>
    <row r="480" spans="1:21" s="110" customFormat="1" ht="15.75" customHeight="1">
      <c r="A480" s="105"/>
      <c r="B480" s="106"/>
      <c r="C480" s="106"/>
      <c r="D480" s="107"/>
      <c r="E480" s="106"/>
      <c r="F480" s="106"/>
      <c r="G480" s="106"/>
      <c r="H480" s="60"/>
      <c r="I480" s="60"/>
      <c r="J480" s="108"/>
      <c r="K480" s="60"/>
      <c r="L480" s="109"/>
      <c r="M480" s="109"/>
      <c r="N480" s="109"/>
      <c r="O480" s="109"/>
      <c r="P480" s="109"/>
      <c r="Q480" s="109"/>
      <c r="S480" s="111"/>
      <c r="T480" s="60"/>
      <c r="U480" s="112"/>
    </row>
    <row r="481" spans="1:21" s="110" customFormat="1" ht="15.75" customHeight="1">
      <c r="A481" s="105"/>
      <c r="B481" s="106"/>
      <c r="C481" s="106"/>
      <c r="D481" s="107"/>
      <c r="E481" s="106"/>
      <c r="F481" s="106"/>
      <c r="G481" s="106"/>
      <c r="H481" s="60"/>
      <c r="I481" s="60"/>
      <c r="J481" s="108"/>
      <c r="K481" s="60"/>
      <c r="L481" s="109"/>
      <c r="M481" s="109"/>
      <c r="N481" s="109"/>
      <c r="O481" s="109"/>
      <c r="P481" s="109"/>
      <c r="Q481" s="109"/>
      <c r="S481" s="111"/>
      <c r="T481" s="60"/>
      <c r="U481" s="112"/>
    </row>
    <row r="482" spans="1:21" s="110" customFormat="1" ht="15.75" customHeight="1">
      <c r="A482" s="105"/>
      <c r="B482" s="106"/>
      <c r="C482" s="106"/>
      <c r="D482" s="107"/>
      <c r="E482" s="106"/>
      <c r="F482" s="106"/>
      <c r="G482" s="106"/>
      <c r="H482" s="60"/>
      <c r="I482" s="60"/>
      <c r="J482" s="108"/>
      <c r="K482" s="60"/>
      <c r="L482" s="109"/>
      <c r="M482" s="109"/>
      <c r="N482" s="109"/>
      <c r="O482" s="109"/>
      <c r="P482" s="109"/>
      <c r="Q482" s="109"/>
      <c r="S482" s="111"/>
      <c r="T482" s="60"/>
      <c r="U482" s="112"/>
    </row>
    <row r="483" spans="1:21" s="110" customFormat="1" ht="15.75" customHeight="1">
      <c r="A483" s="105"/>
      <c r="B483" s="106"/>
      <c r="C483" s="106"/>
      <c r="D483" s="107"/>
      <c r="E483" s="106"/>
      <c r="F483" s="106"/>
      <c r="G483" s="106"/>
      <c r="H483" s="60"/>
      <c r="I483" s="60"/>
      <c r="J483" s="108"/>
      <c r="K483" s="60"/>
      <c r="L483" s="109"/>
      <c r="M483" s="109"/>
      <c r="N483" s="109"/>
      <c r="O483" s="109"/>
      <c r="P483" s="109"/>
      <c r="Q483" s="109"/>
      <c r="S483" s="111"/>
      <c r="T483" s="60"/>
      <c r="U483" s="112"/>
    </row>
    <row r="484" spans="1:21" s="110" customFormat="1" ht="15.75" customHeight="1">
      <c r="A484" s="105"/>
      <c r="B484" s="106"/>
      <c r="C484" s="106"/>
      <c r="D484" s="107"/>
      <c r="E484" s="106"/>
      <c r="F484" s="106"/>
      <c r="G484" s="106"/>
      <c r="H484" s="60"/>
      <c r="I484" s="60"/>
      <c r="J484" s="108"/>
      <c r="K484" s="60"/>
      <c r="L484" s="109"/>
      <c r="M484" s="109"/>
      <c r="N484" s="109"/>
      <c r="O484" s="109"/>
      <c r="P484" s="109"/>
      <c r="Q484" s="109"/>
      <c r="S484" s="111"/>
      <c r="T484" s="60"/>
      <c r="U484" s="112"/>
    </row>
    <row r="485" spans="1:21" s="110" customFormat="1" ht="15.75" customHeight="1">
      <c r="A485" s="105"/>
      <c r="B485" s="106"/>
      <c r="C485" s="106"/>
      <c r="D485" s="107"/>
      <c r="E485" s="106"/>
      <c r="F485" s="106"/>
      <c r="G485" s="106"/>
      <c r="H485" s="60"/>
      <c r="I485" s="60"/>
      <c r="J485" s="108"/>
      <c r="K485" s="60"/>
      <c r="L485" s="109"/>
      <c r="M485" s="109"/>
      <c r="N485" s="109"/>
      <c r="O485" s="109"/>
      <c r="P485" s="109"/>
      <c r="Q485" s="109"/>
      <c r="S485" s="111"/>
      <c r="T485" s="60"/>
      <c r="U485" s="112"/>
    </row>
    <row r="486" spans="1:21" s="110" customFormat="1" ht="15.75" customHeight="1">
      <c r="A486" s="105"/>
      <c r="B486" s="106"/>
      <c r="C486" s="106"/>
      <c r="D486" s="107"/>
      <c r="E486" s="106"/>
      <c r="F486" s="106"/>
      <c r="G486" s="106"/>
      <c r="H486" s="60"/>
      <c r="I486" s="60"/>
      <c r="J486" s="108"/>
      <c r="K486" s="60"/>
      <c r="L486" s="109"/>
      <c r="M486" s="109"/>
      <c r="N486" s="109"/>
      <c r="O486" s="109"/>
      <c r="P486" s="109"/>
      <c r="Q486" s="109"/>
      <c r="S486" s="111"/>
      <c r="T486" s="60"/>
      <c r="U486" s="112"/>
    </row>
    <row r="487" spans="1:21" s="110" customFormat="1" ht="15.75" customHeight="1">
      <c r="A487" s="105"/>
      <c r="B487" s="106"/>
      <c r="C487" s="106"/>
      <c r="D487" s="107"/>
      <c r="E487" s="106"/>
      <c r="F487" s="106"/>
      <c r="G487" s="106"/>
      <c r="H487" s="60"/>
      <c r="I487" s="60"/>
      <c r="J487" s="108"/>
      <c r="K487" s="60"/>
      <c r="L487" s="109"/>
      <c r="M487" s="109"/>
      <c r="N487" s="109"/>
      <c r="O487" s="109"/>
      <c r="P487" s="109"/>
      <c r="Q487" s="109"/>
      <c r="S487" s="111"/>
      <c r="T487" s="60"/>
      <c r="U487" s="112"/>
    </row>
    <row r="488" spans="1:21" s="110" customFormat="1" ht="15.75" customHeight="1">
      <c r="A488" s="105"/>
      <c r="B488" s="106"/>
      <c r="C488" s="106"/>
      <c r="D488" s="107"/>
      <c r="E488" s="106"/>
      <c r="F488" s="106"/>
      <c r="G488" s="106"/>
      <c r="H488" s="60"/>
      <c r="I488" s="60"/>
      <c r="J488" s="108"/>
      <c r="K488" s="60"/>
      <c r="L488" s="109"/>
      <c r="M488" s="109"/>
      <c r="N488" s="109"/>
      <c r="O488" s="109"/>
      <c r="P488" s="109"/>
      <c r="Q488" s="109"/>
      <c r="S488" s="111"/>
      <c r="T488" s="60"/>
      <c r="U488" s="112"/>
    </row>
    <row r="489" spans="1:21" s="110" customFormat="1" ht="15.75" customHeight="1">
      <c r="A489" s="105"/>
      <c r="B489" s="106"/>
      <c r="C489" s="106"/>
      <c r="D489" s="107"/>
      <c r="E489" s="106"/>
      <c r="F489" s="106"/>
      <c r="G489" s="106"/>
      <c r="H489" s="60"/>
      <c r="I489" s="60"/>
      <c r="J489" s="108"/>
      <c r="K489" s="60"/>
      <c r="L489" s="109"/>
      <c r="M489" s="109"/>
      <c r="N489" s="109"/>
      <c r="O489" s="109"/>
      <c r="P489" s="109"/>
      <c r="Q489" s="109"/>
      <c r="S489" s="111"/>
      <c r="T489" s="60"/>
      <c r="U489" s="112"/>
    </row>
    <row r="490" spans="1:21" s="110" customFormat="1" ht="15.75" customHeight="1">
      <c r="A490" s="105"/>
      <c r="B490" s="106"/>
      <c r="C490" s="106"/>
      <c r="D490" s="107"/>
      <c r="E490" s="106"/>
      <c r="F490" s="106"/>
      <c r="G490" s="106"/>
      <c r="H490" s="60"/>
      <c r="I490" s="60"/>
      <c r="J490" s="108"/>
      <c r="K490" s="60"/>
      <c r="L490" s="109"/>
      <c r="M490" s="109"/>
      <c r="N490" s="109"/>
      <c r="O490" s="109"/>
      <c r="P490" s="109"/>
      <c r="Q490" s="109"/>
      <c r="S490" s="111"/>
      <c r="T490" s="60"/>
      <c r="U490" s="112"/>
    </row>
    <row r="491" spans="1:21" s="110" customFormat="1" ht="15.75" customHeight="1">
      <c r="A491" s="105"/>
      <c r="B491" s="106"/>
      <c r="C491" s="106"/>
      <c r="D491" s="107"/>
      <c r="E491" s="106"/>
      <c r="F491" s="106"/>
      <c r="G491" s="106"/>
      <c r="H491" s="60"/>
      <c r="I491" s="60"/>
      <c r="J491" s="108"/>
      <c r="K491" s="60"/>
      <c r="L491" s="109"/>
      <c r="M491" s="109"/>
      <c r="N491" s="109"/>
      <c r="O491" s="109"/>
      <c r="P491" s="109"/>
      <c r="Q491" s="109"/>
      <c r="S491" s="111"/>
      <c r="T491" s="60"/>
      <c r="U491" s="112"/>
    </row>
    <row r="492" spans="1:21" s="110" customFormat="1" ht="15.75" customHeight="1">
      <c r="A492" s="105"/>
      <c r="B492" s="106"/>
      <c r="C492" s="106"/>
      <c r="D492" s="107"/>
      <c r="E492" s="106"/>
      <c r="F492" s="106"/>
      <c r="G492" s="106"/>
      <c r="H492" s="60"/>
      <c r="I492" s="60"/>
      <c r="J492" s="108"/>
      <c r="K492" s="60"/>
      <c r="L492" s="109"/>
      <c r="M492" s="109"/>
      <c r="N492" s="109"/>
      <c r="O492" s="109"/>
      <c r="P492" s="109"/>
      <c r="Q492" s="109"/>
      <c r="S492" s="111"/>
      <c r="T492" s="60"/>
      <c r="U492" s="112"/>
    </row>
    <row r="493" spans="1:21" s="110" customFormat="1" ht="15.75" customHeight="1">
      <c r="A493" s="105"/>
      <c r="B493" s="106"/>
      <c r="C493" s="106"/>
      <c r="D493" s="107"/>
      <c r="E493" s="106"/>
      <c r="F493" s="106"/>
      <c r="G493" s="106"/>
      <c r="H493" s="60"/>
      <c r="I493" s="60"/>
      <c r="J493" s="108"/>
      <c r="K493" s="60"/>
      <c r="L493" s="109"/>
      <c r="M493" s="109"/>
      <c r="N493" s="109"/>
      <c r="O493" s="109"/>
      <c r="P493" s="109"/>
      <c r="Q493" s="109"/>
      <c r="S493" s="111"/>
      <c r="T493" s="60"/>
      <c r="U493" s="112"/>
    </row>
    <row r="494" spans="1:21" s="110" customFormat="1" ht="15.75" customHeight="1">
      <c r="A494" s="105"/>
      <c r="B494" s="106"/>
      <c r="C494" s="106"/>
      <c r="D494" s="107"/>
      <c r="E494" s="106"/>
      <c r="F494" s="106"/>
      <c r="G494" s="106"/>
      <c r="H494" s="60"/>
      <c r="I494" s="60"/>
      <c r="J494" s="108"/>
      <c r="K494" s="60"/>
      <c r="L494" s="109"/>
      <c r="M494" s="109"/>
      <c r="N494" s="109"/>
      <c r="O494" s="109"/>
      <c r="P494" s="109"/>
      <c r="Q494" s="109"/>
      <c r="S494" s="111"/>
      <c r="T494" s="60"/>
      <c r="U494" s="112"/>
    </row>
    <row r="495" spans="1:21" s="110" customFormat="1" ht="15.75" customHeight="1">
      <c r="A495" s="105"/>
      <c r="B495" s="106"/>
      <c r="C495" s="106"/>
      <c r="D495" s="107"/>
      <c r="E495" s="106"/>
      <c r="F495" s="106"/>
      <c r="G495" s="106"/>
      <c r="H495" s="60"/>
      <c r="I495" s="60"/>
      <c r="J495" s="108"/>
      <c r="K495" s="60"/>
      <c r="L495" s="109"/>
      <c r="M495" s="109"/>
      <c r="N495" s="109"/>
      <c r="O495" s="109"/>
      <c r="P495" s="109"/>
      <c r="Q495" s="109"/>
      <c r="S495" s="111"/>
      <c r="T495" s="60"/>
      <c r="U495" s="112"/>
    </row>
    <row r="496" spans="1:21" s="110" customFormat="1" ht="15.75" customHeight="1">
      <c r="A496" s="105"/>
      <c r="B496" s="106"/>
      <c r="C496" s="106"/>
      <c r="D496" s="107"/>
      <c r="E496" s="106"/>
      <c r="F496" s="106"/>
      <c r="G496" s="106"/>
      <c r="H496" s="60"/>
      <c r="I496" s="60"/>
      <c r="J496" s="108"/>
      <c r="K496" s="60"/>
      <c r="L496" s="109"/>
      <c r="M496" s="109"/>
      <c r="N496" s="109"/>
      <c r="O496" s="109"/>
      <c r="P496" s="109"/>
      <c r="Q496" s="109"/>
      <c r="S496" s="111"/>
      <c r="T496" s="60"/>
      <c r="U496" s="112"/>
    </row>
    <row r="497" spans="1:21" s="110" customFormat="1" ht="15.75" customHeight="1">
      <c r="A497" s="105"/>
      <c r="B497" s="106"/>
      <c r="C497" s="106"/>
      <c r="D497" s="107"/>
      <c r="E497" s="106"/>
      <c r="F497" s="106"/>
      <c r="G497" s="106"/>
      <c r="H497" s="60"/>
      <c r="I497" s="60"/>
      <c r="J497" s="108"/>
      <c r="K497" s="60"/>
      <c r="L497" s="109"/>
      <c r="M497" s="109"/>
      <c r="N497" s="109"/>
      <c r="O497" s="109"/>
      <c r="P497" s="109"/>
      <c r="Q497" s="109"/>
      <c r="S497" s="111"/>
      <c r="T497" s="60"/>
      <c r="U497" s="112"/>
    </row>
    <row r="498" spans="1:21" s="110" customFormat="1" ht="15.75" customHeight="1">
      <c r="A498" s="105"/>
      <c r="B498" s="106"/>
      <c r="C498" s="106"/>
      <c r="D498" s="107"/>
      <c r="E498" s="106"/>
      <c r="F498" s="106"/>
      <c r="G498" s="106"/>
      <c r="H498" s="60"/>
      <c r="I498" s="60"/>
      <c r="J498" s="108"/>
      <c r="K498" s="60"/>
      <c r="L498" s="109"/>
      <c r="M498" s="109"/>
      <c r="N498" s="109"/>
      <c r="O498" s="109"/>
      <c r="P498" s="109"/>
      <c r="Q498" s="109"/>
      <c r="S498" s="111"/>
      <c r="T498" s="60"/>
      <c r="U498" s="112"/>
    </row>
    <row r="499" spans="1:21" s="110" customFormat="1" ht="15.75" customHeight="1">
      <c r="A499" s="105"/>
      <c r="B499" s="106"/>
      <c r="C499" s="106"/>
      <c r="D499" s="107"/>
      <c r="E499" s="106"/>
      <c r="F499" s="106"/>
      <c r="G499" s="106"/>
      <c r="H499" s="60"/>
      <c r="I499" s="60"/>
      <c r="J499" s="108"/>
      <c r="K499" s="60"/>
      <c r="L499" s="109"/>
      <c r="M499" s="109"/>
      <c r="N499" s="109"/>
      <c r="O499" s="109"/>
      <c r="P499" s="109"/>
      <c r="Q499" s="109"/>
      <c r="S499" s="111"/>
      <c r="T499" s="60"/>
      <c r="U499" s="112"/>
    </row>
    <row r="500" spans="1:21" s="110" customFormat="1" ht="15.75" customHeight="1">
      <c r="A500" s="105"/>
      <c r="B500" s="106"/>
      <c r="C500" s="106"/>
      <c r="D500" s="107"/>
      <c r="E500" s="106"/>
      <c r="F500" s="106"/>
      <c r="G500" s="106"/>
      <c r="H500" s="60"/>
      <c r="I500" s="60"/>
      <c r="J500" s="108"/>
      <c r="K500" s="60"/>
      <c r="L500" s="109"/>
      <c r="M500" s="109"/>
      <c r="N500" s="109"/>
      <c r="O500" s="109"/>
      <c r="P500" s="109"/>
      <c r="Q500" s="109"/>
      <c r="S500" s="111"/>
      <c r="T500" s="60"/>
      <c r="U500" s="112"/>
    </row>
    <row r="501" spans="1:21" s="110" customFormat="1" ht="15.75" customHeight="1">
      <c r="A501" s="105"/>
      <c r="B501" s="106"/>
      <c r="C501" s="106"/>
      <c r="D501" s="107"/>
      <c r="E501" s="106"/>
      <c r="F501" s="106"/>
      <c r="G501" s="106"/>
      <c r="H501" s="60"/>
      <c r="I501" s="60"/>
      <c r="J501" s="108"/>
      <c r="K501" s="60"/>
      <c r="L501" s="109"/>
      <c r="M501" s="109"/>
      <c r="N501" s="109"/>
      <c r="O501" s="109"/>
      <c r="P501" s="109"/>
      <c r="Q501" s="109"/>
      <c r="S501" s="111"/>
      <c r="T501" s="60"/>
      <c r="U501" s="112"/>
    </row>
    <row r="502" spans="1:21" s="110" customFormat="1" ht="15.75" customHeight="1">
      <c r="A502" s="105"/>
      <c r="B502" s="106"/>
      <c r="C502" s="106"/>
      <c r="D502" s="107"/>
      <c r="E502" s="106"/>
      <c r="F502" s="106"/>
      <c r="G502" s="106"/>
      <c r="H502" s="60"/>
      <c r="I502" s="60"/>
      <c r="J502" s="108"/>
      <c r="K502" s="60"/>
      <c r="L502" s="109"/>
      <c r="M502" s="109"/>
      <c r="N502" s="109"/>
      <c r="O502" s="109"/>
      <c r="P502" s="109"/>
      <c r="Q502" s="109"/>
      <c r="S502" s="111"/>
      <c r="T502" s="60"/>
      <c r="U502" s="112"/>
    </row>
    <row r="503" spans="1:21" s="110" customFormat="1" ht="15.75" customHeight="1">
      <c r="A503" s="105"/>
      <c r="B503" s="106"/>
      <c r="C503" s="106"/>
      <c r="D503" s="107"/>
      <c r="E503" s="106"/>
      <c r="F503" s="106"/>
      <c r="G503" s="106"/>
      <c r="H503" s="60"/>
      <c r="I503" s="60"/>
      <c r="J503" s="108"/>
      <c r="K503" s="60"/>
      <c r="L503" s="109"/>
      <c r="M503" s="109"/>
      <c r="N503" s="109"/>
      <c r="O503" s="109"/>
      <c r="P503" s="109"/>
      <c r="Q503" s="109"/>
      <c r="S503" s="111"/>
      <c r="T503" s="60"/>
      <c r="U503" s="112"/>
    </row>
    <row r="504" spans="1:21" s="110" customFormat="1" ht="15.75" customHeight="1">
      <c r="A504" s="105"/>
      <c r="B504" s="106"/>
      <c r="C504" s="106"/>
      <c r="D504" s="107"/>
      <c r="E504" s="106"/>
      <c r="F504" s="106"/>
      <c r="G504" s="106"/>
      <c r="H504" s="60"/>
      <c r="I504" s="60"/>
      <c r="J504" s="108"/>
      <c r="K504" s="60"/>
      <c r="L504" s="109"/>
      <c r="M504" s="109"/>
      <c r="N504" s="109"/>
      <c r="O504" s="109"/>
      <c r="P504" s="109"/>
      <c r="Q504" s="109"/>
      <c r="S504" s="111"/>
      <c r="T504" s="60"/>
      <c r="U504" s="112"/>
    </row>
    <row r="505" spans="1:21" s="110" customFormat="1" ht="15.75" customHeight="1">
      <c r="A505" s="105"/>
      <c r="B505" s="106"/>
      <c r="C505" s="106"/>
      <c r="D505" s="107"/>
      <c r="E505" s="106"/>
      <c r="F505" s="106"/>
      <c r="G505" s="106"/>
      <c r="H505" s="60"/>
      <c r="I505" s="60"/>
      <c r="J505" s="108"/>
      <c r="K505" s="60"/>
      <c r="L505" s="109"/>
      <c r="M505" s="109"/>
      <c r="N505" s="109"/>
      <c r="O505" s="109"/>
      <c r="P505" s="109"/>
      <c r="Q505" s="109"/>
      <c r="S505" s="111"/>
      <c r="T505" s="60"/>
      <c r="U505" s="112"/>
    </row>
    <row r="506" spans="1:21" s="110" customFormat="1" ht="15.75" customHeight="1">
      <c r="A506" s="105"/>
      <c r="B506" s="106"/>
      <c r="C506" s="106"/>
      <c r="D506" s="107"/>
      <c r="E506" s="106"/>
      <c r="F506" s="106"/>
      <c r="G506" s="106"/>
      <c r="H506" s="60"/>
      <c r="I506" s="60"/>
      <c r="J506" s="108"/>
      <c r="K506" s="60"/>
      <c r="L506" s="109"/>
      <c r="M506" s="109"/>
      <c r="N506" s="109"/>
      <c r="O506" s="109"/>
      <c r="P506" s="109"/>
      <c r="Q506" s="109"/>
      <c r="S506" s="111"/>
      <c r="T506" s="60"/>
      <c r="U506" s="112"/>
    </row>
    <row r="507" spans="1:21" s="110" customFormat="1" ht="15.75" customHeight="1">
      <c r="A507" s="105"/>
      <c r="B507" s="106"/>
      <c r="C507" s="106"/>
      <c r="D507" s="107"/>
      <c r="E507" s="106"/>
      <c r="F507" s="106"/>
      <c r="G507" s="106"/>
      <c r="H507" s="60"/>
      <c r="I507" s="60"/>
      <c r="J507" s="108"/>
      <c r="K507" s="60"/>
      <c r="L507" s="109"/>
      <c r="M507" s="109"/>
      <c r="N507" s="109"/>
      <c r="O507" s="109"/>
      <c r="P507" s="109"/>
      <c r="Q507" s="109"/>
      <c r="S507" s="111"/>
      <c r="T507" s="60"/>
      <c r="U507" s="112"/>
    </row>
    <row r="508" spans="1:21" s="110" customFormat="1" ht="15.75" customHeight="1">
      <c r="A508" s="105"/>
      <c r="B508" s="106"/>
      <c r="C508" s="106"/>
      <c r="D508" s="107"/>
      <c r="E508" s="106"/>
      <c r="F508" s="106"/>
      <c r="G508" s="106"/>
      <c r="H508" s="60"/>
      <c r="I508" s="60"/>
      <c r="J508" s="108"/>
      <c r="K508" s="60"/>
      <c r="L508" s="109"/>
      <c r="M508" s="109"/>
      <c r="N508" s="109"/>
      <c r="O508" s="109"/>
      <c r="P508" s="109"/>
      <c r="Q508" s="109"/>
      <c r="S508" s="111"/>
      <c r="T508" s="60"/>
      <c r="U508" s="112"/>
    </row>
    <row r="509" spans="1:21" s="110" customFormat="1" ht="15.75" customHeight="1">
      <c r="A509" s="105"/>
      <c r="B509" s="106"/>
      <c r="C509" s="106"/>
      <c r="D509" s="107"/>
      <c r="E509" s="106"/>
      <c r="F509" s="106"/>
      <c r="G509" s="106"/>
      <c r="H509" s="60"/>
      <c r="I509" s="60"/>
      <c r="J509" s="108"/>
      <c r="K509" s="60"/>
      <c r="L509" s="109"/>
      <c r="M509" s="109"/>
      <c r="N509" s="109"/>
      <c r="O509" s="109"/>
      <c r="P509" s="109"/>
      <c r="Q509" s="109"/>
      <c r="S509" s="111"/>
      <c r="T509" s="60"/>
      <c r="U509" s="112"/>
    </row>
    <row r="510" spans="1:21" s="110" customFormat="1" ht="15.75" customHeight="1">
      <c r="A510" s="105"/>
      <c r="B510" s="106"/>
      <c r="C510" s="106"/>
      <c r="D510" s="107"/>
      <c r="E510" s="106"/>
      <c r="F510" s="106"/>
      <c r="G510" s="106"/>
      <c r="H510" s="60"/>
      <c r="I510" s="60"/>
      <c r="J510" s="108"/>
      <c r="K510" s="60"/>
      <c r="L510" s="109"/>
      <c r="M510" s="109"/>
      <c r="N510" s="109"/>
      <c r="O510" s="109"/>
      <c r="P510" s="109"/>
      <c r="Q510" s="109"/>
      <c r="S510" s="111"/>
      <c r="T510" s="60"/>
      <c r="U510" s="112"/>
    </row>
    <row r="511" spans="1:21" s="110" customFormat="1" ht="15.75" customHeight="1">
      <c r="A511" s="105"/>
      <c r="B511" s="106"/>
      <c r="C511" s="106"/>
      <c r="D511" s="107"/>
      <c r="E511" s="106"/>
      <c r="F511" s="106"/>
      <c r="G511" s="106"/>
      <c r="H511" s="60"/>
      <c r="I511" s="60"/>
      <c r="J511" s="108"/>
      <c r="K511" s="60"/>
      <c r="L511" s="109"/>
      <c r="M511" s="109"/>
      <c r="N511" s="109"/>
      <c r="O511" s="109"/>
      <c r="P511" s="109"/>
      <c r="Q511" s="109"/>
      <c r="S511" s="111"/>
      <c r="T511" s="60"/>
      <c r="U511" s="112"/>
    </row>
    <row r="512" spans="1:21" s="110" customFormat="1" ht="15.75" customHeight="1">
      <c r="A512" s="105"/>
      <c r="B512" s="106"/>
      <c r="C512" s="106"/>
      <c r="D512" s="107"/>
      <c r="E512" s="106"/>
      <c r="F512" s="106"/>
      <c r="G512" s="106"/>
      <c r="H512" s="60"/>
      <c r="I512" s="60"/>
      <c r="J512" s="108"/>
      <c r="K512" s="60"/>
      <c r="L512" s="109"/>
      <c r="M512" s="109"/>
      <c r="N512" s="109"/>
      <c r="O512" s="109"/>
      <c r="P512" s="109"/>
      <c r="Q512" s="109"/>
      <c r="S512" s="111"/>
      <c r="T512" s="60"/>
      <c r="U512" s="112"/>
    </row>
    <row r="513" spans="1:21" s="110" customFormat="1" ht="15.75" customHeight="1">
      <c r="A513" s="105"/>
      <c r="B513" s="106"/>
      <c r="C513" s="106"/>
      <c r="D513" s="107"/>
      <c r="E513" s="106"/>
      <c r="F513" s="106"/>
      <c r="G513" s="106"/>
      <c r="H513" s="60"/>
      <c r="I513" s="60"/>
      <c r="J513" s="108"/>
      <c r="K513" s="60"/>
      <c r="L513" s="109"/>
      <c r="M513" s="109"/>
      <c r="N513" s="109"/>
      <c r="O513" s="109"/>
      <c r="P513" s="109"/>
      <c r="Q513" s="109"/>
      <c r="S513" s="111"/>
      <c r="T513" s="60"/>
      <c r="U513" s="112"/>
    </row>
    <row r="514" spans="1:21" s="110" customFormat="1" ht="15.75" customHeight="1">
      <c r="A514" s="105"/>
      <c r="B514" s="106"/>
      <c r="C514" s="106"/>
      <c r="D514" s="107"/>
      <c r="E514" s="106"/>
      <c r="F514" s="106"/>
      <c r="G514" s="106"/>
      <c r="H514" s="60"/>
      <c r="I514" s="60"/>
      <c r="J514" s="108"/>
      <c r="K514" s="60"/>
      <c r="L514" s="109"/>
      <c r="M514" s="109"/>
      <c r="N514" s="109"/>
      <c r="O514" s="109"/>
      <c r="P514" s="109"/>
      <c r="Q514" s="109"/>
      <c r="S514" s="111"/>
      <c r="T514" s="60"/>
      <c r="U514" s="112"/>
    </row>
    <row r="515" spans="1:21" s="110" customFormat="1" ht="15.75" customHeight="1">
      <c r="A515" s="105"/>
      <c r="B515" s="106"/>
      <c r="C515" s="106"/>
      <c r="D515" s="107"/>
      <c r="E515" s="106"/>
      <c r="F515" s="106"/>
      <c r="G515" s="106"/>
      <c r="H515" s="60"/>
      <c r="I515" s="60"/>
      <c r="J515" s="108"/>
      <c r="K515" s="60"/>
      <c r="L515" s="109"/>
      <c r="M515" s="109"/>
      <c r="N515" s="109"/>
      <c r="O515" s="109"/>
      <c r="P515" s="109"/>
      <c r="Q515" s="109"/>
      <c r="S515" s="111"/>
      <c r="T515" s="60"/>
      <c r="U515" s="112"/>
    </row>
    <row r="516" spans="1:21" s="110" customFormat="1" ht="15.75" customHeight="1">
      <c r="A516" s="105"/>
      <c r="B516" s="106"/>
      <c r="C516" s="106"/>
      <c r="D516" s="107"/>
      <c r="E516" s="106"/>
      <c r="F516" s="106"/>
      <c r="G516" s="106"/>
      <c r="H516" s="60"/>
      <c r="I516" s="60"/>
      <c r="J516" s="108"/>
      <c r="K516" s="60"/>
      <c r="L516" s="109"/>
      <c r="M516" s="109"/>
      <c r="N516" s="109"/>
      <c r="O516" s="109"/>
      <c r="P516" s="109"/>
      <c r="Q516" s="109"/>
      <c r="S516" s="111"/>
      <c r="T516" s="60"/>
      <c r="U516" s="112"/>
    </row>
    <row r="517" spans="1:21" s="110" customFormat="1" ht="15.75" customHeight="1">
      <c r="A517" s="105"/>
      <c r="B517" s="106"/>
      <c r="C517" s="106"/>
      <c r="D517" s="107"/>
      <c r="E517" s="106"/>
      <c r="F517" s="106"/>
      <c r="G517" s="106"/>
      <c r="H517" s="60"/>
      <c r="I517" s="60"/>
      <c r="J517" s="108"/>
      <c r="K517" s="60"/>
      <c r="L517" s="109"/>
      <c r="M517" s="109"/>
      <c r="N517" s="109"/>
      <c r="O517" s="109"/>
      <c r="P517" s="109"/>
      <c r="Q517" s="109"/>
      <c r="S517" s="111"/>
      <c r="T517" s="60"/>
      <c r="U517" s="112"/>
    </row>
    <row r="518" spans="1:21" s="110" customFormat="1" ht="15.75" customHeight="1">
      <c r="A518" s="105"/>
      <c r="B518" s="106"/>
      <c r="C518" s="106"/>
      <c r="D518" s="107"/>
      <c r="E518" s="106"/>
      <c r="F518" s="106"/>
      <c r="G518" s="106"/>
      <c r="H518" s="60"/>
      <c r="I518" s="60"/>
      <c r="J518" s="108"/>
      <c r="K518" s="60"/>
      <c r="L518" s="109"/>
      <c r="M518" s="109"/>
      <c r="N518" s="109"/>
      <c r="O518" s="109"/>
      <c r="P518" s="109"/>
      <c r="Q518" s="109"/>
      <c r="S518" s="111"/>
      <c r="T518" s="60"/>
      <c r="U518" s="112"/>
    </row>
    <row r="519" spans="1:21" s="110" customFormat="1" ht="15.75" customHeight="1">
      <c r="A519" s="105"/>
      <c r="B519" s="106"/>
      <c r="C519" s="106"/>
      <c r="D519" s="107"/>
      <c r="E519" s="106"/>
      <c r="F519" s="106"/>
      <c r="G519" s="106"/>
      <c r="H519" s="60"/>
      <c r="I519" s="60"/>
      <c r="J519" s="108"/>
      <c r="K519" s="60"/>
      <c r="L519" s="109"/>
      <c r="M519" s="109"/>
      <c r="N519" s="109"/>
      <c r="O519" s="109"/>
      <c r="P519" s="109"/>
      <c r="Q519" s="109"/>
      <c r="S519" s="111"/>
      <c r="T519" s="60"/>
      <c r="U519" s="112"/>
    </row>
    <row r="520" spans="1:21" s="110" customFormat="1" ht="15.75" customHeight="1">
      <c r="A520" s="105"/>
      <c r="B520" s="106"/>
      <c r="C520" s="106"/>
      <c r="D520" s="107"/>
      <c r="E520" s="106"/>
      <c r="F520" s="106"/>
      <c r="G520" s="106"/>
      <c r="H520" s="60"/>
      <c r="I520" s="60"/>
      <c r="J520" s="108"/>
      <c r="K520" s="60"/>
      <c r="L520" s="109"/>
      <c r="M520" s="109"/>
      <c r="N520" s="109"/>
      <c r="O520" s="109"/>
      <c r="P520" s="109"/>
      <c r="Q520" s="109"/>
      <c r="S520" s="111"/>
      <c r="T520" s="60"/>
      <c r="U520" s="112"/>
    </row>
    <row r="521" spans="1:21" s="110" customFormat="1" ht="15.75" customHeight="1">
      <c r="A521" s="105"/>
      <c r="B521" s="106"/>
      <c r="C521" s="106"/>
      <c r="D521" s="107"/>
      <c r="E521" s="106"/>
      <c r="F521" s="106"/>
      <c r="G521" s="106"/>
      <c r="H521" s="60"/>
      <c r="I521" s="60"/>
      <c r="J521" s="108"/>
      <c r="K521" s="60"/>
      <c r="L521" s="109"/>
      <c r="M521" s="109"/>
      <c r="N521" s="109"/>
      <c r="O521" s="109"/>
      <c r="P521" s="109"/>
      <c r="Q521" s="109"/>
      <c r="S521" s="111"/>
      <c r="T521" s="60"/>
      <c r="U521" s="112"/>
    </row>
    <row r="522" spans="1:21" s="110" customFormat="1" ht="15.75" customHeight="1">
      <c r="A522" s="105"/>
      <c r="B522" s="106"/>
      <c r="C522" s="106"/>
      <c r="D522" s="107"/>
      <c r="E522" s="106"/>
      <c r="F522" s="106"/>
      <c r="G522" s="106"/>
      <c r="H522" s="60"/>
      <c r="I522" s="60"/>
      <c r="J522" s="108"/>
      <c r="K522" s="60"/>
      <c r="L522" s="109"/>
      <c r="M522" s="109"/>
      <c r="N522" s="109"/>
      <c r="O522" s="109"/>
      <c r="P522" s="109"/>
      <c r="Q522" s="109"/>
      <c r="S522" s="111"/>
      <c r="T522" s="60"/>
      <c r="U522" s="112"/>
    </row>
    <row r="523" spans="1:21" s="110" customFormat="1" ht="15.75" customHeight="1">
      <c r="A523" s="105"/>
      <c r="B523" s="106"/>
      <c r="C523" s="106"/>
      <c r="D523" s="107"/>
      <c r="E523" s="106"/>
      <c r="F523" s="106"/>
      <c r="G523" s="106"/>
      <c r="H523" s="60"/>
      <c r="I523" s="60"/>
      <c r="J523" s="108"/>
      <c r="K523" s="60"/>
      <c r="L523" s="109"/>
      <c r="M523" s="109"/>
      <c r="N523" s="109"/>
      <c r="O523" s="109"/>
      <c r="P523" s="109"/>
      <c r="Q523" s="109"/>
      <c r="S523" s="111"/>
      <c r="T523" s="60"/>
      <c r="U523" s="112"/>
    </row>
    <row r="524" spans="1:21" s="110" customFormat="1" ht="15.75" customHeight="1">
      <c r="A524" s="105"/>
      <c r="B524" s="106"/>
      <c r="C524" s="106"/>
      <c r="D524" s="107"/>
      <c r="E524" s="106"/>
      <c r="F524" s="106"/>
      <c r="G524" s="106"/>
      <c r="H524" s="60"/>
      <c r="I524" s="60"/>
      <c r="J524" s="108"/>
      <c r="K524" s="60"/>
      <c r="L524" s="109"/>
      <c r="M524" s="109"/>
      <c r="N524" s="109"/>
      <c r="O524" s="109"/>
      <c r="P524" s="109"/>
      <c r="Q524" s="109"/>
      <c r="S524" s="111"/>
      <c r="T524" s="60"/>
      <c r="U524" s="112"/>
    </row>
    <row r="525" spans="1:21" s="110" customFormat="1" ht="15.75" customHeight="1">
      <c r="A525" s="105"/>
      <c r="B525" s="106"/>
      <c r="C525" s="106"/>
      <c r="D525" s="107"/>
      <c r="E525" s="106"/>
      <c r="F525" s="106"/>
      <c r="G525" s="106"/>
      <c r="H525" s="60"/>
      <c r="I525" s="60"/>
      <c r="J525" s="108"/>
      <c r="K525" s="60"/>
      <c r="L525" s="109"/>
      <c r="M525" s="109"/>
      <c r="N525" s="109"/>
      <c r="O525" s="109"/>
      <c r="P525" s="109"/>
      <c r="Q525" s="109"/>
      <c r="S525" s="111"/>
      <c r="T525" s="60"/>
      <c r="U525" s="112"/>
    </row>
    <row r="526" spans="1:21" s="110" customFormat="1" ht="15.75" customHeight="1">
      <c r="A526" s="105"/>
      <c r="B526" s="106"/>
      <c r="C526" s="106"/>
      <c r="D526" s="107"/>
      <c r="E526" s="106"/>
      <c r="F526" s="106"/>
      <c r="G526" s="106"/>
      <c r="H526" s="60"/>
      <c r="I526" s="60"/>
      <c r="J526" s="108"/>
      <c r="K526" s="60"/>
      <c r="L526" s="109"/>
      <c r="M526" s="109"/>
      <c r="N526" s="109"/>
      <c r="O526" s="109"/>
      <c r="P526" s="109"/>
      <c r="Q526" s="109"/>
      <c r="S526" s="111"/>
      <c r="T526" s="60"/>
      <c r="U526" s="112"/>
    </row>
    <row r="527" spans="1:21" s="110" customFormat="1" ht="15.75" customHeight="1">
      <c r="A527" s="105"/>
      <c r="B527" s="106"/>
      <c r="C527" s="106"/>
      <c r="D527" s="107"/>
      <c r="E527" s="106"/>
      <c r="F527" s="106"/>
      <c r="G527" s="106"/>
      <c r="H527" s="60"/>
      <c r="I527" s="60"/>
      <c r="J527" s="108"/>
      <c r="K527" s="60"/>
      <c r="L527" s="109"/>
      <c r="M527" s="109"/>
      <c r="N527" s="109"/>
      <c r="O527" s="109"/>
      <c r="P527" s="109"/>
      <c r="Q527" s="109"/>
      <c r="S527" s="111"/>
      <c r="T527" s="60"/>
      <c r="U527" s="112"/>
    </row>
    <row r="528" spans="1:21" s="110" customFormat="1" ht="15.75" customHeight="1">
      <c r="A528" s="105"/>
      <c r="B528" s="106"/>
      <c r="C528" s="106"/>
      <c r="D528" s="107"/>
      <c r="E528" s="106"/>
      <c r="F528" s="106"/>
      <c r="G528" s="106"/>
      <c r="H528" s="60"/>
      <c r="I528" s="60"/>
      <c r="J528" s="108"/>
      <c r="K528" s="60"/>
      <c r="L528" s="109"/>
      <c r="M528" s="109"/>
      <c r="N528" s="109"/>
      <c r="O528" s="109"/>
      <c r="P528" s="109"/>
      <c r="Q528" s="109"/>
      <c r="S528" s="111"/>
      <c r="T528" s="60"/>
      <c r="U528" s="112"/>
    </row>
    <row r="529" spans="1:21" s="110" customFormat="1" ht="15.75" customHeight="1">
      <c r="A529" s="105"/>
      <c r="B529" s="106"/>
      <c r="C529" s="106"/>
      <c r="D529" s="107"/>
      <c r="E529" s="106"/>
      <c r="F529" s="106"/>
      <c r="G529" s="106"/>
      <c r="H529" s="60"/>
      <c r="I529" s="60"/>
      <c r="J529" s="108"/>
      <c r="K529" s="60"/>
      <c r="L529" s="109"/>
      <c r="M529" s="109"/>
      <c r="N529" s="109"/>
      <c r="O529" s="109"/>
      <c r="P529" s="109"/>
      <c r="Q529" s="109"/>
      <c r="S529" s="111"/>
      <c r="T529" s="60"/>
      <c r="U529" s="112"/>
    </row>
    <row r="530" spans="1:21" s="110" customFormat="1" ht="15.75" customHeight="1">
      <c r="A530" s="105"/>
      <c r="B530" s="106"/>
      <c r="C530" s="106"/>
      <c r="D530" s="107"/>
      <c r="E530" s="106"/>
      <c r="F530" s="106"/>
      <c r="G530" s="106"/>
      <c r="H530" s="60"/>
      <c r="I530" s="60"/>
      <c r="J530" s="108"/>
      <c r="K530" s="60"/>
      <c r="L530" s="109"/>
      <c r="M530" s="109"/>
      <c r="N530" s="109"/>
      <c r="O530" s="109"/>
      <c r="P530" s="109"/>
      <c r="Q530" s="109"/>
      <c r="S530" s="111"/>
      <c r="T530" s="60"/>
      <c r="U530" s="112"/>
    </row>
    <row r="531" spans="1:21" s="110" customFormat="1" ht="15.75" customHeight="1">
      <c r="A531" s="105"/>
      <c r="B531" s="106"/>
      <c r="C531" s="106"/>
      <c r="D531" s="107"/>
      <c r="E531" s="106"/>
      <c r="F531" s="106"/>
      <c r="G531" s="106"/>
      <c r="H531" s="60"/>
      <c r="I531" s="60"/>
      <c r="J531" s="108"/>
      <c r="K531" s="60"/>
      <c r="L531" s="109"/>
      <c r="M531" s="109"/>
      <c r="N531" s="109"/>
      <c r="O531" s="109"/>
      <c r="P531" s="109"/>
      <c r="Q531" s="109"/>
      <c r="S531" s="111"/>
      <c r="T531" s="60"/>
      <c r="U531" s="112"/>
    </row>
    <row r="532" spans="1:21" s="110" customFormat="1" ht="15.75" customHeight="1">
      <c r="A532" s="105"/>
      <c r="B532" s="106"/>
      <c r="C532" s="106"/>
      <c r="D532" s="107"/>
      <c r="E532" s="106"/>
      <c r="F532" s="106"/>
      <c r="G532" s="106"/>
      <c r="H532" s="60"/>
      <c r="I532" s="60"/>
      <c r="J532" s="108"/>
      <c r="K532" s="60"/>
      <c r="L532" s="109"/>
      <c r="M532" s="109"/>
      <c r="N532" s="109"/>
      <c r="O532" s="109"/>
      <c r="P532" s="109"/>
      <c r="Q532" s="109"/>
      <c r="S532" s="111"/>
      <c r="T532" s="60"/>
      <c r="U532" s="112"/>
    </row>
    <row r="533" spans="1:21" s="110" customFormat="1" ht="15.75" customHeight="1">
      <c r="A533" s="105"/>
      <c r="B533" s="106"/>
      <c r="C533" s="106"/>
      <c r="D533" s="107"/>
      <c r="E533" s="106"/>
      <c r="F533" s="106"/>
      <c r="G533" s="106"/>
      <c r="H533" s="60"/>
      <c r="I533" s="60"/>
      <c r="J533" s="108"/>
      <c r="K533" s="60"/>
      <c r="L533" s="109"/>
      <c r="M533" s="109"/>
      <c r="N533" s="109"/>
      <c r="O533" s="109"/>
      <c r="P533" s="109"/>
      <c r="Q533" s="109"/>
      <c r="S533" s="111"/>
      <c r="T533" s="60"/>
      <c r="U533" s="112"/>
    </row>
    <row r="534" spans="1:21" s="110" customFormat="1" ht="15.75" customHeight="1">
      <c r="A534" s="105"/>
      <c r="B534" s="106"/>
      <c r="C534" s="106"/>
      <c r="D534" s="107"/>
      <c r="E534" s="106"/>
      <c r="F534" s="106"/>
      <c r="G534" s="106"/>
      <c r="H534" s="60"/>
      <c r="I534" s="60"/>
      <c r="J534" s="108"/>
      <c r="K534" s="60"/>
      <c r="L534" s="109"/>
      <c r="M534" s="109"/>
      <c r="N534" s="109"/>
      <c r="O534" s="109"/>
      <c r="P534" s="109"/>
      <c r="Q534" s="109"/>
      <c r="S534" s="111"/>
      <c r="T534" s="60"/>
      <c r="U534" s="112"/>
    </row>
    <row r="535" spans="1:21" s="110" customFormat="1" ht="15.75" customHeight="1">
      <c r="A535" s="105"/>
      <c r="B535" s="106"/>
      <c r="C535" s="106"/>
      <c r="D535" s="107"/>
      <c r="E535" s="106"/>
      <c r="F535" s="106"/>
      <c r="G535" s="106"/>
      <c r="H535" s="60"/>
      <c r="I535" s="60"/>
      <c r="J535" s="108"/>
      <c r="K535" s="60"/>
      <c r="L535" s="109"/>
      <c r="M535" s="109"/>
      <c r="N535" s="109"/>
      <c r="O535" s="109"/>
      <c r="P535" s="109"/>
      <c r="Q535" s="109"/>
      <c r="S535" s="111"/>
      <c r="T535" s="60"/>
      <c r="U535" s="112"/>
    </row>
    <row r="536" spans="1:21" s="110" customFormat="1" ht="15.75" customHeight="1">
      <c r="A536" s="105"/>
      <c r="B536" s="106"/>
      <c r="C536" s="106"/>
      <c r="D536" s="107"/>
      <c r="E536" s="106"/>
      <c r="F536" s="106"/>
      <c r="G536" s="106"/>
      <c r="H536" s="60"/>
      <c r="I536" s="60"/>
      <c r="J536" s="108"/>
      <c r="K536" s="60"/>
      <c r="L536" s="109"/>
      <c r="M536" s="109"/>
      <c r="N536" s="109"/>
      <c r="O536" s="109"/>
      <c r="P536" s="109"/>
      <c r="Q536" s="109"/>
      <c r="S536" s="111"/>
      <c r="T536" s="60"/>
      <c r="U536" s="112"/>
    </row>
    <row r="537" spans="1:21" s="110" customFormat="1" ht="15.75" customHeight="1">
      <c r="A537" s="105"/>
      <c r="B537" s="106"/>
      <c r="C537" s="106"/>
      <c r="D537" s="107"/>
      <c r="E537" s="106"/>
      <c r="F537" s="106"/>
      <c r="G537" s="106"/>
      <c r="H537" s="60"/>
      <c r="I537" s="60"/>
      <c r="J537" s="108"/>
      <c r="K537" s="60"/>
      <c r="L537" s="109"/>
      <c r="M537" s="109"/>
      <c r="N537" s="109"/>
      <c r="O537" s="109"/>
      <c r="P537" s="109"/>
      <c r="Q537" s="109"/>
      <c r="S537" s="111"/>
      <c r="T537" s="60"/>
      <c r="U537" s="112"/>
    </row>
    <row r="538" spans="1:21" s="110" customFormat="1" ht="15.75" customHeight="1">
      <c r="A538" s="105"/>
      <c r="B538" s="106"/>
      <c r="C538" s="106"/>
      <c r="D538" s="107"/>
      <c r="E538" s="106"/>
      <c r="F538" s="106"/>
      <c r="G538" s="106"/>
      <c r="H538" s="60"/>
      <c r="I538" s="60"/>
      <c r="J538" s="108"/>
      <c r="K538" s="60"/>
      <c r="L538" s="109"/>
      <c r="M538" s="109"/>
      <c r="N538" s="109"/>
      <c r="O538" s="109"/>
      <c r="P538" s="109"/>
      <c r="Q538" s="109"/>
      <c r="S538" s="111"/>
      <c r="T538" s="60"/>
      <c r="U538" s="112"/>
    </row>
    <row r="539" spans="1:21" s="110" customFormat="1" ht="15.75" customHeight="1">
      <c r="A539" s="105"/>
      <c r="B539" s="106"/>
      <c r="C539" s="106"/>
      <c r="D539" s="107"/>
      <c r="E539" s="106"/>
      <c r="F539" s="106"/>
      <c r="G539" s="106"/>
      <c r="H539" s="60"/>
      <c r="I539" s="60"/>
      <c r="J539" s="108"/>
      <c r="K539" s="60"/>
      <c r="L539" s="109"/>
      <c r="M539" s="109"/>
      <c r="N539" s="109"/>
      <c r="O539" s="109"/>
      <c r="P539" s="109"/>
      <c r="Q539" s="109"/>
      <c r="S539" s="111"/>
      <c r="T539" s="60"/>
      <c r="U539" s="112"/>
    </row>
    <row r="540" spans="1:21" s="110" customFormat="1" ht="15.75" customHeight="1">
      <c r="A540" s="105"/>
      <c r="B540" s="106"/>
      <c r="C540" s="106"/>
      <c r="D540" s="107"/>
      <c r="E540" s="106"/>
      <c r="F540" s="106"/>
      <c r="G540" s="106"/>
      <c r="H540" s="60"/>
      <c r="I540" s="60"/>
      <c r="J540" s="108"/>
      <c r="K540" s="60"/>
      <c r="L540" s="109"/>
      <c r="M540" s="109"/>
      <c r="N540" s="109"/>
      <c r="O540" s="109"/>
      <c r="P540" s="109"/>
      <c r="Q540" s="109"/>
      <c r="S540" s="111"/>
      <c r="T540" s="60"/>
      <c r="U540" s="112"/>
    </row>
    <row r="541" spans="1:21" s="110" customFormat="1" ht="15.75" customHeight="1">
      <c r="A541" s="105"/>
      <c r="B541" s="106"/>
      <c r="C541" s="106"/>
      <c r="D541" s="107"/>
      <c r="E541" s="106"/>
      <c r="F541" s="106"/>
      <c r="G541" s="106"/>
      <c r="H541" s="60"/>
      <c r="I541" s="60"/>
      <c r="J541" s="108"/>
      <c r="K541" s="60"/>
      <c r="L541" s="109"/>
      <c r="M541" s="109"/>
      <c r="N541" s="109"/>
      <c r="O541" s="109"/>
      <c r="P541" s="109"/>
      <c r="Q541" s="109"/>
      <c r="S541" s="111"/>
      <c r="T541" s="60"/>
      <c r="U541" s="112"/>
    </row>
    <row r="542" spans="1:21" s="110" customFormat="1" ht="15.75" customHeight="1">
      <c r="A542" s="105"/>
      <c r="B542" s="106"/>
      <c r="C542" s="106"/>
      <c r="D542" s="107"/>
      <c r="E542" s="106"/>
      <c r="F542" s="106"/>
      <c r="G542" s="106"/>
      <c r="H542" s="60"/>
      <c r="I542" s="60"/>
      <c r="J542" s="108"/>
      <c r="K542" s="60"/>
      <c r="L542" s="109"/>
      <c r="M542" s="109"/>
      <c r="N542" s="109"/>
      <c r="O542" s="109"/>
      <c r="P542" s="109"/>
      <c r="Q542" s="109"/>
      <c r="S542" s="111"/>
      <c r="T542" s="60"/>
      <c r="U542" s="112"/>
    </row>
    <row r="543" spans="1:21" s="110" customFormat="1" ht="15.75" customHeight="1">
      <c r="A543" s="105"/>
      <c r="B543" s="106"/>
      <c r="C543" s="106"/>
      <c r="D543" s="107"/>
      <c r="E543" s="106"/>
      <c r="F543" s="106"/>
      <c r="G543" s="106"/>
      <c r="H543" s="60"/>
      <c r="I543" s="60"/>
      <c r="J543" s="108"/>
      <c r="K543" s="60"/>
      <c r="L543" s="109"/>
      <c r="M543" s="109"/>
      <c r="N543" s="109"/>
      <c r="O543" s="109"/>
      <c r="P543" s="109"/>
      <c r="Q543" s="109"/>
      <c r="S543" s="111"/>
      <c r="T543" s="60"/>
      <c r="U543" s="112"/>
    </row>
    <row r="544" spans="1:21" s="110" customFormat="1" ht="15.75" customHeight="1">
      <c r="A544" s="105"/>
      <c r="B544" s="106"/>
      <c r="C544" s="106"/>
      <c r="D544" s="107"/>
      <c r="E544" s="106"/>
      <c r="F544" s="106"/>
      <c r="G544" s="106"/>
      <c r="H544" s="60"/>
      <c r="I544" s="60"/>
      <c r="J544" s="108"/>
      <c r="K544" s="60"/>
      <c r="L544" s="109"/>
      <c r="M544" s="109"/>
      <c r="N544" s="109"/>
      <c r="O544" s="109"/>
      <c r="P544" s="109"/>
      <c r="Q544" s="109"/>
      <c r="S544" s="111"/>
      <c r="T544" s="60"/>
      <c r="U544" s="112"/>
    </row>
    <row r="545" spans="1:21" s="110" customFormat="1" ht="15.75" customHeight="1">
      <c r="A545" s="105"/>
      <c r="B545" s="106"/>
      <c r="C545" s="106"/>
      <c r="D545" s="107"/>
      <c r="E545" s="106"/>
      <c r="F545" s="106"/>
      <c r="G545" s="106"/>
      <c r="H545" s="60"/>
      <c r="I545" s="60"/>
      <c r="J545" s="108"/>
      <c r="K545" s="60"/>
      <c r="L545" s="109"/>
      <c r="M545" s="109"/>
      <c r="N545" s="109"/>
      <c r="O545" s="109"/>
      <c r="P545" s="109"/>
      <c r="Q545" s="109"/>
      <c r="S545" s="111"/>
      <c r="T545" s="60"/>
      <c r="U545" s="112"/>
    </row>
    <row r="546" spans="1:21" s="110" customFormat="1" ht="15.75" customHeight="1">
      <c r="A546" s="105"/>
      <c r="B546" s="106"/>
      <c r="C546" s="106"/>
      <c r="D546" s="107"/>
      <c r="E546" s="106"/>
      <c r="F546" s="106"/>
      <c r="G546" s="106"/>
      <c r="H546" s="60"/>
      <c r="I546" s="60"/>
      <c r="J546" s="108"/>
      <c r="K546" s="60"/>
      <c r="L546" s="109"/>
      <c r="M546" s="109"/>
      <c r="N546" s="109"/>
      <c r="O546" s="109"/>
      <c r="P546" s="109"/>
      <c r="Q546" s="109"/>
      <c r="S546" s="111"/>
      <c r="T546" s="60"/>
      <c r="U546" s="112"/>
    </row>
    <row r="547" spans="1:21" s="110" customFormat="1" ht="15.75" customHeight="1">
      <c r="A547" s="105"/>
      <c r="B547" s="106"/>
      <c r="C547" s="106"/>
      <c r="D547" s="107"/>
      <c r="E547" s="106"/>
      <c r="F547" s="106"/>
      <c r="G547" s="106"/>
      <c r="H547" s="60"/>
      <c r="I547" s="60"/>
      <c r="J547" s="108"/>
      <c r="K547" s="60"/>
      <c r="L547" s="109"/>
      <c r="M547" s="109"/>
      <c r="N547" s="109"/>
      <c r="O547" s="109"/>
      <c r="P547" s="109"/>
      <c r="Q547" s="109"/>
      <c r="S547" s="111"/>
      <c r="T547" s="60"/>
      <c r="U547" s="112"/>
    </row>
    <row r="548" spans="1:21" s="110" customFormat="1" ht="15.75" customHeight="1">
      <c r="A548" s="105"/>
      <c r="B548" s="106"/>
      <c r="C548" s="106"/>
      <c r="D548" s="107"/>
      <c r="E548" s="106"/>
      <c r="F548" s="106"/>
      <c r="G548" s="106"/>
      <c r="H548" s="60"/>
      <c r="I548" s="60"/>
      <c r="J548" s="108"/>
      <c r="K548" s="60"/>
      <c r="L548" s="109"/>
      <c r="M548" s="109"/>
      <c r="N548" s="109"/>
      <c r="O548" s="109"/>
      <c r="P548" s="109"/>
      <c r="Q548" s="109"/>
      <c r="S548" s="111"/>
      <c r="T548" s="60"/>
      <c r="U548" s="112"/>
    </row>
    <row r="549" spans="1:21" s="110" customFormat="1" ht="15.75" customHeight="1">
      <c r="A549" s="105"/>
      <c r="B549" s="106"/>
      <c r="C549" s="106"/>
      <c r="D549" s="107"/>
      <c r="E549" s="106"/>
      <c r="F549" s="106"/>
      <c r="G549" s="106"/>
      <c r="H549" s="60"/>
      <c r="I549" s="60"/>
      <c r="J549" s="108"/>
      <c r="K549" s="60"/>
      <c r="L549" s="109"/>
      <c r="M549" s="109"/>
      <c r="N549" s="109"/>
      <c r="O549" s="109"/>
      <c r="P549" s="109"/>
      <c r="Q549" s="109"/>
      <c r="S549" s="111"/>
      <c r="T549" s="60"/>
      <c r="U549" s="112"/>
    </row>
    <row r="550" spans="1:21" s="110" customFormat="1" ht="15.75" customHeight="1">
      <c r="A550" s="105"/>
      <c r="B550" s="106"/>
      <c r="C550" s="106"/>
      <c r="D550" s="107"/>
      <c r="E550" s="106"/>
      <c r="F550" s="106"/>
      <c r="G550" s="106"/>
      <c r="H550" s="60"/>
      <c r="I550" s="60"/>
      <c r="J550" s="108"/>
      <c r="K550" s="60"/>
      <c r="L550" s="109"/>
      <c r="M550" s="109"/>
      <c r="N550" s="109"/>
      <c r="O550" s="109"/>
      <c r="P550" s="109"/>
      <c r="Q550" s="109"/>
      <c r="S550" s="111"/>
      <c r="T550" s="60"/>
      <c r="U550" s="112"/>
    </row>
    <row r="551" spans="1:21" s="110" customFormat="1" ht="15.75" customHeight="1">
      <c r="A551" s="105"/>
      <c r="B551" s="106"/>
      <c r="C551" s="106"/>
      <c r="D551" s="107"/>
      <c r="E551" s="106"/>
      <c r="F551" s="106"/>
      <c r="G551" s="106"/>
      <c r="H551" s="60"/>
      <c r="I551" s="60"/>
      <c r="J551" s="108"/>
      <c r="K551" s="60"/>
      <c r="L551" s="109"/>
      <c r="M551" s="109"/>
      <c r="N551" s="109"/>
      <c r="O551" s="109"/>
      <c r="P551" s="109"/>
      <c r="Q551" s="109"/>
      <c r="S551" s="111"/>
      <c r="T551" s="60"/>
      <c r="U551" s="112"/>
    </row>
    <row r="552" spans="1:21" s="110" customFormat="1" ht="15.75" customHeight="1">
      <c r="A552" s="105"/>
      <c r="B552" s="106"/>
      <c r="C552" s="106"/>
      <c r="D552" s="107"/>
      <c r="E552" s="106"/>
      <c r="F552" s="106"/>
      <c r="G552" s="106"/>
      <c r="H552" s="60"/>
      <c r="I552" s="60"/>
      <c r="J552" s="108"/>
      <c r="K552" s="60"/>
      <c r="L552" s="109"/>
      <c r="M552" s="109"/>
      <c r="N552" s="109"/>
      <c r="O552" s="109"/>
      <c r="P552" s="109"/>
      <c r="Q552" s="109"/>
      <c r="S552" s="111"/>
      <c r="T552" s="60"/>
      <c r="U552" s="112"/>
    </row>
    <row r="553" spans="1:21" s="110" customFormat="1" ht="15.75" customHeight="1">
      <c r="A553" s="105"/>
      <c r="B553" s="106"/>
      <c r="C553" s="106"/>
      <c r="D553" s="107"/>
      <c r="E553" s="106"/>
      <c r="F553" s="106"/>
      <c r="G553" s="106"/>
      <c r="H553" s="60"/>
      <c r="I553" s="60"/>
      <c r="J553" s="108"/>
      <c r="K553" s="60"/>
      <c r="L553" s="109"/>
      <c r="M553" s="109"/>
      <c r="N553" s="109"/>
      <c r="O553" s="109"/>
      <c r="P553" s="109"/>
      <c r="Q553" s="109"/>
      <c r="S553" s="111"/>
      <c r="T553" s="60"/>
      <c r="U553" s="112"/>
    </row>
    <row r="554" spans="1:21" s="110" customFormat="1" ht="15.75" customHeight="1">
      <c r="A554" s="105"/>
      <c r="B554" s="106"/>
      <c r="C554" s="106"/>
      <c r="D554" s="107"/>
      <c r="E554" s="106"/>
      <c r="F554" s="106"/>
      <c r="G554" s="106"/>
      <c r="H554" s="60"/>
      <c r="I554" s="60"/>
      <c r="J554" s="108"/>
      <c r="K554" s="60"/>
      <c r="L554" s="109"/>
      <c r="M554" s="109"/>
      <c r="N554" s="109"/>
      <c r="O554" s="109"/>
      <c r="P554" s="109"/>
      <c r="Q554" s="109"/>
      <c r="S554" s="111"/>
      <c r="T554" s="60"/>
      <c r="U554" s="112"/>
    </row>
    <row r="555" spans="1:21" s="110" customFormat="1" ht="15.75" customHeight="1">
      <c r="A555" s="105"/>
      <c r="B555" s="106"/>
      <c r="C555" s="106"/>
      <c r="D555" s="107"/>
      <c r="E555" s="106"/>
      <c r="F555" s="106"/>
      <c r="G555" s="106"/>
      <c r="H555" s="60"/>
      <c r="I555" s="60"/>
      <c r="J555" s="108"/>
      <c r="K555" s="60"/>
      <c r="L555" s="109"/>
      <c r="M555" s="109"/>
      <c r="N555" s="109"/>
      <c r="O555" s="109"/>
      <c r="P555" s="109"/>
      <c r="Q555" s="109"/>
      <c r="S555" s="111"/>
      <c r="T555" s="60"/>
      <c r="U555" s="112"/>
    </row>
    <row r="556" spans="1:21" s="110" customFormat="1" ht="15.75" customHeight="1">
      <c r="A556" s="105"/>
      <c r="B556" s="106"/>
      <c r="C556" s="106"/>
      <c r="D556" s="107"/>
      <c r="E556" s="106"/>
      <c r="F556" s="106"/>
      <c r="G556" s="106"/>
      <c r="H556" s="60"/>
      <c r="I556" s="60"/>
      <c r="J556" s="108"/>
      <c r="K556" s="60"/>
      <c r="L556" s="109"/>
      <c r="M556" s="109"/>
      <c r="N556" s="109"/>
      <c r="O556" s="109"/>
      <c r="P556" s="109"/>
      <c r="Q556" s="109"/>
      <c r="S556" s="111"/>
      <c r="T556" s="60"/>
      <c r="U556" s="112"/>
    </row>
    <row r="557" spans="1:21" s="110" customFormat="1" ht="15.75" customHeight="1">
      <c r="A557" s="105"/>
      <c r="B557" s="106"/>
      <c r="C557" s="106"/>
      <c r="D557" s="107"/>
      <c r="E557" s="106"/>
      <c r="F557" s="106"/>
      <c r="G557" s="106"/>
      <c r="H557" s="60"/>
      <c r="I557" s="60"/>
      <c r="J557" s="108"/>
      <c r="K557" s="60"/>
      <c r="L557" s="109"/>
      <c r="M557" s="109"/>
      <c r="N557" s="109"/>
      <c r="O557" s="109"/>
      <c r="P557" s="109"/>
      <c r="Q557" s="109"/>
      <c r="S557" s="111"/>
      <c r="T557" s="60"/>
      <c r="U557" s="112"/>
    </row>
    <row r="558" spans="1:21" s="110" customFormat="1" ht="15.75" customHeight="1">
      <c r="A558" s="105"/>
      <c r="B558" s="106"/>
      <c r="C558" s="106"/>
      <c r="D558" s="107"/>
      <c r="E558" s="106"/>
      <c r="F558" s="106"/>
      <c r="G558" s="106"/>
      <c r="H558" s="60"/>
      <c r="I558" s="60"/>
      <c r="J558" s="108"/>
      <c r="K558" s="60"/>
      <c r="L558" s="109"/>
      <c r="M558" s="109"/>
      <c r="N558" s="109"/>
      <c r="O558" s="109"/>
      <c r="P558" s="109"/>
      <c r="Q558" s="109"/>
      <c r="S558" s="111"/>
      <c r="T558" s="60"/>
      <c r="U558" s="112"/>
    </row>
    <row r="559" spans="1:21" s="110" customFormat="1" ht="15.75" customHeight="1">
      <c r="A559" s="105"/>
      <c r="B559" s="106"/>
      <c r="C559" s="106"/>
      <c r="D559" s="107"/>
      <c r="E559" s="106"/>
      <c r="F559" s="106"/>
      <c r="G559" s="106"/>
      <c r="H559" s="60"/>
      <c r="I559" s="60"/>
      <c r="J559" s="108"/>
      <c r="K559" s="60"/>
      <c r="L559" s="109"/>
      <c r="M559" s="109"/>
      <c r="N559" s="109"/>
      <c r="O559" s="109"/>
      <c r="P559" s="109"/>
      <c r="Q559" s="109"/>
      <c r="S559" s="111"/>
      <c r="T559" s="60"/>
      <c r="U559" s="112"/>
    </row>
    <row r="560" spans="1:21" s="110" customFormat="1" ht="15.75" customHeight="1">
      <c r="A560" s="105"/>
      <c r="B560" s="106"/>
      <c r="C560" s="106"/>
      <c r="D560" s="107"/>
      <c r="E560" s="106"/>
      <c r="F560" s="106"/>
      <c r="G560" s="106"/>
      <c r="H560" s="60"/>
      <c r="I560" s="60"/>
      <c r="J560" s="108"/>
      <c r="K560" s="60"/>
      <c r="L560" s="109"/>
      <c r="M560" s="109"/>
      <c r="N560" s="109"/>
      <c r="O560" s="109"/>
      <c r="P560" s="109"/>
      <c r="Q560" s="109"/>
      <c r="S560" s="111"/>
      <c r="T560" s="60"/>
      <c r="U560" s="112"/>
    </row>
    <row r="561" spans="1:21" s="110" customFormat="1" ht="15.75" customHeight="1">
      <c r="A561" s="105"/>
      <c r="B561" s="106"/>
      <c r="C561" s="106"/>
      <c r="D561" s="107"/>
      <c r="E561" s="106"/>
      <c r="F561" s="106"/>
      <c r="G561" s="106"/>
      <c r="H561" s="60"/>
      <c r="I561" s="60"/>
      <c r="J561" s="108"/>
      <c r="K561" s="60"/>
      <c r="L561" s="109"/>
      <c r="M561" s="109"/>
      <c r="N561" s="109"/>
      <c r="O561" s="109"/>
      <c r="P561" s="109"/>
      <c r="Q561" s="109"/>
      <c r="S561" s="111"/>
      <c r="T561" s="60"/>
      <c r="U561" s="112"/>
    </row>
    <row r="562" spans="1:21" s="110" customFormat="1" ht="15.75" customHeight="1">
      <c r="A562" s="105"/>
      <c r="B562" s="106"/>
      <c r="C562" s="106"/>
      <c r="D562" s="107"/>
      <c r="E562" s="106"/>
      <c r="F562" s="106"/>
      <c r="G562" s="106"/>
      <c r="H562" s="60"/>
      <c r="I562" s="60"/>
      <c r="J562" s="108"/>
      <c r="K562" s="60"/>
      <c r="L562" s="109"/>
      <c r="M562" s="109"/>
      <c r="N562" s="109"/>
      <c r="O562" s="109"/>
      <c r="P562" s="109"/>
      <c r="Q562" s="109"/>
      <c r="S562" s="111"/>
      <c r="T562" s="60"/>
      <c r="U562" s="112"/>
    </row>
    <row r="563" spans="1:21" s="110" customFormat="1" ht="15.75" customHeight="1">
      <c r="A563" s="105"/>
      <c r="B563" s="106"/>
      <c r="C563" s="106"/>
      <c r="D563" s="107"/>
      <c r="E563" s="106"/>
      <c r="F563" s="106"/>
      <c r="G563" s="106"/>
      <c r="H563" s="60"/>
      <c r="I563" s="60"/>
      <c r="J563" s="108"/>
      <c r="K563" s="60"/>
      <c r="L563" s="109"/>
      <c r="M563" s="109"/>
      <c r="N563" s="109"/>
      <c r="O563" s="109"/>
      <c r="P563" s="109"/>
      <c r="Q563" s="109"/>
      <c r="S563" s="111"/>
      <c r="T563" s="60"/>
      <c r="U563" s="112"/>
    </row>
    <row r="564" spans="1:21" s="110" customFormat="1" ht="15.75" customHeight="1">
      <c r="A564" s="105"/>
      <c r="B564" s="106"/>
      <c r="C564" s="106"/>
      <c r="D564" s="107"/>
      <c r="E564" s="106"/>
      <c r="F564" s="106"/>
      <c r="G564" s="106"/>
      <c r="H564" s="60"/>
      <c r="I564" s="60"/>
      <c r="J564" s="108"/>
      <c r="K564" s="60"/>
      <c r="L564" s="109"/>
      <c r="M564" s="109"/>
      <c r="N564" s="109"/>
      <c r="O564" s="109"/>
      <c r="P564" s="109"/>
      <c r="Q564" s="109"/>
      <c r="S564" s="111"/>
      <c r="T564" s="60"/>
      <c r="U564" s="112"/>
    </row>
    <row r="565" spans="1:21" s="110" customFormat="1" ht="15.75" customHeight="1">
      <c r="A565" s="105"/>
      <c r="B565" s="106"/>
      <c r="C565" s="106"/>
      <c r="D565" s="107"/>
      <c r="E565" s="106"/>
      <c r="F565" s="106"/>
      <c r="G565" s="106"/>
      <c r="H565" s="60"/>
      <c r="I565" s="60"/>
      <c r="J565" s="108"/>
      <c r="K565" s="60"/>
      <c r="L565" s="109"/>
      <c r="M565" s="109"/>
      <c r="N565" s="109"/>
      <c r="O565" s="109"/>
      <c r="P565" s="109"/>
      <c r="Q565" s="109"/>
      <c r="S565" s="111"/>
      <c r="T565" s="60"/>
      <c r="U565" s="112"/>
    </row>
    <row r="566" spans="1:21" s="110" customFormat="1" ht="15.75" customHeight="1">
      <c r="A566" s="105"/>
      <c r="B566" s="106"/>
      <c r="C566" s="106"/>
      <c r="D566" s="107"/>
      <c r="E566" s="106"/>
      <c r="F566" s="106"/>
      <c r="G566" s="106"/>
      <c r="H566" s="60"/>
      <c r="I566" s="60"/>
      <c r="J566" s="108"/>
      <c r="K566" s="60"/>
      <c r="L566" s="109"/>
      <c r="M566" s="109"/>
      <c r="N566" s="109"/>
      <c r="O566" s="109"/>
      <c r="P566" s="109"/>
      <c r="Q566" s="109"/>
      <c r="S566" s="111"/>
      <c r="T566" s="60"/>
      <c r="U566" s="112"/>
    </row>
    <row r="567" spans="1:21" s="110" customFormat="1" ht="15.75" customHeight="1">
      <c r="A567" s="105"/>
      <c r="B567" s="106"/>
      <c r="C567" s="106"/>
      <c r="D567" s="107"/>
      <c r="E567" s="106"/>
      <c r="F567" s="106"/>
      <c r="G567" s="106"/>
      <c r="H567" s="60"/>
      <c r="I567" s="60"/>
      <c r="J567" s="108"/>
      <c r="K567" s="60"/>
      <c r="L567" s="109"/>
      <c r="M567" s="109"/>
      <c r="N567" s="109"/>
      <c r="O567" s="109"/>
      <c r="P567" s="109"/>
      <c r="Q567" s="109"/>
      <c r="S567" s="111"/>
      <c r="T567" s="60"/>
      <c r="U567" s="112"/>
    </row>
    <row r="568" spans="1:21" s="110" customFormat="1" ht="15.75" customHeight="1">
      <c r="A568" s="105"/>
      <c r="B568" s="106"/>
      <c r="C568" s="106"/>
      <c r="D568" s="107"/>
      <c r="E568" s="106"/>
      <c r="F568" s="106"/>
      <c r="G568" s="106"/>
      <c r="H568" s="60"/>
      <c r="I568" s="60"/>
      <c r="J568" s="108"/>
      <c r="K568" s="60"/>
      <c r="L568" s="109"/>
      <c r="M568" s="109"/>
      <c r="N568" s="109"/>
      <c r="O568" s="109"/>
      <c r="P568" s="109"/>
      <c r="Q568" s="109"/>
      <c r="S568" s="111"/>
      <c r="T568" s="60"/>
      <c r="U568" s="112"/>
    </row>
    <row r="569" spans="1:21" s="110" customFormat="1" ht="15.75" customHeight="1">
      <c r="A569" s="105"/>
      <c r="B569" s="106"/>
      <c r="C569" s="106"/>
      <c r="D569" s="107"/>
      <c r="E569" s="106"/>
      <c r="F569" s="106"/>
      <c r="G569" s="106"/>
      <c r="H569" s="60"/>
      <c r="I569" s="60"/>
      <c r="J569" s="108"/>
      <c r="K569" s="60"/>
      <c r="L569" s="109"/>
      <c r="M569" s="109"/>
      <c r="N569" s="109"/>
      <c r="O569" s="109"/>
      <c r="P569" s="109"/>
      <c r="Q569" s="109"/>
      <c r="S569" s="111"/>
      <c r="T569" s="60"/>
      <c r="U569" s="112"/>
    </row>
    <row r="570" spans="1:21" s="110" customFormat="1" ht="15.75" customHeight="1">
      <c r="A570" s="105"/>
      <c r="B570" s="106"/>
      <c r="C570" s="106"/>
      <c r="D570" s="107"/>
      <c r="E570" s="106"/>
      <c r="F570" s="106"/>
      <c r="G570" s="106"/>
      <c r="H570" s="60"/>
      <c r="I570" s="60"/>
      <c r="J570" s="108"/>
      <c r="K570" s="60"/>
      <c r="L570" s="109"/>
      <c r="M570" s="109"/>
      <c r="N570" s="109"/>
      <c r="O570" s="109"/>
      <c r="P570" s="109"/>
      <c r="Q570" s="109"/>
      <c r="S570" s="111"/>
      <c r="T570" s="60"/>
      <c r="U570" s="112"/>
    </row>
    <row r="571" spans="1:21" s="110" customFormat="1" ht="15.75" customHeight="1">
      <c r="A571" s="105"/>
      <c r="B571" s="106"/>
      <c r="C571" s="106"/>
      <c r="D571" s="107"/>
      <c r="E571" s="106"/>
      <c r="F571" s="106"/>
      <c r="G571" s="106"/>
      <c r="H571" s="60"/>
      <c r="I571" s="60"/>
      <c r="J571" s="108"/>
      <c r="K571" s="60"/>
      <c r="L571" s="109"/>
      <c r="M571" s="109"/>
      <c r="N571" s="109"/>
      <c r="O571" s="109"/>
      <c r="P571" s="109"/>
      <c r="Q571" s="109"/>
      <c r="S571" s="111"/>
      <c r="T571" s="60"/>
      <c r="U571" s="112"/>
    </row>
    <row r="572" spans="1:21" s="110" customFormat="1" ht="15.75" customHeight="1">
      <c r="A572" s="105"/>
      <c r="B572" s="106"/>
      <c r="C572" s="106"/>
      <c r="D572" s="107"/>
      <c r="E572" s="106"/>
      <c r="F572" s="106"/>
      <c r="G572" s="106"/>
      <c r="H572" s="60"/>
      <c r="I572" s="60"/>
      <c r="J572" s="108"/>
      <c r="K572" s="60"/>
      <c r="L572" s="109"/>
      <c r="M572" s="109"/>
      <c r="N572" s="109"/>
      <c r="O572" s="109"/>
      <c r="P572" s="109"/>
      <c r="Q572" s="109"/>
      <c r="S572" s="111"/>
      <c r="T572" s="60"/>
      <c r="U572" s="112"/>
    </row>
    <row r="573" spans="1:21" s="110" customFormat="1" ht="15.75" customHeight="1">
      <c r="A573" s="105"/>
      <c r="B573" s="106"/>
      <c r="C573" s="106"/>
      <c r="D573" s="107"/>
      <c r="E573" s="106"/>
      <c r="F573" s="106"/>
      <c r="G573" s="106"/>
      <c r="H573" s="60"/>
      <c r="I573" s="60"/>
      <c r="J573" s="108"/>
      <c r="K573" s="60"/>
      <c r="L573" s="109"/>
      <c r="M573" s="109"/>
      <c r="N573" s="109"/>
      <c r="O573" s="109"/>
      <c r="P573" s="109"/>
      <c r="Q573" s="109"/>
      <c r="S573" s="111"/>
      <c r="T573" s="60"/>
      <c r="U573" s="112"/>
    </row>
    <row r="574" spans="1:21" s="110" customFormat="1" ht="15.75" customHeight="1">
      <c r="A574" s="105"/>
      <c r="B574" s="106"/>
      <c r="C574" s="106"/>
      <c r="D574" s="107"/>
      <c r="E574" s="106"/>
      <c r="F574" s="106"/>
      <c r="G574" s="106"/>
      <c r="H574" s="60"/>
      <c r="I574" s="60"/>
      <c r="J574" s="108"/>
      <c r="K574" s="60"/>
      <c r="L574" s="109"/>
      <c r="M574" s="109"/>
      <c r="N574" s="109"/>
      <c r="O574" s="109"/>
      <c r="P574" s="109"/>
      <c r="Q574" s="109"/>
      <c r="S574" s="111"/>
      <c r="T574" s="60"/>
      <c r="U574" s="112"/>
    </row>
    <row r="575" spans="1:21" s="110" customFormat="1" ht="15.75" customHeight="1">
      <c r="A575" s="105"/>
      <c r="B575" s="106"/>
      <c r="C575" s="106"/>
      <c r="D575" s="107"/>
      <c r="E575" s="106"/>
      <c r="F575" s="106"/>
      <c r="G575" s="106"/>
      <c r="H575" s="60"/>
      <c r="I575" s="60"/>
      <c r="J575" s="108"/>
      <c r="K575" s="60"/>
      <c r="L575" s="109"/>
      <c r="M575" s="109"/>
      <c r="N575" s="109"/>
      <c r="O575" s="109"/>
      <c r="P575" s="109"/>
      <c r="Q575" s="109"/>
      <c r="S575" s="111"/>
      <c r="T575" s="60"/>
      <c r="U575" s="112"/>
    </row>
    <row r="576" spans="1:21" s="110" customFormat="1" ht="15.75" customHeight="1">
      <c r="A576" s="105"/>
      <c r="B576" s="106"/>
      <c r="C576" s="106"/>
      <c r="D576" s="107"/>
      <c r="E576" s="106"/>
      <c r="F576" s="106"/>
      <c r="G576" s="106"/>
      <c r="H576" s="60"/>
      <c r="I576" s="60"/>
      <c r="J576" s="108"/>
      <c r="K576" s="60"/>
      <c r="L576" s="109"/>
      <c r="M576" s="109"/>
      <c r="N576" s="109"/>
      <c r="O576" s="109"/>
      <c r="P576" s="109"/>
      <c r="Q576" s="109"/>
      <c r="S576" s="111"/>
      <c r="T576" s="60"/>
      <c r="U576" s="112"/>
    </row>
    <row r="577" spans="1:21" s="110" customFormat="1" ht="15.75" customHeight="1">
      <c r="A577" s="105"/>
      <c r="B577" s="106"/>
      <c r="C577" s="106"/>
      <c r="D577" s="107"/>
      <c r="E577" s="106"/>
      <c r="F577" s="106"/>
      <c r="G577" s="106"/>
      <c r="H577" s="60"/>
      <c r="I577" s="60"/>
      <c r="J577" s="108"/>
      <c r="K577" s="60"/>
      <c r="L577" s="109"/>
      <c r="M577" s="109"/>
      <c r="N577" s="109"/>
      <c r="O577" s="109"/>
      <c r="P577" s="109"/>
      <c r="Q577" s="109"/>
      <c r="S577" s="111"/>
      <c r="T577" s="60"/>
      <c r="U577" s="112"/>
    </row>
    <row r="578" spans="1:21" s="110" customFormat="1" ht="15.75" customHeight="1">
      <c r="A578" s="105"/>
      <c r="B578" s="106"/>
      <c r="C578" s="106"/>
      <c r="D578" s="107"/>
      <c r="E578" s="106"/>
      <c r="F578" s="106"/>
      <c r="G578" s="106"/>
      <c r="H578" s="60"/>
      <c r="I578" s="60"/>
      <c r="J578" s="108"/>
      <c r="K578" s="60"/>
      <c r="L578" s="109"/>
      <c r="M578" s="109"/>
      <c r="N578" s="109"/>
      <c r="O578" s="109"/>
      <c r="P578" s="109"/>
      <c r="Q578" s="109"/>
      <c r="S578" s="111"/>
      <c r="T578" s="60"/>
      <c r="U578" s="112"/>
    </row>
    <row r="579" spans="1:21" s="110" customFormat="1" ht="15.75" customHeight="1">
      <c r="A579" s="105"/>
      <c r="B579" s="106"/>
      <c r="C579" s="106"/>
      <c r="D579" s="107"/>
      <c r="E579" s="106"/>
      <c r="F579" s="106"/>
      <c r="G579" s="106"/>
      <c r="H579" s="60"/>
      <c r="I579" s="60"/>
      <c r="J579" s="108"/>
      <c r="K579" s="60"/>
      <c r="L579" s="109"/>
      <c r="M579" s="109"/>
      <c r="N579" s="109"/>
      <c r="O579" s="109"/>
      <c r="P579" s="109"/>
      <c r="Q579" s="109"/>
      <c r="S579" s="111"/>
      <c r="T579" s="60"/>
      <c r="U579" s="112"/>
    </row>
    <row r="580" spans="1:21" s="110" customFormat="1" ht="15.75" customHeight="1">
      <c r="A580" s="105"/>
      <c r="B580" s="106"/>
      <c r="C580" s="106"/>
      <c r="D580" s="107"/>
      <c r="E580" s="106"/>
      <c r="F580" s="106"/>
      <c r="G580" s="106"/>
      <c r="H580" s="60"/>
      <c r="I580" s="60"/>
      <c r="J580" s="108"/>
      <c r="K580" s="60"/>
      <c r="L580" s="109"/>
      <c r="M580" s="109"/>
      <c r="N580" s="109"/>
      <c r="O580" s="109"/>
      <c r="P580" s="109"/>
      <c r="Q580" s="109"/>
      <c r="S580" s="111"/>
      <c r="T580" s="60"/>
      <c r="U580" s="112"/>
    </row>
    <row r="581" spans="1:21" s="110" customFormat="1" ht="15.75" customHeight="1">
      <c r="A581" s="105"/>
      <c r="B581" s="106"/>
      <c r="C581" s="106"/>
      <c r="D581" s="107"/>
      <c r="E581" s="106"/>
      <c r="F581" s="106"/>
      <c r="G581" s="106"/>
      <c r="H581" s="60"/>
      <c r="I581" s="60"/>
      <c r="J581" s="108"/>
      <c r="K581" s="60"/>
      <c r="L581" s="109"/>
      <c r="M581" s="109"/>
      <c r="N581" s="109"/>
      <c r="O581" s="109"/>
      <c r="P581" s="109"/>
      <c r="Q581" s="109"/>
      <c r="S581" s="111"/>
      <c r="T581" s="60"/>
      <c r="U581" s="112"/>
    </row>
    <row r="582" spans="1:21" s="110" customFormat="1" ht="15.75" customHeight="1">
      <c r="A582" s="105"/>
      <c r="B582" s="106"/>
      <c r="C582" s="106"/>
      <c r="D582" s="107"/>
      <c r="E582" s="106"/>
      <c r="F582" s="106"/>
      <c r="G582" s="106"/>
      <c r="H582" s="60"/>
      <c r="I582" s="60"/>
      <c r="J582" s="108"/>
      <c r="K582" s="60"/>
      <c r="L582" s="109"/>
      <c r="M582" s="109"/>
      <c r="N582" s="109"/>
      <c r="O582" s="109"/>
      <c r="P582" s="109"/>
      <c r="Q582" s="109"/>
      <c r="S582" s="111"/>
      <c r="T582" s="60"/>
      <c r="U582" s="112"/>
    </row>
    <row r="583" spans="1:21" s="110" customFormat="1" ht="15.75" customHeight="1">
      <c r="A583" s="105"/>
      <c r="B583" s="106"/>
      <c r="C583" s="106"/>
      <c r="D583" s="107"/>
      <c r="E583" s="106"/>
      <c r="F583" s="106"/>
      <c r="G583" s="106"/>
      <c r="H583" s="60"/>
      <c r="I583" s="60"/>
      <c r="J583" s="108"/>
      <c r="K583" s="60"/>
      <c r="L583" s="109"/>
      <c r="M583" s="109"/>
      <c r="N583" s="109"/>
      <c r="O583" s="109"/>
      <c r="P583" s="109"/>
      <c r="Q583" s="109"/>
      <c r="S583" s="111"/>
      <c r="T583" s="60"/>
      <c r="U583" s="112"/>
    </row>
    <row r="584" spans="1:21" s="110" customFormat="1" ht="15.75" customHeight="1">
      <c r="A584" s="105"/>
      <c r="B584" s="106"/>
      <c r="C584" s="106"/>
      <c r="D584" s="107"/>
      <c r="E584" s="106"/>
      <c r="F584" s="106"/>
      <c r="G584" s="106"/>
      <c r="H584" s="60"/>
      <c r="I584" s="60"/>
      <c r="J584" s="108"/>
      <c r="K584" s="60"/>
      <c r="L584" s="109"/>
      <c r="M584" s="109"/>
      <c r="N584" s="109"/>
      <c r="O584" s="109"/>
      <c r="P584" s="109"/>
      <c r="Q584" s="109"/>
      <c r="S584" s="111"/>
      <c r="T584" s="60"/>
      <c r="U584" s="112"/>
    </row>
    <row r="585" spans="1:21" s="110" customFormat="1" ht="15.75" customHeight="1">
      <c r="A585" s="105"/>
      <c r="B585" s="106"/>
      <c r="C585" s="106"/>
      <c r="D585" s="107"/>
      <c r="E585" s="106"/>
      <c r="F585" s="106"/>
      <c r="G585" s="106"/>
      <c r="H585" s="60"/>
      <c r="I585" s="60"/>
      <c r="J585" s="108"/>
      <c r="K585" s="60"/>
      <c r="L585" s="109"/>
      <c r="M585" s="109"/>
      <c r="N585" s="109"/>
      <c r="O585" s="109"/>
      <c r="P585" s="109"/>
      <c r="Q585" s="109"/>
      <c r="S585" s="111"/>
      <c r="T585" s="60"/>
      <c r="U585" s="112"/>
    </row>
    <row r="586" spans="1:21" s="110" customFormat="1" ht="15.75" customHeight="1">
      <c r="A586" s="105"/>
      <c r="B586" s="106"/>
      <c r="C586" s="106"/>
      <c r="D586" s="107"/>
      <c r="E586" s="106"/>
      <c r="F586" s="106"/>
      <c r="G586" s="106"/>
      <c r="H586" s="60"/>
      <c r="I586" s="60"/>
      <c r="J586" s="108"/>
      <c r="K586" s="60"/>
      <c r="L586" s="109"/>
      <c r="M586" s="109"/>
      <c r="N586" s="109"/>
      <c r="O586" s="109"/>
      <c r="P586" s="109"/>
      <c r="Q586" s="109"/>
      <c r="S586" s="111"/>
      <c r="T586" s="60"/>
      <c r="U586" s="112"/>
    </row>
    <row r="587" spans="1:21" s="110" customFormat="1" ht="15.75" customHeight="1">
      <c r="A587" s="105"/>
      <c r="B587" s="106"/>
      <c r="C587" s="106"/>
      <c r="D587" s="107"/>
      <c r="E587" s="106"/>
      <c r="F587" s="106"/>
      <c r="G587" s="106"/>
      <c r="H587" s="60"/>
      <c r="I587" s="60"/>
      <c r="J587" s="108"/>
      <c r="K587" s="60"/>
      <c r="L587" s="109"/>
      <c r="M587" s="109"/>
      <c r="N587" s="109"/>
      <c r="O587" s="109"/>
      <c r="P587" s="109"/>
      <c r="Q587" s="109"/>
      <c r="S587" s="111"/>
      <c r="T587" s="60"/>
      <c r="U587" s="112"/>
    </row>
    <row r="588" spans="1:21" s="110" customFormat="1" ht="15.75" customHeight="1">
      <c r="A588" s="105"/>
      <c r="B588" s="106"/>
      <c r="C588" s="106"/>
      <c r="D588" s="107"/>
      <c r="E588" s="106"/>
      <c r="F588" s="106"/>
      <c r="G588" s="106"/>
      <c r="H588" s="60"/>
      <c r="I588" s="60"/>
      <c r="J588" s="108"/>
      <c r="K588" s="60"/>
      <c r="L588" s="109"/>
      <c r="M588" s="109"/>
      <c r="N588" s="109"/>
      <c r="O588" s="109"/>
      <c r="P588" s="109"/>
      <c r="Q588" s="109"/>
      <c r="S588" s="111"/>
      <c r="T588" s="60"/>
      <c r="U588" s="112"/>
    </row>
    <row r="589" spans="1:21" s="110" customFormat="1" ht="15.75" customHeight="1">
      <c r="A589" s="105"/>
      <c r="B589" s="106"/>
      <c r="C589" s="106"/>
      <c r="D589" s="107"/>
      <c r="E589" s="106"/>
      <c r="F589" s="106"/>
      <c r="G589" s="106"/>
      <c r="H589" s="60"/>
      <c r="I589" s="60"/>
      <c r="J589" s="108"/>
      <c r="K589" s="60"/>
      <c r="L589" s="109"/>
      <c r="M589" s="109"/>
      <c r="N589" s="109"/>
      <c r="O589" s="109"/>
      <c r="P589" s="109"/>
      <c r="Q589" s="109"/>
      <c r="S589" s="111"/>
      <c r="T589" s="60"/>
      <c r="U589" s="112"/>
    </row>
    <row r="590" spans="1:21" s="110" customFormat="1" ht="15.75" customHeight="1">
      <c r="A590" s="105"/>
      <c r="B590" s="106"/>
      <c r="C590" s="106"/>
      <c r="D590" s="107"/>
      <c r="E590" s="106"/>
      <c r="F590" s="106"/>
      <c r="G590" s="106"/>
      <c r="H590" s="60"/>
      <c r="I590" s="60"/>
      <c r="J590" s="108"/>
      <c r="K590" s="60"/>
      <c r="L590" s="109"/>
      <c r="M590" s="109"/>
      <c r="N590" s="109"/>
      <c r="O590" s="109"/>
      <c r="P590" s="109"/>
      <c r="Q590" s="109"/>
      <c r="S590" s="111"/>
      <c r="T590" s="60"/>
      <c r="U590" s="112"/>
    </row>
    <row r="591" spans="1:21" s="110" customFormat="1" ht="15.75" customHeight="1">
      <c r="A591" s="105"/>
      <c r="B591" s="106"/>
      <c r="C591" s="106"/>
      <c r="D591" s="107"/>
      <c r="E591" s="106"/>
      <c r="F591" s="106"/>
      <c r="G591" s="106"/>
      <c r="H591" s="60"/>
      <c r="I591" s="60"/>
      <c r="J591" s="108"/>
      <c r="K591" s="60"/>
      <c r="L591" s="109"/>
      <c r="M591" s="109"/>
      <c r="N591" s="109"/>
      <c r="O591" s="109"/>
      <c r="P591" s="109"/>
      <c r="Q591" s="109"/>
      <c r="S591" s="111"/>
      <c r="T591" s="60"/>
      <c r="U591" s="112"/>
    </row>
    <row r="592" spans="1:21" s="110" customFormat="1" ht="15.75" customHeight="1">
      <c r="A592" s="105"/>
      <c r="B592" s="106"/>
      <c r="C592" s="106"/>
      <c r="D592" s="107"/>
      <c r="E592" s="106"/>
      <c r="F592" s="106"/>
      <c r="G592" s="106"/>
      <c r="H592" s="60"/>
      <c r="I592" s="60"/>
      <c r="J592" s="108"/>
      <c r="K592" s="60"/>
      <c r="L592" s="109"/>
      <c r="M592" s="109"/>
      <c r="N592" s="109"/>
      <c r="O592" s="109"/>
      <c r="P592" s="109"/>
      <c r="Q592" s="109"/>
      <c r="S592" s="111"/>
      <c r="T592" s="60"/>
      <c r="U592" s="112"/>
    </row>
    <row r="593" spans="1:21" s="110" customFormat="1" ht="15.75" customHeight="1">
      <c r="A593" s="105"/>
      <c r="B593" s="106"/>
      <c r="C593" s="106"/>
      <c r="D593" s="107"/>
      <c r="E593" s="106"/>
      <c r="F593" s="106"/>
      <c r="G593" s="106"/>
      <c r="H593" s="60"/>
      <c r="I593" s="60"/>
      <c r="J593" s="108"/>
      <c r="K593" s="60"/>
      <c r="L593" s="109"/>
      <c r="M593" s="109"/>
      <c r="N593" s="109"/>
      <c r="O593" s="109"/>
      <c r="P593" s="109"/>
      <c r="Q593" s="109"/>
      <c r="S593" s="111"/>
      <c r="T593" s="60"/>
      <c r="U593" s="112"/>
    </row>
    <row r="594" spans="1:21" s="110" customFormat="1" ht="15.75" customHeight="1">
      <c r="A594" s="105"/>
      <c r="B594" s="106"/>
      <c r="C594" s="106"/>
      <c r="D594" s="107"/>
      <c r="E594" s="106"/>
      <c r="F594" s="106"/>
      <c r="G594" s="106"/>
      <c r="H594" s="60"/>
      <c r="I594" s="60"/>
      <c r="J594" s="108"/>
      <c r="K594" s="60"/>
      <c r="L594" s="109"/>
      <c r="M594" s="109"/>
      <c r="N594" s="109"/>
      <c r="O594" s="109"/>
      <c r="P594" s="109"/>
      <c r="Q594" s="109"/>
      <c r="S594" s="111"/>
      <c r="T594" s="60"/>
      <c r="U594" s="112"/>
    </row>
    <row r="595" spans="1:21" s="110" customFormat="1" ht="15.75" customHeight="1">
      <c r="A595" s="105"/>
      <c r="B595" s="106"/>
      <c r="C595" s="106"/>
      <c r="D595" s="107"/>
      <c r="E595" s="106"/>
      <c r="F595" s="106"/>
      <c r="G595" s="106"/>
      <c r="H595" s="60"/>
      <c r="I595" s="60"/>
      <c r="J595" s="108"/>
      <c r="K595" s="60"/>
      <c r="L595" s="109"/>
      <c r="M595" s="109"/>
      <c r="N595" s="109"/>
      <c r="O595" s="109"/>
      <c r="P595" s="109"/>
      <c r="Q595" s="109"/>
      <c r="S595" s="111"/>
      <c r="T595" s="60"/>
      <c r="U595" s="112"/>
    </row>
    <row r="596" spans="1:21" s="110" customFormat="1" ht="15.75" customHeight="1">
      <c r="A596" s="105"/>
      <c r="B596" s="106"/>
      <c r="C596" s="106"/>
      <c r="D596" s="107"/>
      <c r="E596" s="106"/>
      <c r="F596" s="106"/>
      <c r="G596" s="106"/>
      <c r="H596" s="60"/>
      <c r="I596" s="60"/>
      <c r="J596" s="108"/>
      <c r="K596" s="60"/>
      <c r="L596" s="109"/>
      <c r="M596" s="109"/>
      <c r="N596" s="109"/>
      <c r="O596" s="109"/>
      <c r="P596" s="109"/>
      <c r="Q596" s="109"/>
      <c r="S596" s="111"/>
      <c r="T596" s="60"/>
      <c r="U596" s="112"/>
    </row>
    <row r="597" spans="1:21" s="110" customFormat="1" ht="15.75" customHeight="1">
      <c r="A597" s="105"/>
      <c r="B597" s="106"/>
      <c r="C597" s="106"/>
      <c r="D597" s="107"/>
      <c r="E597" s="106"/>
      <c r="F597" s="106"/>
      <c r="G597" s="106"/>
      <c r="H597" s="60"/>
      <c r="I597" s="60"/>
      <c r="J597" s="108"/>
      <c r="K597" s="60"/>
      <c r="L597" s="109"/>
      <c r="M597" s="109"/>
      <c r="N597" s="109"/>
      <c r="O597" s="109"/>
      <c r="P597" s="109"/>
      <c r="Q597" s="109"/>
      <c r="S597" s="111"/>
      <c r="T597" s="60"/>
      <c r="U597" s="112"/>
    </row>
    <row r="598" spans="1:21" s="110" customFormat="1" ht="15.75" customHeight="1">
      <c r="A598" s="105"/>
      <c r="B598" s="106"/>
      <c r="C598" s="106"/>
      <c r="D598" s="107"/>
      <c r="E598" s="106"/>
      <c r="F598" s="106"/>
      <c r="G598" s="106"/>
      <c r="H598" s="60"/>
      <c r="I598" s="60"/>
      <c r="J598" s="108"/>
      <c r="K598" s="60"/>
      <c r="L598" s="109"/>
      <c r="M598" s="109"/>
      <c r="N598" s="109"/>
      <c r="O598" s="109"/>
      <c r="P598" s="109"/>
      <c r="Q598" s="109"/>
      <c r="S598" s="111"/>
      <c r="T598" s="60"/>
      <c r="U598" s="112"/>
    </row>
    <row r="599" spans="1:21" s="110" customFormat="1" ht="15.75" customHeight="1">
      <c r="A599" s="105"/>
      <c r="B599" s="106"/>
      <c r="C599" s="106"/>
      <c r="D599" s="107"/>
      <c r="E599" s="106"/>
      <c r="F599" s="106"/>
      <c r="G599" s="106"/>
      <c r="H599" s="60"/>
      <c r="I599" s="60"/>
      <c r="J599" s="108"/>
      <c r="K599" s="60"/>
      <c r="L599" s="109"/>
      <c r="M599" s="109"/>
      <c r="N599" s="109"/>
      <c r="O599" s="109"/>
      <c r="P599" s="109"/>
      <c r="Q599" s="109"/>
      <c r="S599" s="111"/>
      <c r="T599" s="60"/>
      <c r="U599" s="112"/>
    </row>
    <row r="600" spans="1:21" s="110" customFormat="1" ht="15.75" customHeight="1">
      <c r="A600" s="105"/>
      <c r="B600" s="106"/>
      <c r="C600" s="106"/>
      <c r="D600" s="107"/>
      <c r="E600" s="106"/>
      <c r="F600" s="106"/>
      <c r="G600" s="106"/>
      <c r="H600" s="60"/>
      <c r="I600" s="60"/>
      <c r="J600" s="108"/>
      <c r="K600" s="60"/>
      <c r="L600" s="109"/>
      <c r="M600" s="109"/>
      <c r="N600" s="109"/>
      <c r="O600" s="109"/>
      <c r="P600" s="109"/>
      <c r="Q600" s="109"/>
      <c r="S600" s="111"/>
      <c r="T600" s="60"/>
      <c r="U600" s="112"/>
    </row>
    <row r="601" spans="1:21" s="110" customFormat="1" ht="15.75" customHeight="1">
      <c r="A601" s="105"/>
      <c r="B601" s="106"/>
      <c r="C601" s="106"/>
      <c r="D601" s="107"/>
      <c r="E601" s="106"/>
      <c r="F601" s="106"/>
      <c r="G601" s="106"/>
      <c r="H601" s="60"/>
      <c r="I601" s="60"/>
      <c r="J601" s="108"/>
      <c r="K601" s="60"/>
      <c r="L601" s="109"/>
      <c r="M601" s="109"/>
      <c r="N601" s="109"/>
      <c r="O601" s="109"/>
      <c r="P601" s="109"/>
      <c r="Q601" s="109"/>
      <c r="S601" s="111"/>
      <c r="T601" s="60"/>
      <c r="U601" s="112"/>
    </row>
    <row r="602" spans="1:21" s="110" customFormat="1" ht="15.75" customHeight="1">
      <c r="A602" s="105"/>
      <c r="B602" s="106"/>
      <c r="C602" s="106"/>
      <c r="D602" s="107"/>
      <c r="E602" s="106"/>
      <c r="F602" s="106"/>
      <c r="G602" s="106"/>
      <c r="H602" s="60"/>
      <c r="I602" s="60"/>
      <c r="J602" s="108"/>
      <c r="K602" s="60"/>
      <c r="L602" s="109"/>
      <c r="M602" s="109"/>
      <c r="N602" s="109"/>
      <c r="O602" s="109"/>
      <c r="P602" s="109"/>
      <c r="Q602" s="109"/>
      <c r="S602" s="111"/>
      <c r="T602" s="60"/>
      <c r="U602" s="112"/>
    </row>
    <row r="603" spans="1:21" s="110" customFormat="1" ht="15.75" customHeight="1">
      <c r="A603" s="105"/>
      <c r="B603" s="106"/>
      <c r="C603" s="106"/>
      <c r="D603" s="107"/>
      <c r="E603" s="106"/>
      <c r="F603" s="106"/>
      <c r="G603" s="106"/>
      <c r="H603" s="60"/>
      <c r="I603" s="60"/>
      <c r="J603" s="108"/>
      <c r="K603" s="60"/>
      <c r="L603" s="109"/>
      <c r="M603" s="109"/>
      <c r="N603" s="109"/>
      <c r="O603" s="109"/>
      <c r="P603" s="109"/>
      <c r="Q603" s="109"/>
      <c r="S603" s="111"/>
      <c r="T603" s="60"/>
      <c r="U603" s="112"/>
    </row>
    <row r="604" spans="1:21" s="110" customFormat="1" ht="15.75" customHeight="1">
      <c r="A604" s="105"/>
      <c r="B604" s="106"/>
      <c r="C604" s="106"/>
      <c r="D604" s="107"/>
      <c r="E604" s="106"/>
      <c r="F604" s="106"/>
      <c r="G604" s="106"/>
      <c r="H604" s="60"/>
      <c r="I604" s="60"/>
      <c r="J604" s="108"/>
      <c r="K604" s="60"/>
      <c r="L604" s="109"/>
      <c r="M604" s="109"/>
      <c r="N604" s="109"/>
      <c r="O604" s="109"/>
      <c r="P604" s="109"/>
      <c r="Q604" s="109"/>
      <c r="S604" s="111"/>
      <c r="T604" s="60"/>
      <c r="U604" s="112"/>
    </row>
    <row r="605" spans="1:21" s="110" customFormat="1" ht="15.75" customHeight="1">
      <c r="A605" s="105"/>
      <c r="B605" s="106"/>
      <c r="C605" s="106"/>
      <c r="D605" s="107"/>
      <c r="E605" s="106"/>
      <c r="F605" s="106"/>
      <c r="G605" s="106"/>
      <c r="H605" s="60"/>
      <c r="I605" s="60"/>
      <c r="J605" s="108"/>
      <c r="K605" s="60"/>
      <c r="L605" s="109"/>
      <c r="M605" s="109"/>
      <c r="N605" s="109"/>
      <c r="O605" s="109"/>
      <c r="P605" s="109"/>
      <c r="Q605" s="109"/>
      <c r="S605" s="111"/>
      <c r="T605" s="60"/>
      <c r="U605" s="112"/>
    </row>
    <row r="606" spans="1:21" s="110" customFormat="1" ht="15.75" customHeight="1">
      <c r="A606" s="105"/>
      <c r="B606" s="106"/>
      <c r="C606" s="106"/>
      <c r="D606" s="107"/>
      <c r="E606" s="106"/>
      <c r="F606" s="106"/>
      <c r="G606" s="106"/>
      <c r="H606" s="60"/>
      <c r="I606" s="60"/>
      <c r="J606" s="108"/>
      <c r="K606" s="60"/>
      <c r="L606" s="109"/>
      <c r="M606" s="109"/>
      <c r="N606" s="109"/>
      <c r="O606" s="109"/>
      <c r="P606" s="109"/>
      <c r="Q606" s="109"/>
      <c r="S606" s="111"/>
      <c r="T606" s="60"/>
      <c r="U606" s="112"/>
    </row>
    <row r="607" spans="1:21" s="110" customFormat="1" ht="15.75" customHeight="1">
      <c r="A607" s="105"/>
      <c r="B607" s="106"/>
      <c r="C607" s="106"/>
      <c r="D607" s="107"/>
      <c r="E607" s="106"/>
      <c r="F607" s="106"/>
      <c r="G607" s="106"/>
      <c r="H607" s="60"/>
      <c r="I607" s="60"/>
      <c r="J607" s="108"/>
      <c r="K607" s="60"/>
      <c r="L607" s="109"/>
      <c r="M607" s="109"/>
      <c r="N607" s="109"/>
      <c r="O607" s="109"/>
      <c r="P607" s="109"/>
      <c r="Q607" s="109"/>
      <c r="S607" s="111"/>
      <c r="T607" s="60"/>
      <c r="U607" s="112"/>
    </row>
    <row r="608" spans="1:21" s="110" customFormat="1" ht="15.75" customHeight="1">
      <c r="A608" s="105"/>
      <c r="B608" s="106"/>
      <c r="C608" s="106"/>
      <c r="D608" s="107"/>
      <c r="E608" s="106"/>
      <c r="F608" s="106"/>
      <c r="G608" s="106"/>
      <c r="H608" s="60"/>
      <c r="I608" s="60"/>
      <c r="J608" s="108"/>
      <c r="K608" s="60"/>
      <c r="L608" s="109"/>
      <c r="M608" s="109"/>
      <c r="N608" s="109"/>
      <c r="O608" s="109"/>
      <c r="P608" s="109"/>
      <c r="Q608" s="109"/>
      <c r="S608" s="111"/>
      <c r="T608" s="60"/>
      <c r="U608" s="112"/>
    </row>
    <row r="609" spans="1:21" s="110" customFormat="1" ht="15.75" customHeight="1">
      <c r="A609" s="105"/>
      <c r="B609" s="106"/>
      <c r="C609" s="106"/>
      <c r="D609" s="107"/>
      <c r="E609" s="106"/>
      <c r="F609" s="106"/>
      <c r="G609" s="106"/>
      <c r="H609" s="60"/>
      <c r="I609" s="60"/>
      <c r="J609" s="108"/>
      <c r="K609" s="60"/>
      <c r="L609" s="109"/>
      <c r="M609" s="109"/>
      <c r="N609" s="109"/>
      <c r="O609" s="109"/>
      <c r="P609" s="109"/>
      <c r="Q609" s="109"/>
      <c r="S609" s="111"/>
      <c r="T609" s="60"/>
      <c r="U609" s="112"/>
    </row>
    <row r="610" spans="1:21" s="110" customFormat="1" ht="15.75" customHeight="1">
      <c r="A610" s="105"/>
      <c r="B610" s="106"/>
      <c r="C610" s="106"/>
      <c r="D610" s="107"/>
      <c r="E610" s="106"/>
      <c r="F610" s="106"/>
      <c r="G610" s="106"/>
      <c r="H610" s="60"/>
      <c r="I610" s="60"/>
      <c r="J610" s="108"/>
      <c r="K610" s="60"/>
      <c r="L610" s="109"/>
      <c r="M610" s="109"/>
      <c r="N610" s="109"/>
      <c r="O610" s="109"/>
      <c r="P610" s="109"/>
      <c r="Q610" s="109"/>
      <c r="S610" s="111"/>
      <c r="T610" s="60"/>
      <c r="U610" s="112"/>
    </row>
    <row r="611" spans="1:21" s="110" customFormat="1" ht="15.75" customHeight="1">
      <c r="A611" s="105"/>
      <c r="B611" s="106"/>
      <c r="C611" s="106"/>
      <c r="D611" s="107"/>
      <c r="E611" s="106"/>
      <c r="F611" s="106"/>
      <c r="G611" s="106"/>
      <c r="H611" s="60"/>
      <c r="I611" s="60"/>
      <c r="J611" s="108"/>
      <c r="K611" s="60"/>
      <c r="L611" s="109"/>
      <c r="M611" s="109"/>
      <c r="N611" s="109"/>
      <c r="O611" s="109"/>
      <c r="P611" s="109"/>
      <c r="Q611" s="109"/>
      <c r="S611" s="111"/>
      <c r="T611" s="60"/>
      <c r="U611" s="112"/>
    </row>
    <row r="612" spans="1:21" s="110" customFormat="1" ht="15.75" customHeight="1">
      <c r="A612" s="105"/>
      <c r="B612" s="106"/>
      <c r="C612" s="106"/>
      <c r="D612" s="107"/>
      <c r="E612" s="106"/>
      <c r="F612" s="106"/>
      <c r="G612" s="106"/>
      <c r="H612" s="60"/>
      <c r="I612" s="60"/>
      <c r="J612" s="108"/>
      <c r="K612" s="60"/>
      <c r="L612" s="109"/>
      <c r="M612" s="109"/>
      <c r="N612" s="109"/>
      <c r="O612" s="109"/>
      <c r="P612" s="109"/>
      <c r="Q612" s="109"/>
      <c r="S612" s="111"/>
      <c r="T612" s="60"/>
      <c r="U612" s="112"/>
    </row>
    <row r="613" spans="1:21" s="110" customFormat="1" ht="15.75" customHeight="1">
      <c r="A613" s="105"/>
      <c r="B613" s="106"/>
      <c r="C613" s="106"/>
      <c r="D613" s="107"/>
      <c r="E613" s="106"/>
      <c r="F613" s="106"/>
      <c r="G613" s="106"/>
      <c r="H613" s="60"/>
      <c r="I613" s="60"/>
      <c r="J613" s="108"/>
      <c r="K613" s="60"/>
      <c r="L613" s="109"/>
      <c r="M613" s="109"/>
      <c r="N613" s="109"/>
      <c r="O613" s="109"/>
      <c r="P613" s="109"/>
      <c r="Q613" s="109"/>
      <c r="S613" s="111"/>
      <c r="T613" s="60"/>
      <c r="U613" s="112"/>
    </row>
    <row r="614" spans="1:21" s="110" customFormat="1" ht="15.75" customHeight="1">
      <c r="A614" s="105"/>
      <c r="B614" s="106"/>
      <c r="C614" s="106"/>
      <c r="D614" s="107"/>
      <c r="E614" s="106"/>
      <c r="F614" s="106"/>
      <c r="G614" s="106"/>
      <c r="H614" s="60"/>
      <c r="I614" s="60"/>
      <c r="J614" s="108"/>
      <c r="K614" s="60"/>
      <c r="L614" s="109"/>
      <c r="M614" s="109"/>
      <c r="N614" s="109"/>
      <c r="O614" s="109"/>
      <c r="P614" s="109"/>
      <c r="Q614" s="109"/>
      <c r="S614" s="111"/>
      <c r="T614" s="60"/>
      <c r="U614" s="112"/>
    </row>
    <row r="615" spans="1:21" s="110" customFormat="1" ht="15.75" customHeight="1">
      <c r="A615" s="105"/>
      <c r="B615" s="106"/>
      <c r="C615" s="106"/>
      <c r="D615" s="107"/>
      <c r="E615" s="106"/>
      <c r="F615" s="106"/>
      <c r="G615" s="106"/>
      <c r="H615" s="60"/>
      <c r="I615" s="60"/>
      <c r="J615" s="108"/>
      <c r="K615" s="60"/>
      <c r="L615" s="109"/>
      <c r="M615" s="109"/>
      <c r="N615" s="109"/>
      <c r="O615" s="109"/>
      <c r="P615" s="109"/>
      <c r="Q615" s="109"/>
      <c r="S615" s="111"/>
      <c r="T615" s="60"/>
      <c r="U615" s="112"/>
    </row>
    <row r="616" spans="1:21" s="110" customFormat="1" ht="15.75" customHeight="1">
      <c r="A616" s="105"/>
      <c r="B616" s="106"/>
      <c r="C616" s="106"/>
      <c r="D616" s="107"/>
      <c r="E616" s="106"/>
      <c r="F616" s="106"/>
      <c r="G616" s="106"/>
      <c r="H616" s="60"/>
      <c r="I616" s="60"/>
      <c r="J616" s="108"/>
      <c r="K616" s="60"/>
      <c r="L616" s="109"/>
      <c r="M616" s="109"/>
      <c r="N616" s="109"/>
      <c r="O616" s="109"/>
      <c r="P616" s="109"/>
      <c r="Q616" s="109"/>
      <c r="S616" s="111"/>
      <c r="T616" s="60"/>
      <c r="U616" s="112"/>
    </row>
    <row r="617" spans="1:21" s="110" customFormat="1" ht="15.75" customHeight="1">
      <c r="A617" s="105"/>
      <c r="B617" s="106"/>
      <c r="C617" s="106"/>
      <c r="D617" s="107"/>
      <c r="E617" s="106"/>
      <c r="F617" s="106"/>
      <c r="G617" s="106"/>
      <c r="H617" s="60"/>
      <c r="I617" s="60"/>
      <c r="J617" s="108"/>
      <c r="K617" s="60"/>
      <c r="L617" s="109"/>
      <c r="M617" s="109"/>
      <c r="N617" s="109"/>
      <c r="O617" s="109"/>
      <c r="P617" s="109"/>
      <c r="Q617" s="109"/>
      <c r="S617" s="111"/>
      <c r="T617" s="60"/>
      <c r="U617" s="112"/>
    </row>
    <row r="618" spans="1:21" s="110" customFormat="1" ht="15.75" customHeight="1">
      <c r="A618" s="105"/>
      <c r="B618" s="106"/>
      <c r="C618" s="106"/>
      <c r="D618" s="107"/>
      <c r="E618" s="106"/>
      <c r="F618" s="106"/>
      <c r="G618" s="106"/>
      <c r="H618" s="60"/>
      <c r="I618" s="60"/>
      <c r="J618" s="108"/>
      <c r="K618" s="60"/>
      <c r="L618" s="109"/>
      <c r="M618" s="109"/>
      <c r="N618" s="109"/>
      <c r="O618" s="109"/>
      <c r="P618" s="109"/>
      <c r="Q618" s="109"/>
      <c r="S618" s="111"/>
      <c r="T618" s="60"/>
      <c r="U618" s="112"/>
    </row>
    <row r="619" spans="1:21" s="110" customFormat="1" ht="15.75" customHeight="1">
      <c r="A619" s="105"/>
      <c r="B619" s="106"/>
      <c r="C619" s="106"/>
      <c r="D619" s="107"/>
      <c r="E619" s="106"/>
      <c r="F619" s="106"/>
      <c r="G619" s="106"/>
      <c r="H619" s="60"/>
      <c r="I619" s="60"/>
      <c r="J619" s="108"/>
      <c r="K619" s="60"/>
      <c r="L619" s="109"/>
      <c r="M619" s="109"/>
      <c r="N619" s="109"/>
      <c r="O619" s="109"/>
      <c r="P619" s="109"/>
      <c r="Q619" s="109"/>
      <c r="S619" s="111"/>
      <c r="T619" s="60"/>
      <c r="U619" s="112"/>
    </row>
    <row r="620" spans="1:21" s="110" customFormat="1" ht="15.75" customHeight="1">
      <c r="A620" s="105"/>
      <c r="B620" s="106"/>
      <c r="C620" s="106"/>
      <c r="D620" s="107"/>
      <c r="E620" s="106"/>
      <c r="F620" s="106"/>
      <c r="G620" s="106"/>
      <c r="H620" s="60"/>
      <c r="I620" s="60"/>
      <c r="J620" s="108"/>
      <c r="K620" s="60"/>
      <c r="L620" s="109"/>
      <c r="M620" s="109"/>
      <c r="N620" s="109"/>
      <c r="O620" s="109"/>
      <c r="P620" s="109"/>
      <c r="Q620" s="109"/>
      <c r="S620" s="111"/>
      <c r="T620" s="60"/>
      <c r="U620" s="112"/>
    </row>
    <row r="621" spans="1:21" s="110" customFormat="1" ht="15.75" customHeight="1">
      <c r="A621" s="105"/>
      <c r="B621" s="106"/>
      <c r="C621" s="106"/>
      <c r="D621" s="107"/>
      <c r="E621" s="106"/>
      <c r="F621" s="106"/>
      <c r="G621" s="106"/>
      <c r="H621" s="60"/>
      <c r="I621" s="60"/>
      <c r="J621" s="108"/>
      <c r="K621" s="60"/>
      <c r="L621" s="109"/>
      <c r="M621" s="109"/>
      <c r="N621" s="109"/>
      <c r="O621" s="109"/>
      <c r="P621" s="109"/>
      <c r="Q621" s="109"/>
      <c r="S621" s="111"/>
      <c r="T621" s="60"/>
      <c r="U621" s="112"/>
    </row>
    <row r="622" spans="1:21" s="110" customFormat="1" ht="15.75" customHeight="1">
      <c r="A622" s="105"/>
      <c r="B622" s="106"/>
      <c r="C622" s="106"/>
      <c r="D622" s="107"/>
      <c r="E622" s="106"/>
      <c r="F622" s="106"/>
      <c r="G622" s="106"/>
      <c r="H622" s="60"/>
      <c r="I622" s="60"/>
      <c r="J622" s="108"/>
      <c r="K622" s="60"/>
      <c r="L622" s="109"/>
      <c r="M622" s="109"/>
      <c r="N622" s="109"/>
      <c r="O622" s="109"/>
      <c r="P622" s="109"/>
      <c r="Q622" s="109"/>
      <c r="S622" s="111"/>
      <c r="T622" s="60"/>
      <c r="U622" s="112"/>
    </row>
    <row r="623" spans="1:21" s="110" customFormat="1" ht="15.75" customHeight="1">
      <c r="A623" s="105"/>
      <c r="B623" s="106"/>
      <c r="C623" s="106"/>
      <c r="D623" s="107"/>
      <c r="E623" s="106"/>
      <c r="F623" s="106"/>
      <c r="G623" s="106"/>
      <c r="H623" s="60"/>
      <c r="I623" s="60"/>
      <c r="J623" s="108"/>
      <c r="K623" s="60"/>
      <c r="L623" s="109"/>
      <c r="M623" s="109"/>
      <c r="N623" s="109"/>
      <c r="O623" s="109"/>
      <c r="P623" s="109"/>
      <c r="Q623" s="109"/>
      <c r="S623" s="111"/>
      <c r="T623" s="60"/>
      <c r="U623" s="112"/>
    </row>
    <row r="624" spans="1:21" s="110" customFormat="1" ht="15.75" customHeight="1">
      <c r="A624" s="105"/>
      <c r="B624" s="106"/>
      <c r="C624" s="106"/>
      <c r="D624" s="107"/>
      <c r="E624" s="106"/>
      <c r="F624" s="106"/>
      <c r="G624" s="106"/>
      <c r="H624" s="60"/>
      <c r="I624" s="60"/>
      <c r="J624" s="108"/>
      <c r="K624" s="60"/>
      <c r="L624" s="109"/>
      <c r="M624" s="109"/>
      <c r="N624" s="109"/>
      <c r="O624" s="109"/>
      <c r="P624" s="109"/>
      <c r="Q624" s="109"/>
      <c r="S624" s="111"/>
      <c r="T624" s="60"/>
      <c r="U624" s="112"/>
    </row>
    <row r="625" spans="1:21" s="110" customFormat="1" ht="15.75" customHeight="1">
      <c r="A625" s="105"/>
      <c r="B625" s="106"/>
      <c r="C625" s="106"/>
      <c r="D625" s="107"/>
      <c r="E625" s="106"/>
      <c r="F625" s="106"/>
      <c r="G625" s="106"/>
      <c r="H625" s="60"/>
      <c r="I625" s="60"/>
      <c r="J625" s="108"/>
      <c r="K625" s="60"/>
      <c r="L625" s="109"/>
      <c r="M625" s="109"/>
      <c r="N625" s="109"/>
      <c r="O625" s="109"/>
      <c r="P625" s="109"/>
      <c r="Q625" s="109"/>
      <c r="S625" s="111"/>
      <c r="T625" s="60"/>
      <c r="U625" s="112"/>
    </row>
    <row r="626" spans="1:21" s="110" customFormat="1" ht="15.75" customHeight="1">
      <c r="A626" s="105"/>
      <c r="B626" s="106"/>
      <c r="C626" s="106"/>
      <c r="D626" s="107"/>
      <c r="E626" s="106"/>
      <c r="F626" s="106"/>
      <c r="G626" s="106"/>
      <c r="H626" s="60"/>
      <c r="I626" s="60"/>
      <c r="J626" s="108"/>
      <c r="K626" s="60"/>
      <c r="L626" s="109"/>
      <c r="M626" s="109"/>
      <c r="N626" s="109"/>
      <c r="O626" s="109"/>
      <c r="P626" s="109"/>
      <c r="Q626" s="109"/>
      <c r="S626" s="111"/>
      <c r="T626" s="60"/>
      <c r="U626" s="112"/>
    </row>
    <row r="627" spans="1:21" s="110" customFormat="1" ht="15.75" customHeight="1">
      <c r="A627" s="105"/>
      <c r="B627" s="106"/>
      <c r="C627" s="106"/>
      <c r="D627" s="107"/>
      <c r="E627" s="106"/>
      <c r="F627" s="106"/>
      <c r="G627" s="106"/>
      <c r="H627" s="60"/>
      <c r="I627" s="60"/>
      <c r="J627" s="108"/>
      <c r="K627" s="60"/>
      <c r="L627" s="109"/>
      <c r="M627" s="109"/>
      <c r="N627" s="109"/>
      <c r="O627" s="109"/>
      <c r="P627" s="109"/>
      <c r="Q627" s="109"/>
      <c r="S627" s="111"/>
      <c r="T627" s="60"/>
      <c r="U627" s="112"/>
    </row>
    <row r="628" spans="1:21" s="110" customFormat="1" ht="15.75" customHeight="1">
      <c r="A628" s="105"/>
      <c r="B628" s="106"/>
      <c r="C628" s="106"/>
      <c r="D628" s="107"/>
      <c r="E628" s="106"/>
      <c r="F628" s="106"/>
      <c r="G628" s="106"/>
      <c r="H628" s="60"/>
      <c r="I628" s="60"/>
      <c r="J628" s="108"/>
      <c r="K628" s="60"/>
      <c r="L628" s="109"/>
      <c r="M628" s="109"/>
      <c r="N628" s="109"/>
      <c r="O628" s="109"/>
      <c r="P628" s="109"/>
      <c r="Q628" s="109"/>
      <c r="S628" s="111"/>
      <c r="T628" s="60"/>
      <c r="U628" s="112"/>
    </row>
    <row r="629" spans="1:21" s="110" customFormat="1" ht="15.75" customHeight="1">
      <c r="A629" s="105"/>
      <c r="B629" s="106"/>
      <c r="C629" s="106"/>
      <c r="D629" s="107"/>
      <c r="E629" s="106"/>
      <c r="F629" s="106"/>
      <c r="G629" s="106"/>
      <c r="H629" s="60"/>
      <c r="I629" s="60"/>
      <c r="J629" s="108"/>
      <c r="K629" s="60"/>
      <c r="L629" s="109"/>
      <c r="M629" s="109"/>
      <c r="N629" s="109"/>
      <c r="O629" s="109"/>
      <c r="P629" s="109"/>
      <c r="Q629" s="109"/>
      <c r="S629" s="111"/>
      <c r="T629" s="60"/>
      <c r="U629" s="112"/>
    </row>
    <row r="630" spans="1:21" s="110" customFormat="1" ht="15.75" customHeight="1">
      <c r="A630" s="105"/>
      <c r="B630" s="106"/>
      <c r="C630" s="106"/>
      <c r="D630" s="107"/>
      <c r="E630" s="106"/>
      <c r="F630" s="106"/>
      <c r="G630" s="106"/>
      <c r="H630" s="60"/>
      <c r="I630" s="60"/>
      <c r="J630" s="108"/>
      <c r="K630" s="60"/>
      <c r="L630" s="109"/>
      <c r="M630" s="109"/>
      <c r="N630" s="109"/>
      <c r="O630" s="109"/>
      <c r="P630" s="109"/>
      <c r="Q630" s="109"/>
      <c r="S630" s="111"/>
      <c r="T630" s="60"/>
      <c r="U630" s="112"/>
    </row>
    <row r="631" spans="1:21" s="110" customFormat="1" ht="15.75" customHeight="1">
      <c r="A631" s="105"/>
      <c r="B631" s="106"/>
      <c r="C631" s="106"/>
      <c r="D631" s="107"/>
      <c r="E631" s="106"/>
      <c r="F631" s="106"/>
      <c r="G631" s="106"/>
      <c r="H631" s="60"/>
      <c r="I631" s="60"/>
      <c r="J631" s="108"/>
      <c r="K631" s="60"/>
      <c r="L631" s="109"/>
      <c r="M631" s="109"/>
      <c r="N631" s="109"/>
      <c r="O631" s="109"/>
      <c r="P631" s="109"/>
      <c r="Q631" s="109"/>
      <c r="S631" s="111"/>
      <c r="T631" s="60"/>
      <c r="U631" s="112"/>
    </row>
    <row r="632" spans="1:21" s="110" customFormat="1" ht="15.75" customHeight="1">
      <c r="A632" s="105"/>
      <c r="B632" s="106"/>
      <c r="C632" s="106"/>
      <c r="D632" s="107"/>
      <c r="E632" s="106"/>
      <c r="F632" s="106"/>
      <c r="G632" s="106"/>
      <c r="H632" s="60"/>
      <c r="I632" s="60"/>
      <c r="J632" s="108"/>
      <c r="K632" s="60"/>
      <c r="L632" s="109"/>
      <c r="M632" s="109"/>
      <c r="N632" s="109"/>
      <c r="O632" s="109"/>
      <c r="P632" s="109"/>
      <c r="Q632" s="109"/>
      <c r="S632" s="111"/>
      <c r="T632" s="60"/>
      <c r="U632" s="112"/>
    </row>
    <row r="633" spans="1:21" s="110" customFormat="1" ht="15.75" customHeight="1">
      <c r="A633" s="105"/>
      <c r="B633" s="106"/>
      <c r="C633" s="106"/>
      <c r="D633" s="107"/>
      <c r="E633" s="106"/>
      <c r="F633" s="106"/>
      <c r="G633" s="106"/>
      <c r="H633" s="60"/>
      <c r="I633" s="60"/>
      <c r="J633" s="108"/>
      <c r="K633" s="60"/>
      <c r="L633" s="109"/>
      <c r="M633" s="109"/>
      <c r="N633" s="109"/>
      <c r="O633" s="109"/>
      <c r="P633" s="109"/>
      <c r="Q633" s="109"/>
      <c r="S633" s="111"/>
      <c r="T633" s="60"/>
      <c r="U633" s="112"/>
    </row>
    <row r="634" spans="1:21" s="110" customFormat="1" ht="15.75" customHeight="1">
      <c r="A634" s="105"/>
      <c r="B634" s="106"/>
      <c r="C634" s="106"/>
      <c r="D634" s="107"/>
      <c r="E634" s="106"/>
      <c r="F634" s="106"/>
      <c r="G634" s="106"/>
      <c r="H634" s="60"/>
      <c r="I634" s="60"/>
      <c r="J634" s="108"/>
      <c r="K634" s="60"/>
      <c r="L634" s="109"/>
      <c r="M634" s="109"/>
      <c r="N634" s="109"/>
      <c r="O634" s="109"/>
      <c r="P634" s="109"/>
      <c r="Q634" s="109"/>
      <c r="S634" s="111"/>
      <c r="T634" s="60"/>
      <c r="U634" s="112"/>
    </row>
    <row r="635" spans="1:21" s="110" customFormat="1" ht="15.75" customHeight="1">
      <c r="A635" s="105"/>
      <c r="B635" s="106"/>
      <c r="C635" s="106"/>
      <c r="D635" s="107"/>
      <c r="E635" s="106"/>
      <c r="F635" s="106"/>
      <c r="G635" s="106"/>
      <c r="H635" s="60"/>
      <c r="I635" s="60"/>
      <c r="J635" s="108"/>
      <c r="K635" s="60"/>
      <c r="L635" s="109"/>
      <c r="M635" s="109"/>
      <c r="N635" s="109"/>
      <c r="O635" s="109"/>
      <c r="P635" s="109"/>
      <c r="Q635" s="109"/>
      <c r="S635" s="111"/>
      <c r="T635" s="60"/>
      <c r="U635" s="112"/>
    </row>
    <row r="636" spans="1:21" s="110" customFormat="1" ht="15.75" customHeight="1">
      <c r="A636" s="105"/>
      <c r="B636" s="106"/>
      <c r="C636" s="106"/>
      <c r="D636" s="107"/>
      <c r="E636" s="106"/>
      <c r="F636" s="106"/>
      <c r="G636" s="106"/>
      <c r="H636" s="60"/>
      <c r="I636" s="60"/>
      <c r="J636" s="108"/>
      <c r="K636" s="60"/>
      <c r="L636" s="109"/>
      <c r="M636" s="109"/>
      <c r="N636" s="109"/>
      <c r="O636" s="109"/>
      <c r="P636" s="109"/>
      <c r="Q636" s="109"/>
      <c r="S636" s="111"/>
      <c r="T636" s="60"/>
      <c r="U636" s="112"/>
    </row>
    <row r="637" spans="1:21" s="110" customFormat="1" ht="15.75" customHeight="1">
      <c r="A637" s="105"/>
      <c r="B637" s="106"/>
      <c r="C637" s="106"/>
      <c r="D637" s="107"/>
      <c r="E637" s="106"/>
      <c r="F637" s="106"/>
      <c r="G637" s="106"/>
      <c r="H637" s="60"/>
      <c r="I637" s="60"/>
      <c r="J637" s="108"/>
      <c r="K637" s="60"/>
      <c r="L637" s="109"/>
      <c r="M637" s="109"/>
      <c r="N637" s="109"/>
      <c r="O637" s="109"/>
      <c r="P637" s="109"/>
      <c r="Q637" s="109"/>
      <c r="S637" s="111"/>
      <c r="T637" s="60"/>
      <c r="U637" s="112"/>
    </row>
    <row r="638" spans="1:21" s="110" customFormat="1" ht="15.75" customHeight="1">
      <c r="A638" s="105"/>
      <c r="B638" s="106"/>
      <c r="C638" s="106"/>
      <c r="D638" s="107"/>
      <c r="E638" s="106"/>
      <c r="F638" s="106"/>
      <c r="G638" s="106"/>
      <c r="H638" s="60"/>
      <c r="I638" s="60"/>
      <c r="J638" s="108"/>
      <c r="K638" s="60"/>
      <c r="L638" s="109"/>
      <c r="M638" s="109"/>
      <c r="N638" s="109"/>
      <c r="O638" s="109"/>
      <c r="P638" s="109"/>
      <c r="Q638" s="109"/>
      <c r="S638" s="111"/>
      <c r="T638" s="60"/>
      <c r="U638" s="112"/>
    </row>
    <row r="639" spans="1:21" s="110" customFormat="1" ht="15.75" customHeight="1">
      <c r="A639" s="105"/>
      <c r="B639" s="106"/>
      <c r="C639" s="106"/>
      <c r="D639" s="107"/>
      <c r="E639" s="106"/>
      <c r="F639" s="106"/>
      <c r="G639" s="106"/>
      <c r="H639" s="60"/>
      <c r="I639" s="60"/>
      <c r="J639" s="108"/>
      <c r="K639" s="60"/>
      <c r="L639" s="109"/>
      <c r="M639" s="109"/>
      <c r="N639" s="109"/>
      <c r="O639" s="109"/>
      <c r="P639" s="109"/>
      <c r="Q639" s="109"/>
      <c r="S639" s="111"/>
      <c r="T639" s="60"/>
      <c r="U639" s="112"/>
    </row>
    <row r="640" spans="1:21" s="110" customFormat="1" ht="15.75" customHeight="1">
      <c r="A640" s="105"/>
      <c r="B640" s="106"/>
      <c r="C640" s="106"/>
      <c r="D640" s="107"/>
      <c r="E640" s="106"/>
      <c r="F640" s="106"/>
      <c r="G640" s="106"/>
      <c r="H640" s="60"/>
      <c r="I640" s="60"/>
      <c r="J640" s="108"/>
      <c r="K640" s="60"/>
      <c r="L640" s="109"/>
      <c r="M640" s="109"/>
      <c r="N640" s="109"/>
      <c r="O640" s="109"/>
      <c r="P640" s="109"/>
      <c r="Q640" s="109"/>
      <c r="S640" s="111"/>
      <c r="T640" s="60"/>
      <c r="U640" s="112"/>
    </row>
    <row r="641" spans="1:21" s="110" customFormat="1" ht="15.75" customHeight="1">
      <c r="A641" s="105"/>
      <c r="B641" s="106"/>
      <c r="C641" s="106"/>
      <c r="D641" s="107"/>
      <c r="E641" s="106"/>
      <c r="F641" s="106"/>
      <c r="G641" s="106"/>
      <c r="H641" s="60"/>
      <c r="I641" s="60"/>
      <c r="J641" s="108"/>
      <c r="K641" s="60"/>
      <c r="L641" s="109"/>
      <c r="M641" s="109"/>
      <c r="N641" s="109"/>
      <c r="O641" s="109"/>
      <c r="P641" s="109"/>
      <c r="Q641" s="109"/>
      <c r="S641" s="111"/>
      <c r="T641" s="60"/>
      <c r="U641" s="112"/>
    </row>
    <row r="642" spans="1:21" s="110" customFormat="1" ht="15.75" customHeight="1">
      <c r="A642" s="105"/>
      <c r="B642" s="106"/>
      <c r="C642" s="106"/>
      <c r="D642" s="107"/>
      <c r="E642" s="106"/>
      <c r="F642" s="106"/>
      <c r="G642" s="106"/>
      <c r="H642" s="60"/>
      <c r="I642" s="60"/>
      <c r="J642" s="108"/>
      <c r="K642" s="60"/>
      <c r="L642" s="109"/>
      <c r="M642" s="109"/>
      <c r="N642" s="109"/>
      <c r="O642" s="109"/>
      <c r="P642" s="109"/>
      <c r="Q642" s="109"/>
      <c r="S642" s="111"/>
      <c r="T642" s="60"/>
      <c r="U642" s="112"/>
    </row>
    <row r="643" spans="1:21" s="110" customFormat="1" ht="15.75" customHeight="1">
      <c r="A643" s="105"/>
      <c r="B643" s="106"/>
      <c r="C643" s="106"/>
      <c r="D643" s="107"/>
      <c r="E643" s="106"/>
      <c r="F643" s="106"/>
      <c r="G643" s="106"/>
      <c r="H643" s="60"/>
      <c r="I643" s="60"/>
      <c r="J643" s="108"/>
      <c r="K643" s="60"/>
      <c r="L643" s="109"/>
      <c r="M643" s="109"/>
      <c r="N643" s="109"/>
      <c r="O643" s="109"/>
      <c r="P643" s="109"/>
      <c r="Q643" s="109"/>
      <c r="S643" s="111"/>
      <c r="T643" s="60"/>
      <c r="U643" s="112"/>
    </row>
    <row r="644" spans="1:21" s="110" customFormat="1" ht="15.75" customHeight="1">
      <c r="A644" s="105"/>
      <c r="B644" s="106"/>
      <c r="C644" s="106"/>
      <c r="D644" s="107"/>
      <c r="E644" s="106"/>
      <c r="F644" s="106"/>
      <c r="G644" s="106"/>
      <c r="H644" s="60"/>
      <c r="I644" s="60"/>
      <c r="J644" s="108"/>
      <c r="K644" s="60"/>
      <c r="L644" s="109"/>
      <c r="M644" s="109"/>
      <c r="N644" s="109"/>
      <c r="O644" s="109"/>
      <c r="P644" s="109"/>
      <c r="Q644" s="109"/>
      <c r="S644" s="111"/>
      <c r="T644" s="60"/>
      <c r="U644" s="112"/>
    </row>
    <row r="645" spans="1:21" s="110" customFormat="1" ht="15.75" customHeight="1">
      <c r="A645" s="105"/>
      <c r="B645" s="106"/>
      <c r="C645" s="106"/>
      <c r="D645" s="107"/>
      <c r="E645" s="106"/>
      <c r="F645" s="106"/>
      <c r="G645" s="106"/>
      <c r="H645" s="60"/>
      <c r="I645" s="60"/>
      <c r="J645" s="108"/>
      <c r="K645" s="60"/>
      <c r="L645" s="109"/>
      <c r="M645" s="109"/>
      <c r="N645" s="109"/>
      <c r="O645" s="109"/>
      <c r="P645" s="109"/>
      <c r="Q645" s="109"/>
      <c r="S645" s="111"/>
      <c r="T645" s="60"/>
      <c r="U645" s="112"/>
    </row>
    <row r="646" spans="1:21" s="110" customFormat="1" ht="15.75" customHeight="1">
      <c r="A646" s="105"/>
      <c r="B646" s="106"/>
      <c r="C646" s="106"/>
      <c r="D646" s="107"/>
      <c r="E646" s="106"/>
      <c r="F646" s="106"/>
      <c r="G646" s="106"/>
      <c r="H646" s="60"/>
      <c r="I646" s="60"/>
      <c r="J646" s="108"/>
      <c r="K646" s="60"/>
      <c r="L646" s="109"/>
      <c r="M646" s="109"/>
      <c r="N646" s="109"/>
      <c r="O646" s="109"/>
      <c r="P646" s="109"/>
      <c r="Q646" s="109"/>
      <c r="S646" s="111"/>
      <c r="T646" s="60"/>
      <c r="U646" s="112"/>
    </row>
    <row r="647" spans="1:21" s="110" customFormat="1" ht="15.75" customHeight="1">
      <c r="A647" s="105"/>
      <c r="B647" s="106"/>
      <c r="C647" s="106"/>
      <c r="D647" s="107"/>
      <c r="E647" s="106"/>
      <c r="F647" s="106"/>
      <c r="G647" s="106"/>
      <c r="H647" s="60"/>
      <c r="I647" s="60"/>
      <c r="J647" s="108"/>
      <c r="K647" s="60"/>
      <c r="L647" s="109"/>
      <c r="M647" s="109"/>
      <c r="N647" s="109"/>
      <c r="O647" s="109"/>
      <c r="P647" s="109"/>
      <c r="Q647" s="109"/>
      <c r="S647" s="111"/>
      <c r="T647" s="60"/>
      <c r="U647" s="112"/>
    </row>
    <row r="648" spans="1:21" s="110" customFormat="1" ht="15.75" customHeight="1">
      <c r="A648" s="105"/>
      <c r="B648" s="106"/>
      <c r="C648" s="106"/>
      <c r="D648" s="107"/>
      <c r="E648" s="106"/>
      <c r="F648" s="106"/>
      <c r="G648" s="106"/>
      <c r="H648" s="60"/>
      <c r="I648" s="60"/>
      <c r="J648" s="108"/>
      <c r="K648" s="60"/>
      <c r="L648" s="109"/>
      <c r="M648" s="109"/>
      <c r="N648" s="109"/>
      <c r="O648" s="109"/>
      <c r="P648" s="109"/>
      <c r="Q648" s="109"/>
      <c r="S648" s="111"/>
      <c r="T648" s="60"/>
      <c r="U648" s="112"/>
    </row>
    <row r="649" spans="1:21" s="110" customFormat="1" ht="15.75" customHeight="1">
      <c r="A649" s="105"/>
      <c r="B649" s="106"/>
      <c r="C649" s="106"/>
      <c r="D649" s="107"/>
      <c r="E649" s="106"/>
      <c r="F649" s="106"/>
      <c r="G649" s="106"/>
      <c r="H649" s="60"/>
      <c r="I649" s="60"/>
      <c r="J649" s="108"/>
      <c r="K649" s="60"/>
      <c r="L649" s="109"/>
      <c r="M649" s="109"/>
      <c r="N649" s="109"/>
      <c r="O649" s="109"/>
      <c r="P649" s="109"/>
      <c r="Q649" s="109"/>
      <c r="S649" s="111"/>
      <c r="T649" s="60"/>
      <c r="U649" s="112"/>
    </row>
    <row r="650" spans="1:21" s="110" customFormat="1" ht="15.75" customHeight="1">
      <c r="A650" s="105"/>
      <c r="B650" s="106"/>
      <c r="C650" s="106"/>
      <c r="D650" s="107"/>
      <c r="E650" s="106"/>
      <c r="F650" s="106"/>
      <c r="G650" s="106"/>
      <c r="H650" s="60"/>
      <c r="I650" s="60"/>
      <c r="J650" s="108"/>
      <c r="K650" s="60"/>
      <c r="L650" s="109"/>
      <c r="M650" s="109"/>
      <c r="N650" s="109"/>
      <c r="O650" s="109"/>
      <c r="P650" s="109"/>
      <c r="Q650" s="109"/>
      <c r="S650" s="111"/>
      <c r="T650" s="60"/>
      <c r="U650" s="112"/>
    </row>
    <row r="651" spans="1:21" s="110" customFormat="1" ht="15.75" customHeight="1">
      <c r="A651" s="105"/>
      <c r="B651" s="106"/>
      <c r="C651" s="106"/>
      <c r="D651" s="107"/>
      <c r="E651" s="106"/>
      <c r="F651" s="106"/>
      <c r="G651" s="106"/>
      <c r="H651" s="60"/>
      <c r="I651" s="60"/>
      <c r="J651" s="108"/>
      <c r="K651" s="60"/>
      <c r="L651" s="109"/>
      <c r="M651" s="109"/>
      <c r="N651" s="109"/>
      <c r="O651" s="109"/>
      <c r="P651" s="109"/>
      <c r="Q651" s="109"/>
      <c r="S651" s="111"/>
      <c r="T651" s="60"/>
      <c r="U651" s="112"/>
    </row>
    <row r="652" spans="1:21" s="110" customFormat="1" ht="15.75" customHeight="1">
      <c r="A652" s="105"/>
      <c r="B652" s="106"/>
      <c r="C652" s="106"/>
      <c r="D652" s="107"/>
      <c r="E652" s="106"/>
      <c r="F652" s="106"/>
      <c r="G652" s="106"/>
      <c r="H652" s="60"/>
      <c r="I652" s="60"/>
      <c r="J652" s="108"/>
      <c r="K652" s="60"/>
      <c r="L652" s="109"/>
      <c r="M652" s="109"/>
      <c r="N652" s="109"/>
      <c r="O652" s="109"/>
      <c r="P652" s="109"/>
      <c r="Q652" s="109"/>
      <c r="S652" s="111"/>
      <c r="T652" s="60"/>
      <c r="U652" s="112"/>
    </row>
    <row r="653" spans="1:21" s="110" customFormat="1" ht="15.75" customHeight="1">
      <c r="A653" s="105"/>
      <c r="B653" s="106"/>
      <c r="C653" s="106"/>
      <c r="D653" s="107"/>
      <c r="E653" s="106"/>
      <c r="F653" s="106"/>
      <c r="G653" s="106"/>
      <c r="H653" s="60"/>
      <c r="I653" s="60"/>
      <c r="J653" s="108"/>
      <c r="K653" s="60"/>
      <c r="L653" s="109"/>
      <c r="M653" s="109"/>
      <c r="N653" s="109"/>
      <c r="O653" s="109"/>
      <c r="P653" s="109"/>
      <c r="Q653" s="109"/>
      <c r="S653" s="111"/>
      <c r="T653" s="60"/>
      <c r="U653" s="112"/>
    </row>
    <row r="654" spans="1:21" s="110" customFormat="1" ht="15.75" customHeight="1">
      <c r="A654" s="105"/>
      <c r="B654" s="106"/>
      <c r="C654" s="106"/>
      <c r="D654" s="107"/>
      <c r="E654" s="106"/>
      <c r="F654" s="106"/>
      <c r="G654" s="106"/>
      <c r="H654" s="60"/>
      <c r="I654" s="60"/>
      <c r="J654" s="108"/>
      <c r="K654" s="60"/>
      <c r="L654" s="109"/>
      <c r="M654" s="109"/>
      <c r="N654" s="109"/>
      <c r="O654" s="109"/>
      <c r="P654" s="109"/>
      <c r="Q654" s="109"/>
      <c r="S654" s="111"/>
      <c r="T654" s="60"/>
      <c r="U654" s="112"/>
    </row>
    <row r="655" spans="1:21" s="110" customFormat="1" ht="15.75" customHeight="1">
      <c r="A655" s="105"/>
      <c r="B655" s="106"/>
      <c r="C655" s="106"/>
      <c r="D655" s="107"/>
      <c r="E655" s="106"/>
      <c r="F655" s="106"/>
      <c r="G655" s="106"/>
      <c r="H655" s="60"/>
      <c r="I655" s="60"/>
      <c r="J655" s="108"/>
      <c r="K655" s="60"/>
      <c r="L655" s="109"/>
      <c r="M655" s="109"/>
      <c r="N655" s="109"/>
      <c r="O655" s="109"/>
      <c r="P655" s="109"/>
      <c r="Q655" s="109"/>
      <c r="S655" s="111"/>
      <c r="T655" s="60"/>
      <c r="U655" s="112"/>
    </row>
    <row r="656" spans="1:21" s="110" customFormat="1" ht="15.75" customHeight="1">
      <c r="A656" s="105"/>
      <c r="B656" s="106"/>
      <c r="C656" s="106"/>
      <c r="D656" s="107"/>
      <c r="E656" s="106"/>
      <c r="F656" s="106"/>
      <c r="G656" s="106"/>
      <c r="H656" s="60"/>
      <c r="I656" s="60"/>
      <c r="J656" s="108"/>
      <c r="K656" s="60"/>
      <c r="L656" s="109"/>
      <c r="M656" s="109"/>
      <c r="N656" s="109"/>
      <c r="O656" s="109"/>
      <c r="P656" s="109"/>
      <c r="Q656" s="109"/>
      <c r="S656" s="111"/>
      <c r="T656" s="60"/>
      <c r="U656" s="112"/>
    </row>
    <row r="657" spans="1:21" s="110" customFormat="1" ht="15.75" customHeight="1">
      <c r="A657" s="105"/>
      <c r="B657" s="106"/>
      <c r="C657" s="106"/>
      <c r="D657" s="107"/>
      <c r="E657" s="106"/>
      <c r="F657" s="106"/>
      <c r="G657" s="106"/>
      <c r="H657" s="60"/>
      <c r="I657" s="60"/>
      <c r="J657" s="108"/>
      <c r="K657" s="60"/>
      <c r="L657" s="109"/>
      <c r="M657" s="109"/>
      <c r="N657" s="109"/>
      <c r="O657" s="109"/>
      <c r="P657" s="109"/>
      <c r="Q657" s="109"/>
      <c r="S657" s="111"/>
      <c r="T657" s="60"/>
      <c r="U657" s="112"/>
    </row>
    <row r="658" spans="1:21" s="110" customFormat="1" ht="15.75" customHeight="1">
      <c r="A658" s="105"/>
      <c r="B658" s="106"/>
      <c r="C658" s="106"/>
      <c r="D658" s="107"/>
      <c r="E658" s="106"/>
      <c r="F658" s="106"/>
      <c r="G658" s="106"/>
      <c r="H658" s="60"/>
      <c r="I658" s="60"/>
      <c r="J658" s="108"/>
      <c r="K658" s="60"/>
      <c r="L658" s="109"/>
      <c r="M658" s="109"/>
      <c r="N658" s="109"/>
      <c r="O658" s="109"/>
      <c r="P658" s="109"/>
      <c r="Q658" s="109"/>
      <c r="S658" s="111"/>
      <c r="T658" s="60"/>
      <c r="U658" s="112"/>
    </row>
    <row r="659" spans="1:21" s="110" customFormat="1" ht="15.75" customHeight="1">
      <c r="A659" s="105"/>
      <c r="B659" s="106"/>
      <c r="C659" s="106"/>
      <c r="D659" s="107"/>
      <c r="E659" s="106"/>
      <c r="F659" s="106"/>
      <c r="G659" s="106"/>
      <c r="H659" s="60"/>
      <c r="I659" s="60"/>
      <c r="J659" s="108"/>
      <c r="K659" s="60"/>
      <c r="L659" s="109"/>
      <c r="M659" s="109"/>
      <c r="N659" s="109"/>
      <c r="O659" s="109"/>
      <c r="P659" s="109"/>
      <c r="Q659" s="109"/>
      <c r="S659" s="111"/>
      <c r="T659" s="60"/>
      <c r="U659" s="112"/>
    </row>
    <row r="660" spans="1:21" s="110" customFormat="1" ht="15.75" customHeight="1">
      <c r="A660" s="105"/>
      <c r="B660" s="106"/>
      <c r="C660" s="106"/>
      <c r="D660" s="107"/>
      <c r="E660" s="106"/>
      <c r="F660" s="106"/>
      <c r="G660" s="106"/>
      <c r="H660" s="60"/>
      <c r="I660" s="60"/>
      <c r="J660" s="108"/>
      <c r="K660" s="60"/>
      <c r="L660" s="109"/>
      <c r="M660" s="109"/>
      <c r="N660" s="109"/>
      <c r="O660" s="109"/>
      <c r="P660" s="109"/>
      <c r="Q660" s="109"/>
      <c r="S660" s="111"/>
      <c r="T660" s="60"/>
      <c r="U660" s="112"/>
    </row>
    <row r="661" spans="1:21" s="110" customFormat="1" ht="15.75" customHeight="1">
      <c r="A661" s="105"/>
      <c r="B661" s="106"/>
      <c r="C661" s="106"/>
      <c r="D661" s="107"/>
      <c r="E661" s="106"/>
      <c r="F661" s="106"/>
      <c r="G661" s="106"/>
      <c r="H661" s="60"/>
      <c r="I661" s="60"/>
      <c r="J661" s="108"/>
      <c r="K661" s="60"/>
      <c r="L661" s="109"/>
      <c r="M661" s="109"/>
      <c r="N661" s="109"/>
      <c r="O661" s="109"/>
      <c r="P661" s="109"/>
      <c r="Q661" s="109"/>
      <c r="S661" s="111"/>
      <c r="T661" s="60"/>
      <c r="U661" s="112"/>
    </row>
    <row r="662" spans="1:21" s="110" customFormat="1" ht="15.75" customHeight="1">
      <c r="A662" s="105"/>
      <c r="B662" s="106"/>
      <c r="C662" s="106"/>
      <c r="D662" s="107"/>
      <c r="E662" s="106"/>
      <c r="F662" s="106"/>
      <c r="G662" s="106"/>
      <c r="H662" s="60"/>
      <c r="I662" s="60"/>
      <c r="J662" s="108"/>
      <c r="K662" s="60"/>
      <c r="L662" s="109"/>
      <c r="M662" s="109"/>
      <c r="N662" s="109"/>
      <c r="O662" s="109"/>
      <c r="P662" s="109"/>
      <c r="Q662" s="109"/>
      <c r="S662" s="111"/>
      <c r="T662" s="60"/>
      <c r="U662" s="112"/>
    </row>
    <row r="663" spans="1:21" s="110" customFormat="1" ht="15.75" customHeight="1">
      <c r="A663" s="105"/>
      <c r="B663" s="106"/>
      <c r="C663" s="106"/>
      <c r="D663" s="107"/>
      <c r="E663" s="106"/>
      <c r="F663" s="106"/>
      <c r="G663" s="106"/>
      <c r="H663" s="60"/>
      <c r="I663" s="60"/>
      <c r="J663" s="108"/>
      <c r="K663" s="60"/>
      <c r="L663" s="109"/>
      <c r="M663" s="109"/>
      <c r="N663" s="109"/>
      <c r="O663" s="109"/>
      <c r="P663" s="109"/>
      <c r="Q663" s="109"/>
      <c r="S663" s="111"/>
      <c r="T663" s="60"/>
      <c r="U663" s="112"/>
    </row>
    <row r="664" spans="1:21" s="110" customFormat="1" ht="15.75" customHeight="1">
      <c r="A664" s="105"/>
      <c r="B664" s="106"/>
      <c r="C664" s="106"/>
      <c r="D664" s="107"/>
      <c r="E664" s="106"/>
      <c r="F664" s="106"/>
      <c r="G664" s="106"/>
      <c r="H664" s="60"/>
      <c r="I664" s="60"/>
      <c r="J664" s="108"/>
      <c r="K664" s="60"/>
      <c r="L664" s="109"/>
      <c r="M664" s="109"/>
      <c r="N664" s="109"/>
      <c r="O664" s="109"/>
      <c r="P664" s="109"/>
      <c r="Q664" s="109"/>
      <c r="S664" s="111"/>
      <c r="T664" s="60"/>
      <c r="U664" s="112"/>
    </row>
    <row r="665" spans="1:21" s="110" customFormat="1" ht="15.75" customHeight="1">
      <c r="A665" s="105"/>
      <c r="B665" s="106"/>
      <c r="C665" s="106"/>
      <c r="D665" s="107"/>
      <c r="E665" s="106"/>
      <c r="F665" s="106"/>
      <c r="G665" s="106"/>
      <c r="H665" s="60"/>
      <c r="I665" s="60"/>
      <c r="J665" s="108"/>
      <c r="K665" s="60"/>
      <c r="L665" s="109"/>
      <c r="M665" s="109"/>
      <c r="N665" s="109"/>
      <c r="O665" s="109"/>
      <c r="P665" s="109"/>
      <c r="Q665" s="109"/>
      <c r="S665" s="111"/>
      <c r="T665" s="60"/>
      <c r="U665" s="112"/>
    </row>
    <row r="666" spans="1:21" s="110" customFormat="1" ht="15.75" customHeight="1">
      <c r="A666" s="105"/>
      <c r="B666" s="106"/>
      <c r="C666" s="106"/>
      <c r="D666" s="107"/>
      <c r="E666" s="106"/>
      <c r="F666" s="106"/>
      <c r="G666" s="106"/>
      <c r="H666" s="60"/>
      <c r="I666" s="60"/>
      <c r="J666" s="108"/>
      <c r="K666" s="60"/>
      <c r="L666" s="109"/>
      <c r="M666" s="109"/>
      <c r="N666" s="109"/>
      <c r="O666" s="109"/>
      <c r="P666" s="109"/>
      <c r="Q666" s="109"/>
      <c r="S666" s="111"/>
      <c r="T666" s="60"/>
      <c r="U666" s="112"/>
    </row>
    <row r="667" spans="1:21" s="110" customFormat="1" ht="15.75" customHeight="1">
      <c r="A667" s="105"/>
      <c r="B667" s="106"/>
      <c r="C667" s="106"/>
      <c r="D667" s="107"/>
      <c r="E667" s="106"/>
      <c r="F667" s="106"/>
      <c r="G667" s="106"/>
      <c r="H667" s="60"/>
      <c r="I667" s="60"/>
      <c r="J667" s="108"/>
      <c r="K667" s="60"/>
      <c r="L667" s="109"/>
      <c r="M667" s="109"/>
      <c r="N667" s="109"/>
      <c r="O667" s="109"/>
      <c r="P667" s="109"/>
      <c r="Q667" s="109"/>
      <c r="S667" s="111"/>
      <c r="T667" s="60"/>
      <c r="U667" s="112"/>
    </row>
    <row r="668" spans="1:21" s="110" customFormat="1" ht="15.75" customHeight="1">
      <c r="A668" s="105"/>
      <c r="B668" s="106"/>
      <c r="C668" s="106"/>
      <c r="D668" s="107"/>
      <c r="E668" s="106"/>
      <c r="F668" s="106"/>
      <c r="G668" s="106"/>
      <c r="H668" s="60"/>
      <c r="I668" s="60"/>
      <c r="J668" s="108"/>
      <c r="K668" s="60"/>
      <c r="L668" s="109"/>
      <c r="M668" s="109"/>
      <c r="N668" s="109"/>
      <c r="O668" s="109"/>
      <c r="P668" s="109"/>
      <c r="Q668" s="109"/>
      <c r="S668" s="111"/>
      <c r="T668" s="60"/>
      <c r="U668" s="112"/>
    </row>
    <row r="669" spans="1:21" s="110" customFormat="1" ht="15.75" customHeight="1">
      <c r="A669" s="105"/>
      <c r="B669" s="106"/>
      <c r="C669" s="106"/>
      <c r="D669" s="107"/>
      <c r="E669" s="106"/>
      <c r="F669" s="106"/>
      <c r="G669" s="106"/>
      <c r="H669" s="60"/>
      <c r="I669" s="60"/>
      <c r="J669" s="108"/>
      <c r="K669" s="60"/>
      <c r="L669" s="109"/>
      <c r="M669" s="109"/>
      <c r="N669" s="109"/>
      <c r="O669" s="109"/>
      <c r="P669" s="109"/>
      <c r="Q669" s="109"/>
      <c r="S669" s="111"/>
      <c r="T669" s="60"/>
      <c r="U669" s="112"/>
    </row>
    <row r="670" spans="1:21" s="110" customFormat="1" ht="15.75" customHeight="1">
      <c r="A670" s="105"/>
      <c r="B670" s="106"/>
      <c r="C670" s="106"/>
      <c r="D670" s="107"/>
      <c r="E670" s="106"/>
      <c r="F670" s="106"/>
      <c r="G670" s="106"/>
      <c r="H670" s="60"/>
      <c r="I670" s="60"/>
      <c r="J670" s="108"/>
      <c r="K670" s="60"/>
      <c r="L670" s="109"/>
      <c r="M670" s="109"/>
      <c r="N670" s="109"/>
      <c r="O670" s="109"/>
      <c r="P670" s="109"/>
      <c r="Q670" s="109"/>
      <c r="S670" s="111"/>
      <c r="T670" s="60"/>
      <c r="U670" s="112"/>
    </row>
    <row r="671" spans="1:21" s="110" customFormat="1" ht="15.75" customHeight="1">
      <c r="A671" s="105"/>
      <c r="B671" s="106"/>
      <c r="C671" s="106"/>
      <c r="D671" s="107"/>
      <c r="E671" s="106"/>
      <c r="F671" s="106"/>
      <c r="G671" s="106"/>
      <c r="H671" s="60"/>
      <c r="I671" s="60"/>
      <c r="J671" s="108"/>
      <c r="K671" s="60"/>
      <c r="L671" s="109"/>
      <c r="M671" s="109"/>
      <c r="N671" s="109"/>
      <c r="O671" s="109"/>
      <c r="P671" s="109"/>
      <c r="Q671" s="109"/>
      <c r="S671" s="111"/>
      <c r="T671" s="60"/>
      <c r="U671" s="112"/>
    </row>
    <row r="672" spans="1:21" s="110" customFormat="1" ht="15.75" customHeight="1">
      <c r="A672" s="105"/>
      <c r="B672" s="106"/>
      <c r="C672" s="106"/>
      <c r="D672" s="107"/>
      <c r="E672" s="106"/>
      <c r="F672" s="106"/>
      <c r="G672" s="106"/>
      <c r="H672" s="60"/>
      <c r="I672" s="60"/>
      <c r="J672" s="108"/>
      <c r="K672" s="60"/>
      <c r="L672" s="109"/>
      <c r="M672" s="109"/>
      <c r="N672" s="109"/>
      <c r="O672" s="109"/>
      <c r="P672" s="109"/>
      <c r="Q672" s="109"/>
      <c r="S672" s="111"/>
      <c r="T672" s="60"/>
      <c r="U672" s="112"/>
    </row>
    <row r="673" spans="1:21" s="110" customFormat="1" ht="15.75" customHeight="1">
      <c r="A673" s="105"/>
      <c r="B673" s="106"/>
      <c r="C673" s="106"/>
      <c r="D673" s="107"/>
      <c r="E673" s="106"/>
      <c r="F673" s="106"/>
      <c r="G673" s="106"/>
      <c r="H673" s="60"/>
      <c r="I673" s="60"/>
      <c r="J673" s="108"/>
      <c r="K673" s="60"/>
      <c r="L673" s="109"/>
      <c r="M673" s="109"/>
      <c r="N673" s="109"/>
      <c r="O673" s="109"/>
      <c r="P673" s="109"/>
      <c r="Q673" s="109"/>
      <c r="S673" s="111"/>
      <c r="T673" s="60"/>
      <c r="U673" s="112"/>
    </row>
    <row r="674" spans="1:21" s="110" customFormat="1" ht="15.75" customHeight="1">
      <c r="A674" s="105"/>
      <c r="B674" s="106"/>
      <c r="C674" s="106"/>
      <c r="D674" s="107"/>
      <c r="E674" s="106"/>
      <c r="F674" s="106"/>
      <c r="G674" s="106"/>
      <c r="H674" s="60"/>
      <c r="I674" s="60"/>
      <c r="J674" s="108"/>
      <c r="K674" s="60"/>
      <c r="L674" s="109"/>
      <c r="M674" s="109"/>
      <c r="N674" s="109"/>
      <c r="O674" s="109"/>
      <c r="P674" s="109"/>
      <c r="Q674" s="109"/>
      <c r="S674" s="111"/>
      <c r="T674" s="60"/>
      <c r="U674" s="112"/>
    </row>
    <row r="675" spans="1:21" s="110" customFormat="1" ht="15.75" customHeight="1">
      <c r="A675" s="105"/>
      <c r="B675" s="106"/>
      <c r="C675" s="106"/>
      <c r="D675" s="107"/>
      <c r="E675" s="106"/>
      <c r="F675" s="106"/>
      <c r="G675" s="106"/>
      <c r="H675" s="60"/>
      <c r="I675" s="60"/>
      <c r="J675" s="108"/>
      <c r="K675" s="60"/>
      <c r="L675" s="109"/>
      <c r="M675" s="109"/>
      <c r="N675" s="109"/>
      <c r="O675" s="109"/>
      <c r="P675" s="109"/>
      <c r="Q675" s="109"/>
      <c r="S675" s="111"/>
      <c r="T675" s="60"/>
      <c r="U675" s="112"/>
    </row>
    <row r="676" spans="1:21" s="110" customFormat="1" ht="15.75" customHeight="1">
      <c r="A676" s="105"/>
      <c r="B676" s="106"/>
      <c r="C676" s="106"/>
      <c r="D676" s="107"/>
      <c r="E676" s="106"/>
      <c r="F676" s="106"/>
      <c r="G676" s="106"/>
      <c r="H676" s="60"/>
      <c r="I676" s="60"/>
      <c r="J676" s="108"/>
      <c r="K676" s="60"/>
      <c r="L676" s="109"/>
      <c r="M676" s="109"/>
      <c r="N676" s="109"/>
      <c r="O676" s="109"/>
      <c r="P676" s="109"/>
      <c r="Q676" s="109"/>
      <c r="S676" s="111"/>
      <c r="T676" s="60"/>
      <c r="U676" s="112"/>
    </row>
    <row r="677" spans="1:21" s="110" customFormat="1" ht="15.75" customHeight="1">
      <c r="A677" s="105"/>
      <c r="B677" s="106"/>
      <c r="C677" s="106"/>
      <c r="D677" s="107"/>
      <c r="E677" s="106"/>
      <c r="F677" s="106"/>
      <c r="G677" s="106"/>
      <c r="H677" s="60"/>
      <c r="I677" s="60"/>
      <c r="J677" s="108"/>
      <c r="K677" s="60"/>
      <c r="L677" s="109"/>
      <c r="M677" s="109"/>
      <c r="N677" s="109"/>
      <c r="O677" s="109"/>
      <c r="P677" s="109"/>
      <c r="Q677" s="109"/>
      <c r="S677" s="111"/>
      <c r="T677" s="60"/>
      <c r="U677" s="112"/>
    </row>
    <row r="678" spans="1:21" s="110" customFormat="1" ht="15.75" customHeight="1">
      <c r="A678" s="105"/>
      <c r="B678" s="106"/>
      <c r="C678" s="106"/>
      <c r="D678" s="107"/>
      <c r="E678" s="106"/>
      <c r="F678" s="106"/>
      <c r="G678" s="106"/>
      <c r="H678" s="60"/>
      <c r="I678" s="60"/>
      <c r="J678" s="108"/>
      <c r="K678" s="60"/>
      <c r="L678" s="109"/>
      <c r="M678" s="109"/>
      <c r="N678" s="109"/>
      <c r="O678" s="109"/>
      <c r="P678" s="109"/>
      <c r="Q678" s="109"/>
      <c r="S678" s="111"/>
      <c r="T678" s="60"/>
      <c r="U678" s="112"/>
    </row>
    <row r="679" spans="1:21" s="110" customFormat="1" ht="15.75" customHeight="1">
      <c r="A679" s="105"/>
      <c r="B679" s="106"/>
      <c r="C679" s="106"/>
      <c r="D679" s="107"/>
      <c r="E679" s="106"/>
      <c r="F679" s="106"/>
      <c r="G679" s="106"/>
      <c r="H679" s="60"/>
      <c r="I679" s="60"/>
      <c r="J679" s="108"/>
      <c r="K679" s="60"/>
      <c r="L679" s="109"/>
      <c r="M679" s="109"/>
      <c r="N679" s="109"/>
      <c r="O679" s="109"/>
      <c r="P679" s="109"/>
      <c r="Q679" s="109"/>
      <c r="S679" s="111"/>
      <c r="T679" s="60"/>
      <c r="U679" s="112"/>
    </row>
    <row r="680" spans="1:21" s="110" customFormat="1" ht="15.75" customHeight="1">
      <c r="A680" s="105"/>
      <c r="B680" s="106"/>
      <c r="C680" s="106"/>
      <c r="D680" s="107"/>
      <c r="E680" s="106"/>
      <c r="F680" s="106"/>
      <c r="G680" s="106"/>
      <c r="H680" s="60"/>
      <c r="I680" s="60"/>
      <c r="J680" s="108"/>
      <c r="K680" s="60"/>
      <c r="L680" s="109"/>
      <c r="M680" s="109"/>
      <c r="N680" s="109"/>
      <c r="O680" s="109"/>
      <c r="P680" s="109"/>
      <c r="Q680" s="109"/>
      <c r="S680" s="111"/>
      <c r="T680" s="60"/>
      <c r="U680" s="112"/>
    </row>
    <row r="681" spans="1:21" s="110" customFormat="1" ht="15.75" customHeight="1">
      <c r="A681" s="105"/>
      <c r="B681" s="106"/>
      <c r="C681" s="106"/>
      <c r="D681" s="107"/>
      <c r="E681" s="106"/>
      <c r="F681" s="106"/>
      <c r="G681" s="106"/>
      <c r="H681" s="60"/>
      <c r="I681" s="60"/>
      <c r="J681" s="108"/>
      <c r="K681" s="60"/>
      <c r="L681" s="109"/>
      <c r="M681" s="109"/>
      <c r="N681" s="109"/>
      <c r="O681" s="109"/>
      <c r="P681" s="109"/>
      <c r="Q681" s="109"/>
      <c r="S681" s="111"/>
      <c r="T681" s="60"/>
      <c r="U681" s="112"/>
    </row>
    <row r="682" spans="1:21" s="110" customFormat="1" ht="15.75" customHeight="1">
      <c r="A682" s="105"/>
      <c r="B682" s="106"/>
      <c r="C682" s="106"/>
      <c r="D682" s="107"/>
      <c r="E682" s="106"/>
      <c r="F682" s="106"/>
      <c r="G682" s="106"/>
      <c r="H682" s="60"/>
      <c r="I682" s="60"/>
      <c r="J682" s="108"/>
      <c r="K682" s="60"/>
      <c r="L682" s="109"/>
      <c r="M682" s="109"/>
      <c r="N682" s="109"/>
      <c r="O682" s="109"/>
      <c r="P682" s="109"/>
      <c r="Q682" s="109"/>
      <c r="S682" s="111"/>
      <c r="T682" s="60"/>
      <c r="U682" s="112"/>
    </row>
    <row r="683" spans="1:21" s="110" customFormat="1" ht="15.75" customHeight="1">
      <c r="A683" s="105"/>
      <c r="B683" s="106"/>
      <c r="C683" s="106"/>
      <c r="D683" s="107"/>
      <c r="E683" s="106"/>
      <c r="F683" s="106"/>
      <c r="G683" s="106"/>
      <c r="H683" s="60"/>
      <c r="I683" s="60"/>
      <c r="J683" s="108"/>
      <c r="K683" s="60"/>
      <c r="L683" s="109"/>
      <c r="M683" s="109"/>
      <c r="N683" s="109"/>
      <c r="O683" s="109"/>
      <c r="P683" s="109"/>
      <c r="Q683" s="109"/>
      <c r="S683" s="111"/>
      <c r="T683" s="60"/>
      <c r="U683" s="112"/>
    </row>
    <row r="684" spans="1:21" s="110" customFormat="1" ht="15.75" customHeight="1">
      <c r="A684" s="105"/>
      <c r="B684" s="106"/>
      <c r="C684" s="106"/>
      <c r="D684" s="107"/>
      <c r="E684" s="106"/>
      <c r="F684" s="106"/>
      <c r="G684" s="106"/>
      <c r="H684" s="60"/>
      <c r="I684" s="60"/>
      <c r="J684" s="108"/>
      <c r="K684" s="60"/>
      <c r="L684" s="109"/>
      <c r="M684" s="109"/>
      <c r="N684" s="109"/>
      <c r="O684" s="109"/>
      <c r="P684" s="109"/>
      <c r="Q684" s="109"/>
      <c r="S684" s="111"/>
      <c r="T684" s="60"/>
      <c r="U684" s="112"/>
    </row>
    <row r="685" spans="1:21" s="110" customFormat="1" ht="15.75" customHeight="1">
      <c r="A685" s="105"/>
      <c r="B685" s="106"/>
      <c r="C685" s="106"/>
      <c r="D685" s="107"/>
      <c r="E685" s="106"/>
      <c r="F685" s="106"/>
      <c r="G685" s="106"/>
      <c r="H685" s="60"/>
      <c r="I685" s="60"/>
      <c r="J685" s="108"/>
      <c r="K685" s="60"/>
      <c r="L685" s="109"/>
      <c r="M685" s="109"/>
      <c r="N685" s="109"/>
      <c r="O685" s="109"/>
      <c r="P685" s="109"/>
      <c r="Q685" s="109"/>
      <c r="S685" s="111"/>
      <c r="T685" s="60"/>
      <c r="U685" s="112"/>
    </row>
    <row r="686" spans="1:21" s="110" customFormat="1" ht="15.75" customHeight="1">
      <c r="A686" s="105"/>
      <c r="B686" s="106"/>
      <c r="C686" s="106"/>
      <c r="D686" s="107"/>
      <c r="E686" s="106"/>
      <c r="F686" s="106"/>
      <c r="G686" s="106"/>
      <c r="H686" s="60"/>
      <c r="I686" s="60"/>
      <c r="J686" s="108"/>
      <c r="K686" s="60"/>
      <c r="L686" s="109"/>
      <c r="M686" s="109"/>
      <c r="N686" s="109"/>
      <c r="O686" s="109"/>
      <c r="P686" s="109"/>
      <c r="Q686" s="109"/>
      <c r="S686" s="111"/>
      <c r="T686" s="60"/>
      <c r="U686" s="112"/>
    </row>
    <row r="687" spans="1:21" s="110" customFormat="1" ht="15.75" customHeight="1">
      <c r="A687" s="105"/>
      <c r="B687" s="106"/>
      <c r="C687" s="106"/>
      <c r="D687" s="107"/>
      <c r="E687" s="106"/>
      <c r="F687" s="106"/>
      <c r="G687" s="106"/>
      <c r="H687" s="60"/>
      <c r="I687" s="60"/>
      <c r="J687" s="108"/>
      <c r="K687" s="60"/>
      <c r="L687" s="109"/>
      <c r="M687" s="109"/>
      <c r="N687" s="109"/>
      <c r="O687" s="109"/>
      <c r="P687" s="109"/>
      <c r="Q687" s="109"/>
      <c r="S687" s="111"/>
      <c r="T687" s="60"/>
      <c r="U687" s="112"/>
    </row>
    <row r="688" spans="1:21" s="110" customFormat="1" ht="15.75" customHeight="1">
      <c r="A688" s="105"/>
      <c r="B688" s="106"/>
      <c r="C688" s="106"/>
      <c r="D688" s="107"/>
      <c r="E688" s="106"/>
      <c r="F688" s="106"/>
      <c r="G688" s="106"/>
      <c r="H688" s="60"/>
      <c r="I688" s="60"/>
      <c r="J688" s="108"/>
      <c r="K688" s="60"/>
      <c r="L688" s="109"/>
      <c r="M688" s="109"/>
      <c r="N688" s="109"/>
      <c r="O688" s="109"/>
      <c r="P688" s="109"/>
      <c r="Q688" s="109"/>
      <c r="S688" s="111"/>
      <c r="T688" s="60"/>
      <c r="U688" s="112"/>
    </row>
    <row r="689" spans="1:21" s="110" customFormat="1" ht="15.75" customHeight="1">
      <c r="A689" s="105"/>
      <c r="B689" s="106"/>
      <c r="C689" s="106"/>
      <c r="D689" s="107"/>
      <c r="E689" s="106"/>
      <c r="F689" s="106"/>
      <c r="G689" s="106"/>
      <c r="H689" s="60"/>
      <c r="I689" s="60"/>
      <c r="J689" s="108"/>
      <c r="K689" s="60"/>
      <c r="L689" s="109"/>
      <c r="M689" s="109"/>
      <c r="N689" s="109"/>
      <c r="O689" s="109"/>
      <c r="P689" s="109"/>
      <c r="Q689" s="109"/>
      <c r="S689" s="111"/>
      <c r="T689" s="60"/>
      <c r="U689" s="112"/>
    </row>
    <row r="690" spans="1:21" s="110" customFormat="1" ht="15.75" customHeight="1">
      <c r="A690" s="105"/>
      <c r="B690" s="106"/>
      <c r="C690" s="106"/>
      <c r="D690" s="107"/>
      <c r="E690" s="106"/>
      <c r="F690" s="106"/>
      <c r="G690" s="106"/>
      <c r="H690" s="60"/>
      <c r="I690" s="60"/>
      <c r="J690" s="108"/>
      <c r="K690" s="60"/>
      <c r="L690" s="109"/>
      <c r="M690" s="109"/>
      <c r="N690" s="109"/>
      <c r="O690" s="109"/>
      <c r="P690" s="109"/>
      <c r="Q690" s="109"/>
      <c r="S690" s="111"/>
      <c r="T690" s="60"/>
      <c r="U690" s="112"/>
    </row>
    <row r="691" spans="1:21" s="110" customFormat="1" ht="15.75" customHeight="1">
      <c r="A691" s="105"/>
      <c r="B691" s="106"/>
      <c r="C691" s="106"/>
      <c r="D691" s="107"/>
      <c r="E691" s="106"/>
      <c r="F691" s="106"/>
      <c r="G691" s="106"/>
      <c r="H691" s="60"/>
      <c r="I691" s="60"/>
      <c r="J691" s="108"/>
      <c r="K691" s="60"/>
      <c r="L691" s="109"/>
      <c r="M691" s="109"/>
      <c r="N691" s="109"/>
      <c r="O691" s="109"/>
      <c r="P691" s="109"/>
      <c r="Q691" s="109"/>
      <c r="S691" s="111"/>
      <c r="T691" s="60"/>
      <c r="U691" s="112"/>
    </row>
    <row r="692" spans="1:21" s="110" customFormat="1" ht="15.75" customHeight="1">
      <c r="A692" s="105"/>
      <c r="B692" s="106"/>
      <c r="C692" s="106"/>
      <c r="D692" s="107"/>
      <c r="E692" s="106"/>
      <c r="F692" s="106"/>
      <c r="G692" s="106"/>
      <c r="H692" s="60"/>
      <c r="I692" s="60"/>
      <c r="J692" s="108"/>
      <c r="K692" s="60"/>
      <c r="L692" s="109"/>
      <c r="M692" s="109"/>
      <c r="N692" s="109"/>
      <c r="O692" s="109"/>
      <c r="P692" s="109"/>
      <c r="Q692" s="109"/>
      <c r="S692" s="111"/>
      <c r="T692" s="60"/>
      <c r="U692" s="112"/>
    </row>
    <row r="693" spans="1:21" s="110" customFormat="1" ht="15.75" customHeight="1">
      <c r="A693" s="105"/>
      <c r="B693" s="106"/>
      <c r="C693" s="106"/>
      <c r="D693" s="107"/>
      <c r="E693" s="106"/>
      <c r="F693" s="106"/>
      <c r="G693" s="106"/>
      <c r="H693" s="60"/>
      <c r="I693" s="60"/>
      <c r="J693" s="108"/>
      <c r="K693" s="60"/>
      <c r="L693" s="109"/>
      <c r="M693" s="109"/>
      <c r="N693" s="109"/>
      <c r="O693" s="109"/>
      <c r="P693" s="109"/>
      <c r="Q693" s="109"/>
      <c r="S693" s="111"/>
      <c r="T693" s="60"/>
      <c r="U693" s="112"/>
    </row>
    <row r="694" spans="1:21" s="110" customFormat="1" ht="15.75" customHeight="1">
      <c r="A694" s="105"/>
      <c r="B694" s="106"/>
      <c r="C694" s="106"/>
      <c r="D694" s="107"/>
      <c r="E694" s="106"/>
      <c r="F694" s="106"/>
      <c r="G694" s="106"/>
      <c r="H694" s="60"/>
      <c r="I694" s="60"/>
      <c r="J694" s="108"/>
      <c r="K694" s="60"/>
      <c r="L694" s="109"/>
      <c r="M694" s="109"/>
      <c r="N694" s="109"/>
      <c r="O694" s="109"/>
      <c r="P694" s="109"/>
      <c r="Q694" s="109"/>
      <c r="S694" s="111"/>
      <c r="T694" s="60"/>
      <c r="U694" s="112"/>
    </row>
    <row r="695" spans="1:21" s="110" customFormat="1" ht="15.75" customHeight="1">
      <c r="A695" s="105"/>
      <c r="B695" s="106"/>
      <c r="C695" s="106"/>
      <c r="D695" s="107"/>
      <c r="E695" s="106"/>
      <c r="F695" s="106"/>
      <c r="G695" s="106"/>
      <c r="H695" s="60"/>
      <c r="I695" s="60"/>
      <c r="J695" s="108"/>
      <c r="K695" s="60"/>
      <c r="L695" s="109"/>
      <c r="M695" s="109"/>
      <c r="N695" s="109"/>
      <c r="O695" s="109"/>
      <c r="P695" s="109"/>
      <c r="Q695" s="109"/>
      <c r="S695" s="111"/>
      <c r="T695" s="60"/>
      <c r="U695" s="112"/>
    </row>
    <row r="696" spans="1:21" s="110" customFormat="1" ht="15.75" customHeight="1">
      <c r="A696" s="105"/>
      <c r="B696" s="106"/>
      <c r="C696" s="106"/>
      <c r="D696" s="107"/>
      <c r="E696" s="106"/>
      <c r="F696" s="106"/>
      <c r="G696" s="106"/>
      <c r="H696" s="60"/>
      <c r="I696" s="60"/>
      <c r="J696" s="108"/>
      <c r="K696" s="60"/>
      <c r="L696" s="109"/>
      <c r="M696" s="109"/>
      <c r="N696" s="109"/>
      <c r="O696" s="109"/>
      <c r="P696" s="109"/>
      <c r="Q696" s="109"/>
      <c r="S696" s="111"/>
      <c r="T696" s="60"/>
      <c r="U696" s="112"/>
    </row>
    <row r="697" spans="1:21" s="110" customFormat="1" ht="15.75" customHeight="1">
      <c r="A697" s="105"/>
      <c r="B697" s="106"/>
      <c r="C697" s="106"/>
      <c r="D697" s="107"/>
      <c r="E697" s="106"/>
      <c r="F697" s="106"/>
      <c r="G697" s="106"/>
      <c r="H697" s="60"/>
      <c r="I697" s="60"/>
      <c r="J697" s="108"/>
      <c r="K697" s="60"/>
      <c r="L697" s="109"/>
      <c r="M697" s="109"/>
      <c r="N697" s="109"/>
      <c r="O697" s="109"/>
      <c r="P697" s="109"/>
      <c r="Q697" s="109"/>
      <c r="S697" s="111"/>
      <c r="T697" s="60"/>
      <c r="U697" s="112"/>
    </row>
    <row r="698" spans="1:21" s="110" customFormat="1" ht="15.75" customHeight="1">
      <c r="A698" s="105"/>
      <c r="B698" s="106"/>
      <c r="C698" s="106"/>
      <c r="D698" s="107"/>
      <c r="E698" s="106"/>
      <c r="F698" s="106"/>
      <c r="G698" s="106"/>
      <c r="H698" s="60"/>
      <c r="I698" s="60"/>
      <c r="J698" s="108"/>
      <c r="K698" s="60"/>
      <c r="L698" s="109"/>
      <c r="M698" s="109"/>
      <c r="N698" s="109"/>
      <c r="O698" s="109"/>
      <c r="P698" s="109"/>
      <c r="Q698" s="109"/>
      <c r="S698" s="111"/>
      <c r="T698" s="60"/>
      <c r="U698" s="112"/>
    </row>
    <row r="699" spans="1:21" s="110" customFormat="1" ht="15.75" customHeight="1">
      <c r="A699" s="105"/>
      <c r="B699" s="106"/>
      <c r="C699" s="106"/>
      <c r="D699" s="107"/>
      <c r="E699" s="106"/>
      <c r="F699" s="106"/>
      <c r="G699" s="106"/>
      <c r="H699" s="60"/>
      <c r="I699" s="60"/>
      <c r="J699" s="108"/>
      <c r="K699" s="60"/>
      <c r="L699" s="109"/>
      <c r="M699" s="109"/>
      <c r="N699" s="109"/>
      <c r="O699" s="109"/>
      <c r="P699" s="109"/>
      <c r="Q699" s="109"/>
      <c r="S699" s="111"/>
      <c r="T699" s="60"/>
      <c r="U699" s="112"/>
    </row>
    <row r="700" spans="1:21" s="110" customFormat="1" ht="15.75" customHeight="1">
      <c r="A700" s="105"/>
      <c r="B700" s="106"/>
      <c r="C700" s="106"/>
      <c r="D700" s="107"/>
      <c r="E700" s="106"/>
      <c r="F700" s="106"/>
      <c r="G700" s="106"/>
      <c r="H700" s="60"/>
      <c r="I700" s="60"/>
      <c r="J700" s="108"/>
      <c r="K700" s="60"/>
      <c r="L700" s="109"/>
      <c r="M700" s="109"/>
      <c r="N700" s="109"/>
      <c r="O700" s="109"/>
      <c r="P700" s="109"/>
      <c r="Q700" s="109"/>
      <c r="S700" s="111"/>
      <c r="T700" s="60"/>
      <c r="U700" s="112"/>
    </row>
    <row r="701" spans="1:21" s="110" customFormat="1" ht="15.75" customHeight="1">
      <c r="A701" s="105"/>
      <c r="B701" s="106"/>
      <c r="C701" s="106"/>
      <c r="D701" s="107"/>
      <c r="E701" s="106"/>
      <c r="F701" s="106"/>
      <c r="G701" s="106"/>
      <c r="H701" s="60"/>
      <c r="I701" s="60"/>
      <c r="J701" s="108"/>
      <c r="K701" s="60"/>
      <c r="L701" s="109"/>
      <c r="M701" s="109"/>
      <c r="N701" s="109"/>
      <c r="O701" s="109"/>
      <c r="P701" s="109"/>
      <c r="Q701" s="109"/>
      <c r="S701" s="111"/>
      <c r="T701" s="60"/>
      <c r="U701" s="112"/>
    </row>
    <row r="702" spans="1:21" s="110" customFormat="1" ht="15.75" customHeight="1">
      <c r="A702" s="105"/>
      <c r="B702" s="106"/>
      <c r="C702" s="106"/>
      <c r="D702" s="107"/>
      <c r="E702" s="106"/>
      <c r="F702" s="106"/>
      <c r="G702" s="106"/>
      <c r="H702" s="60"/>
      <c r="I702" s="60"/>
      <c r="J702" s="108"/>
      <c r="K702" s="60"/>
      <c r="L702" s="109"/>
      <c r="M702" s="109"/>
      <c r="N702" s="109"/>
      <c r="O702" s="109"/>
      <c r="P702" s="109"/>
      <c r="Q702" s="109"/>
      <c r="S702" s="111"/>
      <c r="T702" s="60"/>
      <c r="U702" s="112"/>
    </row>
    <row r="703" spans="1:21" s="110" customFormat="1" ht="15.75" customHeight="1">
      <c r="A703" s="105"/>
      <c r="B703" s="106"/>
      <c r="C703" s="106"/>
      <c r="D703" s="107"/>
      <c r="E703" s="106"/>
      <c r="F703" s="106"/>
      <c r="G703" s="106"/>
      <c r="H703" s="60"/>
      <c r="I703" s="60"/>
      <c r="J703" s="108"/>
      <c r="K703" s="60"/>
      <c r="L703" s="109"/>
      <c r="M703" s="109"/>
      <c r="N703" s="109"/>
      <c r="O703" s="109"/>
      <c r="P703" s="109"/>
      <c r="Q703" s="109"/>
      <c r="S703" s="111"/>
      <c r="T703" s="60"/>
      <c r="U703" s="112"/>
    </row>
    <row r="704" spans="1:21" s="110" customFormat="1" ht="15.75" customHeight="1">
      <c r="A704" s="105"/>
      <c r="B704" s="106"/>
      <c r="C704" s="106"/>
      <c r="D704" s="107"/>
      <c r="E704" s="106"/>
      <c r="F704" s="106"/>
      <c r="G704" s="106"/>
      <c r="H704" s="60"/>
      <c r="I704" s="60"/>
      <c r="J704" s="108"/>
      <c r="K704" s="60"/>
      <c r="L704" s="109"/>
      <c r="M704" s="109"/>
      <c r="N704" s="109"/>
      <c r="O704" s="109"/>
      <c r="P704" s="109"/>
      <c r="Q704" s="109"/>
      <c r="S704" s="111"/>
      <c r="T704" s="60"/>
      <c r="U704" s="112"/>
    </row>
    <row r="705" spans="1:21" s="110" customFormat="1" ht="15.75" customHeight="1">
      <c r="A705" s="105"/>
      <c r="B705" s="106"/>
      <c r="C705" s="106"/>
      <c r="D705" s="107"/>
      <c r="E705" s="106"/>
      <c r="F705" s="106"/>
      <c r="G705" s="106"/>
      <c r="H705" s="60"/>
      <c r="I705" s="60"/>
      <c r="J705" s="108"/>
      <c r="K705" s="60"/>
      <c r="L705" s="109"/>
      <c r="M705" s="109"/>
      <c r="N705" s="109"/>
      <c r="O705" s="109"/>
      <c r="P705" s="109"/>
      <c r="Q705" s="109"/>
      <c r="S705" s="111"/>
      <c r="T705" s="60"/>
      <c r="U705" s="112"/>
    </row>
    <row r="706" spans="1:21" s="110" customFormat="1" ht="15.75" customHeight="1">
      <c r="A706" s="105"/>
      <c r="B706" s="106"/>
      <c r="C706" s="106"/>
      <c r="D706" s="107"/>
      <c r="E706" s="106"/>
      <c r="F706" s="106"/>
      <c r="G706" s="106"/>
      <c r="H706" s="60"/>
      <c r="I706" s="60"/>
      <c r="J706" s="108"/>
      <c r="K706" s="60"/>
      <c r="L706" s="109"/>
      <c r="M706" s="109"/>
      <c r="N706" s="109"/>
      <c r="O706" s="109"/>
      <c r="P706" s="109"/>
      <c r="Q706" s="109"/>
      <c r="S706" s="111"/>
      <c r="T706" s="60"/>
      <c r="U706" s="112"/>
    </row>
    <row r="707" spans="1:21" s="110" customFormat="1" ht="15.75" customHeight="1">
      <c r="A707" s="105"/>
      <c r="B707" s="106"/>
      <c r="C707" s="106"/>
      <c r="D707" s="107"/>
      <c r="E707" s="106"/>
      <c r="F707" s="106"/>
      <c r="G707" s="106"/>
      <c r="H707" s="60"/>
      <c r="I707" s="60"/>
      <c r="J707" s="108"/>
      <c r="K707" s="60"/>
      <c r="L707" s="109"/>
      <c r="M707" s="109"/>
      <c r="N707" s="109"/>
      <c r="O707" s="109"/>
      <c r="P707" s="109"/>
      <c r="Q707" s="109"/>
      <c r="S707" s="111"/>
      <c r="T707" s="60"/>
      <c r="U707" s="112"/>
    </row>
    <row r="708" spans="1:21" s="110" customFormat="1" ht="15.75" customHeight="1">
      <c r="A708" s="105"/>
      <c r="B708" s="106"/>
      <c r="C708" s="106"/>
      <c r="D708" s="107"/>
      <c r="E708" s="106"/>
      <c r="F708" s="106"/>
      <c r="G708" s="106"/>
      <c r="H708" s="60"/>
      <c r="I708" s="60"/>
      <c r="J708" s="108"/>
      <c r="K708" s="60"/>
      <c r="L708" s="109"/>
      <c r="M708" s="109"/>
      <c r="N708" s="109"/>
      <c r="O708" s="109"/>
      <c r="P708" s="109"/>
      <c r="Q708" s="109"/>
      <c r="S708" s="111"/>
      <c r="T708" s="60"/>
      <c r="U708" s="112"/>
    </row>
    <row r="709" spans="1:21" s="110" customFormat="1" ht="15.75" customHeight="1">
      <c r="A709" s="105"/>
      <c r="B709" s="106"/>
      <c r="C709" s="106"/>
      <c r="D709" s="107"/>
      <c r="E709" s="106"/>
      <c r="F709" s="106"/>
      <c r="G709" s="106"/>
      <c r="H709" s="60"/>
      <c r="I709" s="60"/>
      <c r="J709" s="108"/>
      <c r="K709" s="60"/>
      <c r="L709" s="109"/>
      <c r="M709" s="109"/>
      <c r="N709" s="109"/>
      <c r="O709" s="109"/>
      <c r="P709" s="109"/>
      <c r="Q709" s="109"/>
      <c r="S709" s="111"/>
      <c r="T709" s="60"/>
      <c r="U709" s="112"/>
    </row>
    <row r="710" spans="1:21" s="110" customFormat="1" ht="15.75" customHeight="1">
      <c r="A710" s="105"/>
      <c r="B710" s="106"/>
      <c r="C710" s="106"/>
      <c r="D710" s="107"/>
      <c r="E710" s="106"/>
      <c r="F710" s="106"/>
      <c r="G710" s="106"/>
      <c r="H710" s="60"/>
      <c r="I710" s="60"/>
      <c r="J710" s="108"/>
      <c r="K710" s="60"/>
      <c r="L710" s="109"/>
      <c r="M710" s="109"/>
      <c r="N710" s="109"/>
      <c r="O710" s="109"/>
      <c r="P710" s="109"/>
      <c r="Q710" s="109"/>
      <c r="S710" s="111"/>
      <c r="T710" s="60"/>
      <c r="U710" s="112"/>
    </row>
    <row r="711" spans="1:21" s="110" customFormat="1" ht="15.75" customHeight="1">
      <c r="A711" s="105"/>
      <c r="B711" s="106"/>
      <c r="C711" s="106"/>
      <c r="D711" s="107"/>
      <c r="E711" s="106"/>
      <c r="F711" s="106"/>
      <c r="G711" s="106"/>
      <c r="H711" s="60"/>
      <c r="I711" s="60"/>
      <c r="J711" s="108"/>
      <c r="K711" s="60"/>
      <c r="L711" s="109"/>
      <c r="M711" s="109"/>
      <c r="N711" s="109"/>
      <c r="O711" s="109"/>
      <c r="P711" s="109"/>
      <c r="Q711" s="109"/>
      <c r="S711" s="111"/>
      <c r="T711" s="60"/>
      <c r="U711" s="112"/>
    </row>
    <row r="712" spans="1:21" s="110" customFormat="1" ht="15.75" customHeight="1">
      <c r="A712" s="105"/>
      <c r="B712" s="106"/>
      <c r="C712" s="106"/>
      <c r="D712" s="107"/>
      <c r="E712" s="106"/>
      <c r="F712" s="106"/>
      <c r="G712" s="106"/>
      <c r="H712" s="60"/>
      <c r="I712" s="60"/>
      <c r="J712" s="108"/>
      <c r="K712" s="60"/>
      <c r="L712" s="109"/>
      <c r="M712" s="109"/>
      <c r="N712" s="109"/>
      <c r="O712" s="109"/>
      <c r="P712" s="109"/>
      <c r="Q712" s="109"/>
      <c r="S712" s="111"/>
      <c r="T712" s="60"/>
      <c r="U712" s="112"/>
    </row>
    <row r="713" spans="1:21" s="110" customFormat="1" ht="15.75" customHeight="1">
      <c r="A713" s="105"/>
      <c r="B713" s="106"/>
      <c r="C713" s="106"/>
      <c r="D713" s="107"/>
      <c r="E713" s="106"/>
      <c r="F713" s="106"/>
      <c r="G713" s="106"/>
      <c r="H713" s="60"/>
      <c r="I713" s="60"/>
      <c r="J713" s="108"/>
      <c r="K713" s="60"/>
      <c r="L713" s="109"/>
      <c r="M713" s="109"/>
      <c r="N713" s="109"/>
      <c r="O713" s="109"/>
      <c r="P713" s="109"/>
      <c r="Q713" s="109"/>
      <c r="S713" s="111"/>
      <c r="T713" s="60"/>
      <c r="U713" s="112"/>
    </row>
    <row r="714" spans="1:21" s="110" customFormat="1" ht="15.75" customHeight="1">
      <c r="A714" s="105"/>
      <c r="B714" s="106"/>
      <c r="C714" s="106"/>
      <c r="D714" s="107"/>
      <c r="E714" s="106"/>
      <c r="F714" s="106"/>
      <c r="G714" s="106"/>
      <c r="H714" s="60"/>
      <c r="I714" s="60"/>
      <c r="J714" s="108"/>
      <c r="K714" s="60"/>
      <c r="L714" s="109"/>
      <c r="M714" s="109"/>
      <c r="N714" s="109"/>
      <c r="O714" s="109"/>
      <c r="P714" s="109"/>
      <c r="Q714" s="109"/>
      <c r="S714" s="111"/>
      <c r="T714" s="60"/>
      <c r="U714" s="112"/>
    </row>
    <row r="715" spans="1:21" s="110" customFormat="1" ht="15.75" customHeight="1">
      <c r="A715" s="105"/>
      <c r="B715" s="106"/>
      <c r="C715" s="106"/>
      <c r="D715" s="107"/>
      <c r="E715" s="106"/>
      <c r="F715" s="106"/>
      <c r="G715" s="106"/>
      <c r="H715" s="60"/>
      <c r="I715" s="60"/>
      <c r="J715" s="108"/>
      <c r="K715" s="60"/>
      <c r="L715" s="109"/>
      <c r="M715" s="109"/>
      <c r="N715" s="109"/>
      <c r="O715" s="109"/>
      <c r="P715" s="109"/>
      <c r="Q715" s="109"/>
      <c r="S715" s="111"/>
      <c r="T715" s="60"/>
      <c r="U715" s="112"/>
    </row>
    <row r="716" spans="1:21" s="110" customFormat="1" ht="15.75" customHeight="1">
      <c r="A716" s="105"/>
      <c r="B716" s="106"/>
      <c r="C716" s="106"/>
      <c r="D716" s="107"/>
      <c r="E716" s="106"/>
      <c r="F716" s="106"/>
      <c r="G716" s="106"/>
      <c r="H716" s="60"/>
      <c r="I716" s="60"/>
      <c r="J716" s="108"/>
      <c r="K716" s="60"/>
      <c r="L716" s="109"/>
      <c r="M716" s="109"/>
      <c r="N716" s="109"/>
      <c r="O716" s="109"/>
      <c r="P716" s="109"/>
      <c r="Q716" s="109"/>
      <c r="S716" s="111"/>
      <c r="T716" s="60"/>
      <c r="U716" s="112"/>
    </row>
    <row r="717" spans="1:21" s="110" customFormat="1" ht="15.75" customHeight="1">
      <c r="A717" s="105"/>
      <c r="B717" s="106"/>
      <c r="C717" s="106"/>
      <c r="D717" s="107"/>
      <c r="E717" s="106"/>
      <c r="F717" s="106"/>
      <c r="G717" s="106"/>
      <c r="H717" s="60"/>
      <c r="I717" s="60"/>
      <c r="J717" s="108"/>
      <c r="K717" s="60"/>
      <c r="L717" s="109"/>
      <c r="M717" s="109"/>
      <c r="N717" s="109"/>
      <c r="O717" s="109"/>
      <c r="P717" s="109"/>
      <c r="Q717" s="109"/>
      <c r="S717" s="111"/>
      <c r="T717" s="60"/>
      <c r="U717" s="112"/>
    </row>
    <row r="718" spans="1:21" s="110" customFormat="1" ht="15.75" customHeight="1">
      <c r="A718" s="105"/>
      <c r="B718" s="106"/>
      <c r="C718" s="106"/>
      <c r="D718" s="107"/>
      <c r="E718" s="106"/>
      <c r="F718" s="106"/>
      <c r="G718" s="106"/>
      <c r="H718" s="60"/>
      <c r="I718" s="60"/>
      <c r="J718" s="108"/>
      <c r="K718" s="60"/>
      <c r="L718" s="109"/>
      <c r="M718" s="109"/>
      <c r="N718" s="109"/>
      <c r="O718" s="109"/>
      <c r="P718" s="109"/>
      <c r="Q718" s="109"/>
      <c r="S718" s="111"/>
      <c r="T718" s="60"/>
      <c r="U718" s="112"/>
    </row>
    <row r="719" spans="1:21" s="110" customFormat="1" ht="15.75" customHeight="1">
      <c r="A719" s="105"/>
      <c r="B719" s="106"/>
      <c r="C719" s="106"/>
      <c r="D719" s="107"/>
      <c r="E719" s="106"/>
      <c r="F719" s="106"/>
      <c r="G719" s="106"/>
      <c r="H719" s="60"/>
      <c r="I719" s="60"/>
      <c r="J719" s="108"/>
      <c r="K719" s="60"/>
      <c r="L719" s="109"/>
      <c r="M719" s="109"/>
      <c r="N719" s="109"/>
      <c r="O719" s="109"/>
      <c r="P719" s="109"/>
      <c r="Q719" s="109"/>
      <c r="S719" s="111"/>
      <c r="T719" s="60"/>
      <c r="U719" s="112"/>
    </row>
    <row r="720" spans="1:21" s="110" customFormat="1" ht="15.75" customHeight="1">
      <c r="A720" s="105"/>
      <c r="B720" s="106"/>
      <c r="C720" s="106"/>
      <c r="D720" s="107"/>
      <c r="E720" s="106"/>
      <c r="F720" s="106"/>
      <c r="G720" s="106"/>
      <c r="H720" s="60"/>
      <c r="I720" s="60"/>
      <c r="J720" s="108"/>
      <c r="K720" s="60"/>
      <c r="L720" s="109"/>
      <c r="M720" s="109"/>
      <c r="N720" s="109"/>
      <c r="O720" s="109"/>
      <c r="P720" s="109"/>
      <c r="Q720" s="109"/>
      <c r="S720" s="111"/>
      <c r="T720" s="60"/>
      <c r="U720" s="112"/>
    </row>
    <row r="721" spans="1:21" s="110" customFormat="1" ht="15.75" customHeight="1">
      <c r="A721" s="105"/>
      <c r="B721" s="106"/>
      <c r="C721" s="106"/>
      <c r="D721" s="107"/>
      <c r="E721" s="106"/>
      <c r="F721" s="106"/>
      <c r="G721" s="106"/>
      <c r="H721" s="60"/>
      <c r="I721" s="60"/>
      <c r="J721" s="108"/>
      <c r="K721" s="60"/>
      <c r="L721" s="109"/>
      <c r="M721" s="109"/>
      <c r="N721" s="109"/>
      <c r="O721" s="109"/>
      <c r="P721" s="109"/>
      <c r="Q721" s="109"/>
      <c r="S721" s="111"/>
      <c r="T721" s="60"/>
      <c r="U721" s="112"/>
    </row>
    <row r="722" spans="1:21" s="110" customFormat="1" ht="15.75" customHeight="1">
      <c r="A722" s="105"/>
      <c r="B722" s="106"/>
      <c r="C722" s="106"/>
      <c r="D722" s="107"/>
      <c r="E722" s="106"/>
      <c r="F722" s="106"/>
      <c r="G722" s="106"/>
      <c r="H722" s="60"/>
      <c r="I722" s="60"/>
      <c r="J722" s="108"/>
      <c r="K722" s="60"/>
      <c r="L722" s="109"/>
      <c r="M722" s="109"/>
      <c r="N722" s="109"/>
      <c r="O722" s="109"/>
      <c r="P722" s="109"/>
      <c r="Q722" s="109"/>
      <c r="S722" s="111"/>
      <c r="T722" s="60"/>
      <c r="U722" s="112"/>
    </row>
    <row r="723" spans="1:21" s="110" customFormat="1" ht="15.75" customHeight="1">
      <c r="A723" s="105"/>
      <c r="B723" s="106"/>
      <c r="C723" s="106"/>
      <c r="D723" s="107"/>
      <c r="E723" s="106"/>
      <c r="F723" s="106"/>
      <c r="G723" s="106"/>
      <c r="H723" s="60"/>
      <c r="I723" s="60"/>
      <c r="J723" s="108"/>
      <c r="K723" s="60"/>
      <c r="L723" s="109"/>
      <c r="M723" s="109"/>
      <c r="N723" s="109"/>
      <c r="O723" s="109"/>
      <c r="P723" s="109"/>
      <c r="Q723" s="109"/>
      <c r="S723" s="111"/>
      <c r="T723" s="60"/>
      <c r="U723" s="112"/>
    </row>
    <row r="724" spans="1:21" s="110" customFormat="1" ht="15.75" customHeight="1">
      <c r="A724" s="105"/>
      <c r="B724" s="106"/>
      <c r="C724" s="106"/>
      <c r="D724" s="107"/>
      <c r="E724" s="106"/>
      <c r="F724" s="106"/>
      <c r="G724" s="106"/>
      <c r="H724" s="60"/>
      <c r="I724" s="60"/>
      <c r="J724" s="108"/>
      <c r="K724" s="60"/>
      <c r="L724" s="109"/>
      <c r="M724" s="109"/>
      <c r="N724" s="109"/>
      <c r="O724" s="109"/>
      <c r="P724" s="109"/>
      <c r="Q724" s="109"/>
      <c r="S724" s="111"/>
      <c r="T724" s="60"/>
      <c r="U724" s="112"/>
    </row>
    <row r="725" spans="1:21" s="110" customFormat="1" ht="15.75" customHeight="1">
      <c r="A725" s="105"/>
      <c r="B725" s="106"/>
      <c r="C725" s="106"/>
      <c r="D725" s="107"/>
      <c r="E725" s="106"/>
      <c r="F725" s="106"/>
      <c r="G725" s="106"/>
      <c r="H725" s="60"/>
      <c r="I725" s="60"/>
      <c r="J725" s="108"/>
      <c r="K725" s="60"/>
      <c r="L725" s="109"/>
      <c r="M725" s="109"/>
      <c r="N725" s="109"/>
      <c r="O725" s="109"/>
      <c r="P725" s="109"/>
      <c r="Q725" s="109"/>
      <c r="S725" s="111"/>
      <c r="T725" s="60"/>
      <c r="U725" s="112"/>
    </row>
    <row r="726" spans="1:21" s="110" customFormat="1" ht="15.75" customHeight="1">
      <c r="A726" s="105"/>
      <c r="B726" s="106"/>
      <c r="C726" s="106"/>
      <c r="D726" s="107"/>
      <c r="E726" s="106"/>
      <c r="F726" s="106"/>
      <c r="G726" s="106"/>
      <c r="H726" s="60"/>
      <c r="I726" s="60"/>
      <c r="J726" s="108"/>
      <c r="K726" s="60"/>
      <c r="L726" s="109"/>
      <c r="M726" s="109"/>
      <c r="N726" s="109"/>
      <c r="O726" s="109"/>
      <c r="P726" s="109"/>
      <c r="Q726" s="109"/>
      <c r="S726" s="111"/>
      <c r="T726" s="60"/>
      <c r="U726" s="112"/>
    </row>
    <row r="727" spans="1:21" s="110" customFormat="1" ht="15.75" customHeight="1">
      <c r="A727" s="105"/>
      <c r="B727" s="106"/>
      <c r="C727" s="106"/>
      <c r="D727" s="107"/>
      <c r="E727" s="106"/>
      <c r="F727" s="106"/>
      <c r="G727" s="106"/>
      <c r="H727" s="60"/>
      <c r="I727" s="60"/>
      <c r="J727" s="108"/>
      <c r="K727" s="60"/>
      <c r="L727" s="109"/>
      <c r="M727" s="109"/>
      <c r="N727" s="109"/>
      <c r="O727" s="109"/>
      <c r="P727" s="109"/>
      <c r="Q727" s="109"/>
      <c r="S727" s="111"/>
      <c r="T727" s="60"/>
      <c r="U727" s="112"/>
    </row>
    <row r="728" spans="1:21" s="110" customFormat="1" ht="15.75" customHeight="1">
      <c r="A728" s="105"/>
      <c r="B728" s="106"/>
      <c r="C728" s="106"/>
      <c r="D728" s="107"/>
      <c r="E728" s="106"/>
      <c r="F728" s="106"/>
      <c r="G728" s="106"/>
      <c r="H728" s="60"/>
      <c r="I728" s="60"/>
      <c r="J728" s="108"/>
      <c r="K728" s="60"/>
      <c r="L728" s="109"/>
      <c r="M728" s="109"/>
      <c r="N728" s="109"/>
      <c r="O728" s="109"/>
      <c r="P728" s="109"/>
      <c r="Q728" s="109"/>
      <c r="S728" s="111"/>
      <c r="T728" s="60"/>
      <c r="U728" s="112"/>
    </row>
    <row r="729" spans="1:21" s="110" customFormat="1" ht="15.75" customHeight="1">
      <c r="A729" s="105"/>
      <c r="B729" s="106"/>
      <c r="C729" s="106"/>
      <c r="D729" s="107"/>
      <c r="E729" s="106"/>
      <c r="F729" s="106"/>
      <c r="G729" s="106"/>
      <c r="H729" s="60"/>
      <c r="I729" s="60"/>
      <c r="J729" s="108"/>
      <c r="K729" s="60"/>
      <c r="L729" s="109"/>
      <c r="M729" s="109"/>
      <c r="N729" s="109"/>
      <c r="O729" s="109"/>
      <c r="P729" s="109"/>
      <c r="Q729" s="109"/>
      <c r="S729" s="111"/>
      <c r="T729" s="60"/>
      <c r="U729" s="112"/>
    </row>
    <row r="730" spans="1:21" s="110" customFormat="1" ht="15.75" customHeight="1">
      <c r="A730" s="105"/>
      <c r="B730" s="106"/>
      <c r="C730" s="106"/>
      <c r="D730" s="107"/>
      <c r="E730" s="106"/>
      <c r="F730" s="106"/>
      <c r="G730" s="106"/>
      <c r="H730" s="60"/>
      <c r="I730" s="60"/>
      <c r="J730" s="108"/>
      <c r="K730" s="60"/>
      <c r="L730" s="109"/>
      <c r="M730" s="109"/>
      <c r="N730" s="109"/>
      <c r="O730" s="109"/>
      <c r="P730" s="109"/>
      <c r="Q730" s="109"/>
      <c r="S730" s="111"/>
      <c r="T730" s="60"/>
      <c r="U730" s="112"/>
    </row>
    <row r="731" spans="1:21" s="110" customFormat="1" ht="15.75" customHeight="1">
      <c r="A731" s="105"/>
      <c r="B731" s="106"/>
      <c r="C731" s="106"/>
      <c r="D731" s="107"/>
      <c r="E731" s="106"/>
      <c r="F731" s="106"/>
      <c r="G731" s="106"/>
      <c r="H731" s="60"/>
      <c r="I731" s="60"/>
      <c r="J731" s="108"/>
      <c r="K731" s="60"/>
      <c r="L731" s="109"/>
      <c r="M731" s="109"/>
      <c r="N731" s="109"/>
      <c r="O731" s="109"/>
      <c r="P731" s="109"/>
      <c r="Q731" s="109"/>
      <c r="S731" s="111"/>
      <c r="T731" s="60"/>
      <c r="U731" s="112"/>
    </row>
    <row r="732" spans="1:21" s="110" customFormat="1" ht="15.75" customHeight="1">
      <c r="A732" s="105"/>
      <c r="B732" s="106"/>
      <c r="C732" s="106"/>
      <c r="D732" s="107"/>
      <c r="E732" s="106"/>
      <c r="F732" s="106"/>
      <c r="G732" s="106"/>
      <c r="H732" s="60"/>
      <c r="I732" s="60"/>
      <c r="J732" s="108"/>
      <c r="K732" s="60"/>
      <c r="L732" s="109"/>
      <c r="M732" s="109"/>
      <c r="N732" s="109"/>
      <c r="O732" s="109"/>
      <c r="P732" s="109"/>
      <c r="Q732" s="109"/>
      <c r="S732" s="111"/>
      <c r="T732" s="60"/>
      <c r="U732" s="112"/>
    </row>
    <row r="733" spans="1:21" s="110" customFormat="1" ht="15.75" customHeight="1">
      <c r="A733" s="105"/>
      <c r="B733" s="106"/>
      <c r="C733" s="106"/>
      <c r="D733" s="107"/>
      <c r="E733" s="106"/>
      <c r="F733" s="106"/>
      <c r="G733" s="106"/>
      <c r="H733" s="60"/>
      <c r="I733" s="60"/>
      <c r="J733" s="108"/>
      <c r="K733" s="60"/>
      <c r="L733" s="109"/>
      <c r="M733" s="109"/>
      <c r="N733" s="109"/>
      <c r="O733" s="109"/>
      <c r="P733" s="109"/>
      <c r="Q733" s="109"/>
      <c r="S733" s="111"/>
      <c r="T733" s="60"/>
      <c r="U733" s="112"/>
    </row>
    <row r="734" spans="1:21" s="110" customFormat="1" ht="15.75" customHeight="1">
      <c r="A734" s="105"/>
      <c r="B734" s="106"/>
      <c r="C734" s="106"/>
      <c r="D734" s="107"/>
      <c r="E734" s="106"/>
      <c r="F734" s="106"/>
      <c r="G734" s="106"/>
      <c r="H734" s="60"/>
      <c r="I734" s="60"/>
      <c r="J734" s="108"/>
      <c r="K734" s="60"/>
      <c r="L734" s="109"/>
      <c r="M734" s="109"/>
      <c r="N734" s="109"/>
      <c r="O734" s="109"/>
      <c r="P734" s="109"/>
      <c r="Q734" s="109"/>
      <c r="S734" s="111"/>
      <c r="T734" s="60"/>
      <c r="U734" s="112"/>
    </row>
    <row r="735" spans="1:21" s="110" customFormat="1" ht="15.75" customHeight="1">
      <c r="A735" s="105"/>
      <c r="B735" s="106"/>
      <c r="C735" s="106"/>
      <c r="D735" s="107"/>
      <c r="E735" s="106"/>
      <c r="F735" s="106"/>
      <c r="G735" s="106"/>
      <c r="H735" s="60"/>
      <c r="I735" s="60"/>
      <c r="J735" s="108"/>
      <c r="K735" s="60"/>
      <c r="L735" s="109"/>
      <c r="M735" s="109"/>
      <c r="N735" s="109"/>
      <c r="O735" s="109"/>
      <c r="P735" s="109"/>
      <c r="Q735" s="109"/>
      <c r="S735" s="111"/>
      <c r="T735" s="60"/>
      <c r="U735" s="112"/>
    </row>
    <row r="736" spans="1:21" s="110" customFormat="1" ht="15.75" customHeight="1">
      <c r="A736" s="105"/>
      <c r="B736" s="106"/>
      <c r="C736" s="106"/>
      <c r="D736" s="107"/>
      <c r="E736" s="106"/>
      <c r="F736" s="106"/>
      <c r="G736" s="106"/>
      <c r="H736" s="60"/>
      <c r="I736" s="60"/>
      <c r="J736" s="108"/>
      <c r="K736" s="60"/>
      <c r="L736" s="109"/>
      <c r="M736" s="109"/>
      <c r="N736" s="109"/>
      <c r="O736" s="109"/>
      <c r="P736" s="109"/>
      <c r="Q736" s="109"/>
      <c r="S736" s="111"/>
      <c r="T736" s="60"/>
      <c r="U736" s="112"/>
    </row>
    <row r="737" spans="1:21" s="110" customFormat="1" ht="15.75" customHeight="1">
      <c r="A737" s="105"/>
      <c r="B737" s="106"/>
      <c r="C737" s="106"/>
      <c r="D737" s="107"/>
      <c r="E737" s="106"/>
      <c r="F737" s="106"/>
      <c r="G737" s="106"/>
      <c r="H737" s="60"/>
      <c r="I737" s="60"/>
      <c r="J737" s="108"/>
      <c r="K737" s="60"/>
      <c r="L737" s="109"/>
      <c r="M737" s="109"/>
      <c r="N737" s="109"/>
      <c r="O737" s="109"/>
      <c r="P737" s="109"/>
      <c r="Q737" s="109"/>
      <c r="S737" s="111"/>
      <c r="T737" s="60"/>
      <c r="U737" s="112"/>
    </row>
    <row r="738" spans="1:21" s="110" customFormat="1" ht="15.75" customHeight="1">
      <c r="A738" s="105"/>
      <c r="B738" s="106"/>
      <c r="C738" s="106"/>
      <c r="D738" s="107"/>
      <c r="E738" s="106"/>
      <c r="F738" s="106"/>
      <c r="G738" s="106"/>
      <c r="H738" s="60"/>
      <c r="I738" s="60"/>
      <c r="J738" s="108"/>
      <c r="K738" s="60"/>
      <c r="L738" s="109"/>
      <c r="M738" s="109"/>
      <c r="N738" s="109"/>
      <c r="O738" s="109"/>
      <c r="P738" s="109"/>
      <c r="Q738" s="109"/>
      <c r="S738" s="111"/>
      <c r="T738" s="60"/>
      <c r="U738" s="112"/>
    </row>
    <row r="739" spans="1:21" s="110" customFormat="1" ht="15.75" customHeight="1">
      <c r="A739" s="105"/>
      <c r="B739" s="106"/>
      <c r="C739" s="106"/>
      <c r="D739" s="107"/>
      <c r="E739" s="106"/>
      <c r="F739" s="106"/>
      <c r="G739" s="106"/>
      <c r="H739" s="60"/>
      <c r="I739" s="60"/>
      <c r="J739" s="108"/>
      <c r="K739" s="60"/>
      <c r="L739" s="109"/>
      <c r="M739" s="109"/>
      <c r="N739" s="109"/>
      <c r="O739" s="109"/>
      <c r="P739" s="109"/>
      <c r="Q739" s="109"/>
      <c r="S739" s="111"/>
      <c r="T739" s="60"/>
      <c r="U739" s="112"/>
    </row>
    <row r="740" spans="1:21" s="110" customFormat="1" ht="15.75" customHeight="1">
      <c r="A740" s="105"/>
      <c r="B740" s="106"/>
      <c r="C740" s="106"/>
      <c r="D740" s="107"/>
      <c r="E740" s="106"/>
      <c r="F740" s="106"/>
      <c r="G740" s="106"/>
      <c r="H740" s="60"/>
      <c r="I740" s="60"/>
      <c r="J740" s="108"/>
      <c r="K740" s="60"/>
      <c r="L740" s="109"/>
      <c r="M740" s="109"/>
      <c r="N740" s="109"/>
      <c r="O740" s="109"/>
      <c r="P740" s="109"/>
      <c r="Q740" s="109"/>
      <c r="S740" s="111"/>
      <c r="T740" s="60"/>
      <c r="U740" s="112"/>
    </row>
    <row r="741" spans="1:21" s="110" customFormat="1" ht="15.75" customHeight="1">
      <c r="A741" s="105"/>
      <c r="B741" s="106"/>
      <c r="C741" s="106"/>
      <c r="D741" s="107"/>
      <c r="E741" s="106"/>
      <c r="F741" s="106"/>
      <c r="G741" s="106"/>
      <c r="H741" s="60"/>
      <c r="I741" s="60"/>
      <c r="J741" s="108"/>
      <c r="K741" s="60"/>
      <c r="L741" s="109"/>
      <c r="M741" s="109"/>
      <c r="N741" s="109"/>
      <c r="O741" s="109"/>
      <c r="P741" s="109"/>
      <c r="Q741" s="109"/>
      <c r="S741" s="111"/>
      <c r="T741" s="60"/>
      <c r="U741" s="112"/>
    </row>
    <row r="742" spans="1:21" s="110" customFormat="1" ht="15.75" customHeight="1">
      <c r="A742" s="105"/>
      <c r="B742" s="106"/>
      <c r="C742" s="106"/>
      <c r="D742" s="107"/>
      <c r="E742" s="106"/>
      <c r="F742" s="106"/>
      <c r="G742" s="106"/>
      <c r="H742" s="60"/>
      <c r="I742" s="60"/>
      <c r="J742" s="108"/>
      <c r="K742" s="60"/>
      <c r="L742" s="109"/>
      <c r="M742" s="109"/>
      <c r="N742" s="109"/>
      <c r="O742" s="109"/>
      <c r="P742" s="109"/>
      <c r="Q742" s="109"/>
      <c r="S742" s="111"/>
      <c r="T742" s="60"/>
      <c r="U742" s="112"/>
    </row>
    <row r="743" spans="1:21" s="110" customFormat="1" ht="15.75" customHeight="1">
      <c r="A743" s="105"/>
      <c r="B743" s="106"/>
      <c r="C743" s="106"/>
      <c r="D743" s="107"/>
      <c r="E743" s="106"/>
      <c r="F743" s="106"/>
      <c r="G743" s="106"/>
      <c r="H743" s="60"/>
      <c r="I743" s="60"/>
      <c r="J743" s="108"/>
      <c r="K743" s="60"/>
      <c r="L743" s="109"/>
      <c r="M743" s="109"/>
      <c r="N743" s="109"/>
      <c r="O743" s="109"/>
      <c r="P743" s="109"/>
      <c r="Q743" s="109"/>
      <c r="S743" s="111"/>
      <c r="T743" s="60"/>
      <c r="U743" s="112"/>
    </row>
    <row r="744" spans="1:21" s="110" customFormat="1" ht="15.75" customHeight="1">
      <c r="A744" s="105"/>
      <c r="B744" s="106"/>
      <c r="C744" s="106"/>
      <c r="D744" s="107"/>
      <c r="E744" s="106"/>
      <c r="F744" s="106"/>
      <c r="G744" s="106"/>
      <c r="H744" s="60"/>
      <c r="I744" s="60"/>
      <c r="J744" s="108"/>
      <c r="K744" s="60"/>
      <c r="L744" s="109"/>
      <c r="M744" s="109"/>
      <c r="N744" s="109"/>
      <c r="O744" s="109"/>
      <c r="P744" s="109"/>
      <c r="Q744" s="109"/>
      <c r="S744" s="111"/>
      <c r="T744" s="60"/>
      <c r="U744" s="112"/>
    </row>
    <row r="745" spans="1:21" s="110" customFormat="1" ht="15.75" customHeight="1">
      <c r="A745" s="105"/>
      <c r="B745" s="106"/>
      <c r="C745" s="106"/>
      <c r="D745" s="107"/>
      <c r="E745" s="106"/>
      <c r="F745" s="106"/>
      <c r="G745" s="106"/>
      <c r="H745" s="60"/>
      <c r="I745" s="60"/>
      <c r="J745" s="108"/>
      <c r="K745" s="60"/>
      <c r="L745" s="109"/>
      <c r="M745" s="109"/>
      <c r="N745" s="109"/>
      <c r="O745" s="109"/>
      <c r="P745" s="109"/>
      <c r="Q745" s="109"/>
      <c r="S745" s="111"/>
      <c r="T745" s="60"/>
      <c r="U745" s="112"/>
    </row>
    <row r="746" spans="1:21" s="110" customFormat="1" ht="15.75" customHeight="1">
      <c r="A746" s="105"/>
      <c r="B746" s="106"/>
      <c r="C746" s="106"/>
      <c r="D746" s="107"/>
      <c r="E746" s="106"/>
      <c r="F746" s="106"/>
      <c r="G746" s="106"/>
      <c r="H746" s="60"/>
      <c r="I746" s="60"/>
      <c r="J746" s="108"/>
      <c r="K746" s="60"/>
      <c r="L746" s="109"/>
      <c r="M746" s="109"/>
      <c r="N746" s="109"/>
      <c r="O746" s="109"/>
      <c r="P746" s="109"/>
      <c r="Q746" s="109"/>
      <c r="S746" s="111"/>
      <c r="T746" s="60"/>
      <c r="U746" s="112"/>
    </row>
    <row r="747" spans="1:21" s="110" customFormat="1" ht="15.75" customHeight="1">
      <c r="A747" s="105"/>
      <c r="B747" s="106"/>
      <c r="C747" s="106"/>
      <c r="D747" s="107"/>
      <c r="E747" s="106"/>
      <c r="F747" s="106"/>
      <c r="G747" s="106"/>
      <c r="H747" s="60"/>
      <c r="I747" s="60"/>
      <c r="J747" s="108"/>
      <c r="K747" s="60"/>
      <c r="L747" s="109"/>
      <c r="M747" s="109"/>
      <c r="N747" s="109"/>
      <c r="O747" s="109"/>
      <c r="P747" s="109"/>
      <c r="Q747" s="109"/>
      <c r="S747" s="111"/>
      <c r="T747" s="60"/>
      <c r="U747" s="112"/>
    </row>
    <row r="748" spans="1:21" s="110" customFormat="1" ht="15.75" customHeight="1">
      <c r="A748" s="105"/>
      <c r="B748" s="106"/>
      <c r="C748" s="106"/>
      <c r="D748" s="107"/>
      <c r="E748" s="106"/>
      <c r="F748" s="106"/>
      <c r="G748" s="106"/>
      <c r="H748" s="60"/>
      <c r="I748" s="60"/>
      <c r="J748" s="108"/>
      <c r="K748" s="60"/>
      <c r="L748" s="109"/>
      <c r="M748" s="109"/>
      <c r="N748" s="109"/>
      <c r="O748" s="109"/>
      <c r="P748" s="109"/>
      <c r="Q748" s="109"/>
      <c r="S748" s="111"/>
      <c r="T748" s="60"/>
      <c r="U748" s="112"/>
    </row>
    <row r="749" spans="1:21" s="110" customFormat="1" ht="15.75" customHeight="1">
      <c r="A749" s="105"/>
      <c r="B749" s="106"/>
      <c r="C749" s="106"/>
      <c r="D749" s="107"/>
      <c r="E749" s="106"/>
      <c r="F749" s="106"/>
      <c r="G749" s="106"/>
      <c r="H749" s="60"/>
      <c r="I749" s="60"/>
      <c r="J749" s="108"/>
      <c r="K749" s="60"/>
      <c r="L749" s="109"/>
      <c r="M749" s="109"/>
      <c r="N749" s="109"/>
      <c r="O749" s="109"/>
      <c r="P749" s="109"/>
      <c r="Q749" s="109"/>
      <c r="S749" s="111"/>
      <c r="T749" s="60"/>
      <c r="U749" s="112"/>
    </row>
    <row r="750" spans="1:21" s="110" customFormat="1" ht="15.75" customHeight="1">
      <c r="A750" s="105"/>
      <c r="B750" s="106"/>
      <c r="C750" s="106"/>
      <c r="D750" s="107"/>
      <c r="E750" s="106"/>
      <c r="F750" s="106"/>
      <c r="G750" s="106"/>
      <c r="H750" s="60"/>
      <c r="I750" s="60"/>
      <c r="J750" s="108"/>
      <c r="K750" s="60"/>
      <c r="L750" s="109"/>
      <c r="M750" s="109"/>
      <c r="N750" s="109"/>
      <c r="O750" s="109"/>
      <c r="P750" s="109"/>
      <c r="Q750" s="109"/>
      <c r="S750" s="111"/>
      <c r="T750" s="60"/>
      <c r="U750" s="112"/>
    </row>
    <row r="751" spans="1:21" s="110" customFormat="1" ht="15.75" customHeight="1">
      <c r="A751" s="105"/>
      <c r="B751" s="106"/>
      <c r="C751" s="106"/>
      <c r="D751" s="107"/>
      <c r="E751" s="106"/>
      <c r="F751" s="106"/>
      <c r="G751" s="106"/>
      <c r="H751" s="60"/>
      <c r="I751" s="60"/>
      <c r="J751" s="108"/>
      <c r="K751" s="60"/>
      <c r="L751" s="109"/>
      <c r="M751" s="109"/>
      <c r="N751" s="109"/>
      <c r="O751" s="109"/>
      <c r="P751" s="109"/>
      <c r="Q751" s="109"/>
      <c r="S751" s="111"/>
      <c r="T751" s="60"/>
      <c r="U751" s="112"/>
    </row>
    <row r="752" spans="1:21" s="110" customFormat="1" ht="15.75" customHeight="1">
      <c r="A752" s="105"/>
      <c r="B752" s="106"/>
      <c r="C752" s="106"/>
      <c r="D752" s="107"/>
      <c r="E752" s="106"/>
      <c r="F752" s="106"/>
      <c r="G752" s="106"/>
      <c r="H752" s="60"/>
      <c r="I752" s="60"/>
      <c r="J752" s="108"/>
      <c r="K752" s="60"/>
      <c r="L752" s="109"/>
      <c r="M752" s="109"/>
      <c r="N752" s="109"/>
      <c r="O752" s="109"/>
      <c r="P752" s="109"/>
      <c r="Q752" s="109"/>
      <c r="S752" s="111"/>
      <c r="T752" s="60"/>
      <c r="U752" s="112"/>
    </row>
    <row r="753" spans="1:21" s="110" customFormat="1" ht="15.75" customHeight="1">
      <c r="A753" s="105"/>
      <c r="B753" s="106"/>
      <c r="C753" s="106"/>
      <c r="D753" s="107"/>
      <c r="E753" s="106"/>
      <c r="F753" s="106"/>
      <c r="G753" s="106"/>
      <c r="H753" s="60"/>
      <c r="I753" s="60"/>
      <c r="J753" s="108"/>
      <c r="K753" s="60"/>
      <c r="L753" s="109"/>
      <c r="M753" s="109"/>
      <c r="N753" s="109"/>
      <c r="O753" s="109"/>
      <c r="P753" s="109"/>
      <c r="Q753" s="109"/>
      <c r="S753" s="111"/>
      <c r="T753" s="60"/>
      <c r="U753" s="112"/>
    </row>
    <row r="754" spans="1:21" s="110" customFormat="1" ht="15.75" customHeight="1">
      <c r="A754" s="105"/>
      <c r="B754" s="106"/>
      <c r="C754" s="106"/>
      <c r="D754" s="107"/>
      <c r="E754" s="106"/>
      <c r="F754" s="106"/>
      <c r="G754" s="106"/>
      <c r="H754" s="60"/>
      <c r="I754" s="60"/>
      <c r="J754" s="108"/>
      <c r="K754" s="60"/>
      <c r="L754" s="109"/>
      <c r="M754" s="109"/>
      <c r="N754" s="109"/>
      <c r="O754" s="109"/>
      <c r="P754" s="109"/>
      <c r="Q754" s="109"/>
      <c r="S754" s="111"/>
      <c r="T754" s="60"/>
      <c r="U754" s="112"/>
    </row>
    <row r="755" spans="1:21" s="110" customFormat="1" ht="15.75" customHeight="1">
      <c r="A755" s="105"/>
      <c r="B755" s="106"/>
      <c r="C755" s="106"/>
      <c r="D755" s="107"/>
      <c r="E755" s="106"/>
      <c r="F755" s="106"/>
      <c r="G755" s="106"/>
      <c r="H755" s="60"/>
      <c r="I755" s="60"/>
      <c r="J755" s="108"/>
      <c r="K755" s="60"/>
      <c r="L755" s="109"/>
      <c r="M755" s="109"/>
      <c r="N755" s="109"/>
      <c r="O755" s="109"/>
      <c r="P755" s="109"/>
      <c r="Q755" s="109"/>
      <c r="S755" s="111"/>
      <c r="T755" s="60"/>
      <c r="U755" s="112"/>
    </row>
    <row r="756" spans="1:21" s="110" customFormat="1" ht="15.75" customHeight="1">
      <c r="A756" s="105"/>
      <c r="B756" s="106"/>
      <c r="C756" s="106"/>
      <c r="D756" s="107"/>
      <c r="E756" s="106"/>
      <c r="F756" s="106"/>
      <c r="G756" s="106"/>
      <c r="H756" s="60"/>
      <c r="I756" s="60"/>
      <c r="J756" s="108"/>
      <c r="K756" s="60"/>
      <c r="L756" s="109"/>
      <c r="M756" s="109"/>
      <c r="N756" s="109"/>
      <c r="O756" s="109"/>
      <c r="P756" s="109"/>
      <c r="Q756" s="109"/>
      <c r="S756" s="111"/>
      <c r="T756" s="60"/>
      <c r="U756" s="112"/>
    </row>
    <row r="757" spans="1:21" s="110" customFormat="1" ht="15.75" customHeight="1">
      <c r="A757" s="105"/>
      <c r="B757" s="106"/>
      <c r="C757" s="106"/>
      <c r="D757" s="107"/>
      <c r="E757" s="106"/>
      <c r="F757" s="106"/>
      <c r="G757" s="106"/>
      <c r="H757" s="60"/>
      <c r="I757" s="60"/>
      <c r="J757" s="108"/>
      <c r="K757" s="60"/>
      <c r="L757" s="109"/>
      <c r="M757" s="109"/>
      <c r="N757" s="109"/>
      <c r="O757" s="109"/>
      <c r="P757" s="109"/>
      <c r="Q757" s="109"/>
      <c r="S757" s="111"/>
      <c r="T757" s="60"/>
      <c r="U757" s="112"/>
    </row>
    <row r="758" spans="1:21" s="110" customFormat="1" ht="15.75" customHeight="1">
      <c r="A758" s="105"/>
      <c r="B758" s="106"/>
      <c r="C758" s="106"/>
      <c r="D758" s="107"/>
      <c r="E758" s="106"/>
      <c r="F758" s="106"/>
      <c r="G758" s="106"/>
      <c r="H758" s="60"/>
      <c r="I758" s="60"/>
      <c r="J758" s="108"/>
      <c r="K758" s="60"/>
      <c r="L758" s="109"/>
      <c r="M758" s="109"/>
      <c r="N758" s="109"/>
      <c r="O758" s="109"/>
      <c r="P758" s="109"/>
      <c r="Q758" s="109"/>
      <c r="S758" s="111"/>
      <c r="T758" s="60"/>
      <c r="U758" s="112"/>
    </row>
    <row r="759" spans="1:21" s="110" customFormat="1" ht="15.75" customHeight="1">
      <c r="A759" s="105"/>
      <c r="B759" s="106"/>
      <c r="C759" s="106"/>
      <c r="D759" s="107"/>
      <c r="E759" s="106"/>
      <c r="F759" s="106"/>
      <c r="G759" s="106"/>
      <c r="H759" s="60"/>
      <c r="I759" s="60"/>
      <c r="J759" s="108"/>
      <c r="K759" s="60"/>
      <c r="L759" s="109"/>
      <c r="M759" s="109"/>
      <c r="N759" s="109"/>
      <c r="O759" s="109"/>
      <c r="P759" s="109"/>
      <c r="Q759" s="109"/>
      <c r="S759" s="111"/>
      <c r="T759" s="60"/>
      <c r="U759" s="112"/>
    </row>
    <row r="760" spans="1:21" s="110" customFormat="1" ht="15.75" customHeight="1">
      <c r="A760" s="105"/>
      <c r="B760" s="106"/>
      <c r="C760" s="106"/>
      <c r="D760" s="107"/>
      <c r="E760" s="106"/>
      <c r="F760" s="106"/>
      <c r="G760" s="106"/>
      <c r="H760" s="60"/>
      <c r="I760" s="60"/>
      <c r="J760" s="108"/>
      <c r="K760" s="60"/>
      <c r="L760" s="109"/>
      <c r="M760" s="109"/>
      <c r="N760" s="109"/>
      <c r="O760" s="109"/>
      <c r="P760" s="109"/>
      <c r="Q760" s="109"/>
      <c r="S760" s="111"/>
      <c r="T760" s="60"/>
      <c r="U760" s="112"/>
    </row>
    <row r="761" spans="1:21" s="110" customFormat="1" ht="15.75" customHeight="1">
      <c r="A761" s="105"/>
      <c r="B761" s="106"/>
      <c r="C761" s="106"/>
      <c r="D761" s="107"/>
      <c r="E761" s="106"/>
      <c r="F761" s="106"/>
      <c r="G761" s="106"/>
      <c r="H761" s="60"/>
      <c r="I761" s="60"/>
      <c r="J761" s="108"/>
      <c r="K761" s="60"/>
      <c r="L761" s="109"/>
      <c r="M761" s="109"/>
      <c r="N761" s="109"/>
      <c r="O761" s="109"/>
      <c r="P761" s="109"/>
      <c r="Q761" s="109"/>
      <c r="S761" s="111"/>
      <c r="T761" s="60"/>
      <c r="U761" s="112"/>
    </row>
    <row r="762" spans="1:21" s="110" customFormat="1" ht="15.75" customHeight="1">
      <c r="A762" s="105"/>
      <c r="B762" s="106"/>
      <c r="C762" s="106"/>
      <c r="D762" s="107"/>
      <c r="E762" s="106"/>
      <c r="F762" s="106"/>
      <c r="G762" s="106"/>
      <c r="H762" s="60"/>
      <c r="I762" s="60"/>
      <c r="J762" s="108"/>
      <c r="K762" s="60"/>
      <c r="L762" s="109"/>
      <c r="M762" s="109"/>
      <c r="N762" s="109"/>
      <c r="O762" s="109"/>
      <c r="P762" s="109"/>
      <c r="Q762" s="109"/>
      <c r="S762" s="111"/>
      <c r="T762" s="60"/>
      <c r="U762" s="112"/>
    </row>
    <row r="763" spans="1:21" s="110" customFormat="1" ht="15.75" customHeight="1">
      <c r="A763" s="105"/>
      <c r="B763" s="106"/>
      <c r="C763" s="106"/>
      <c r="D763" s="107"/>
      <c r="E763" s="106"/>
      <c r="F763" s="106"/>
      <c r="G763" s="106"/>
      <c r="H763" s="60"/>
      <c r="I763" s="60"/>
      <c r="J763" s="108"/>
      <c r="K763" s="60"/>
      <c r="L763" s="109"/>
      <c r="M763" s="109"/>
      <c r="N763" s="109"/>
      <c r="O763" s="109"/>
      <c r="P763" s="109"/>
      <c r="Q763" s="109"/>
      <c r="S763" s="111"/>
      <c r="T763" s="60"/>
      <c r="U763" s="112"/>
    </row>
    <row r="764" spans="1:21" s="110" customFormat="1" ht="15.75" customHeight="1">
      <c r="A764" s="105"/>
      <c r="B764" s="106"/>
      <c r="C764" s="106"/>
      <c r="D764" s="107"/>
      <c r="E764" s="106"/>
      <c r="F764" s="106"/>
      <c r="G764" s="106"/>
      <c r="H764" s="60"/>
      <c r="I764" s="60"/>
      <c r="J764" s="108"/>
      <c r="K764" s="60"/>
      <c r="L764" s="109"/>
      <c r="M764" s="109"/>
      <c r="N764" s="109"/>
      <c r="O764" s="109"/>
      <c r="P764" s="109"/>
      <c r="Q764" s="109"/>
      <c r="S764" s="111"/>
      <c r="T764" s="60"/>
      <c r="U764" s="112"/>
    </row>
    <row r="765" spans="1:21" s="110" customFormat="1" ht="15.75" customHeight="1">
      <c r="A765" s="105"/>
      <c r="B765" s="106"/>
      <c r="C765" s="106"/>
      <c r="D765" s="107"/>
      <c r="E765" s="106"/>
      <c r="F765" s="106"/>
      <c r="G765" s="106"/>
      <c r="H765" s="60"/>
      <c r="I765" s="60"/>
      <c r="J765" s="108"/>
      <c r="K765" s="60"/>
      <c r="L765" s="109"/>
      <c r="M765" s="109"/>
      <c r="N765" s="109"/>
      <c r="O765" s="109"/>
      <c r="P765" s="109"/>
      <c r="Q765" s="109"/>
      <c r="S765" s="111"/>
      <c r="T765" s="60"/>
      <c r="U765" s="112"/>
    </row>
    <row r="766" spans="1:21" s="110" customFormat="1" ht="15.75" customHeight="1">
      <c r="A766" s="105"/>
      <c r="B766" s="106"/>
      <c r="C766" s="106"/>
      <c r="D766" s="107"/>
      <c r="E766" s="106"/>
      <c r="F766" s="106"/>
      <c r="G766" s="106"/>
      <c r="H766" s="60"/>
      <c r="I766" s="60"/>
      <c r="J766" s="108"/>
      <c r="K766" s="60"/>
      <c r="L766" s="109"/>
      <c r="M766" s="109"/>
      <c r="N766" s="109"/>
      <c r="O766" s="109"/>
      <c r="P766" s="109"/>
      <c r="Q766" s="109"/>
      <c r="S766" s="111"/>
      <c r="T766" s="60"/>
      <c r="U766" s="112"/>
    </row>
    <row r="767" spans="1:21" s="110" customFormat="1" ht="15.75" customHeight="1">
      <c r="A767" s="105"/>
      <c r="B767" s="106"/>
      <c r="C767" s="106"/>
      <c r="D767" s="107"/>
      <c r="E767" s="106"/>
      <c r="F767" s="106"/>
      <c r="G767" s="106"/>
      <c r="H767" s="60"/>
      <c r="I767" s="60"/>
      <c r="J767" s="108"/>
      <c r="K767" s="60"/>
      <c r="L767" s="109"/>
      <c r="M767" s="109"/>
      <c r="N767" s="109"/>
      <c r="O767" s="109"/>
      <c r="P767" s="109"/>
      <c r="Q767" s="109"/>
      <c r="S767" s="111"/>
      <c r="T767" s="60"/>
      <c r="U767" s="112"/>
    </row>
    <row r="768" spans="1:21" s="110" customFormat="1" ht="15.75" customHeight="1">
      <c r="A768" s="105"/>
      <c r="B768" s="106"/>
      <c r="C768" s="106"/>
      <c r="D768" s="107"/>
      <c r="E768" s="106"/>
      <c r="F768" s="106"/>
      <c r="G768" s="106"/>
      <c r="H768" s="60"/>
      <c r="I768" s="60"/>
      <c r="J768" s="108"/>
      <c r="K768" s="60"/>
      <c r="L768" s="109"/>
      <c r="M768" s="109"/>
      <c r="N768" s="109"/>
      <c r="O768" s="109"/>
      <c r="P768" s="109"/>
      <c r="Q768" s="109"/>
      <c r="S768" s="111"/>
      <c r="T768" s="60"/>
      <c r="U768" s="112"/>
    </row>
    <row r="769" spans="1:21" s="110" customFormat="1" ht="15.75" customHeight="1">
      <c r="A769" s="105"/>
      <c r="B769" s="106"/>
      <c r="C769" s="106"/>
      <c r="D769" s="107"/>
      <c r="E769" s="106"/>
      <c r="F769" s="106"/>
      <c r="G769" s="106"/>
      <c r="H769" s="60"/>
      <c r="I769" s="60"/>
      <c r="J769" s="108"/>
      <c r="K769" s="60"/>
      <c r="L769" s="109"/>
      <c r="M769" s="109"/>
      <c r="N769" s="109"/>
      <c r="O769" s="109"/>
      <c r="P769" s="109"/>
      <c r="Q769" s="109"/>
      <c r="S769" s="111"/>
      <c r="T769" s="60"/>
      <c r="U769" s="112"/>
    </row>
    <row r="770" spans="1:21" s="110" customFormat="1" ht="15.75" customHeight="1">
      <c r="A770" s="105"/>
      <c r="B770" s="106"/>
      <c r="C770" s="106"/>
      <c r="D770" s="107"/>
      <c r="E770" s="106"/>
      <c r="F770" s="106"/>
      <c r="G770" s="106"/>
      <c r="H770" s="60"/>
      <c r="I770" s="60"/>
      <c r="J770" s="108"/>
      <c r="K770" s="60"/>
      <c r="L770" s="109"/>
      <c r="M770" s="109"/>
      <c r="N770" s="109"/>
      <c r="O770" s="109"/>
      <c r="P770" s="109"/>
      <c r="Q770" s="109"/>
      <c r="S770" s="111"/>
      <c r="T770" s="60"/>
      <c r="U770" s="112"/>
    </row>
    <row r="771" spans="1:21" s="110" customFormat="1" ht="15.75" customHeight="1">
      <c r="A771" s="105"/>
      <c r="B771" s="106"/>
      <c r="C771" s="106"/>
      <c r="D771" s="107"/>
      <c r="E771" s="106"/>
      <c r="F771" s="106"/>
      <c r="G771" s="106"/>
      <c r="H771" s="60"/>
      <c r="I771" s="60"/>
      <c r="J771" s="108"/>
      <c r="K771" s="60"/>
      <c r="L771" s="109"/>
      <c r="M771" s="109"/>
      <c r="N771" s="109"/>
      <c r="O771" s="109"/>
      <c r="P771" s="109"/>
      <c r="Q771" s="109"/>
      <c r="S771" s="111"/>
      <c r="T771" s="60"/>
      <c r="U771" s="112"/>
    </row>
    <row r="772" spans="1:21" s="110" customFormat="1" ht="15.75" customHeight="1">
      <c r="A772" s="105"/>
      <c r="B772" s="106"/>
      <c r="C772" s="106"/>
      <c r="D772" s="107"/>
      <c r="E772" s="106"/>
      <c r="F772" s="106"/>
      <c r="G772" s="106"/>
      <c r="H772" s="60"/>
      <c r="I772" s="60"/>
      <c r="J772" s="108"/>
      <c r="K772" s="60"/>
      <c r="L772" s="109"/>
      <c r="M772" s="109"/>
      <c r="N772" s="109"/>
      <c r="O772" s="109"/>
      <c r="P772" s="109"/>
      <c r="Q772" s="109"/>
      <c r="S772" s="111"/>
      <c r="T772" s="60"/>
      <c r="U772" s="112"/>
    </row>
    <row r="773" spans="1:21" s="110" customFormat="1" ht="15.75" customHeight="1">
      <c r="A773" s="105"/>
      <c r="B773" s="106"/>
      <c r="C773" s="106"/>
      <c r="D773" s="107"/>
      <c r="E773" s="106"/>
      <c r="F773" s="106"/>
      <c r="G773" s="106"/>
      <c r="H773" s="60"/>
      <c r="I773" s="60"/>
      <c r="J773" s="108"/>
      <c r="K773" s="60"/>
      <c r="L773" s="109"/>
      <c r="M773" s="109"/>
      <c r="N773" s="109"/>
      <c r="O773" s="109"/>
      <c r="P773" s="109"/>
      <c r="Q773" s="109"/>
      <c r="S773" s="111"/>
      <c r="T773" s="60"/>
      <c r="U773" s="112"/>
    </row>
    <row r="774" spans="1:21" s="110" customFormat="1" ht="15.75" customHeight="1">
      <c r="A774" s="105"/>
      <c r="B774" s="106"/>
      <c r="C774" s="106"/>
      <c r="D774" s="107"/>
      <c r="E774" s="106"/>
      <c r="F774" s="106"/>
      <c r="G774" s="106"/>
      <c r="H774" s="60"/>
      <c r="I774" s="60"/>
      <c r="J774" s="108"/>
      <c r="K774" s="60"/>
      <c r="L774" s="109"/>
      <c r="M774" s="109"/>
      <c r="N774" s="109"/>
      <c r="O774" s="109"/>
      <c r="P774" s="109"/>
      <c r="Q774" s="109"/>
      <c r="S774" s="111"/>
      <c r="T774" s="60"/>
      <c r="U774" s="112"/>
    </row>
    <row r="775" spans="1:21" s="110" customFormat="1" ht="15.75" customHeight="1">
      <c r="A775" s="105"/>
      <c r="B775" s="106"/>
      <c r="C775" s="106"/>
      <c r="D775" s="107"/>
      <c r="E775" s="106"/>
      <c r="F775" s="106"/>
      <c r="G775" s="106"/>
      <c r="H775" s="60"/>
      <c r="I775" s="60"/>
      <c r="J775" s="108"/>
      <c r="K775" s="60"/>
      <c r="L775" s="109"/>
      <c r="M775" s="109"/>
      <c r="N775" s="109"/>
      <c r="O775" s="109"/>
      <c r="P775" s="109"/>
      <c r="Q775" s="109"/>
      <c r="S775" s="111"/>
      <c r="T775" s="60"/>
      <c r="U775" s="112"/>
    </row>
    <row r="776" spans="1:21" s="110" customFormat="1" ht="15.75" customHeight="1">
      <c r="A776" s="105"/>
      <c r="B776" s="106"/>
      <c r="C776" s="106"/>
      <c r="D776" s="107"/>
      <c r="E776" s="106"/>
      <c r="F776" s="106"/>
      <c r="G776" s="106"/>
      <c r="H776" s="60"/>
      <c r="I776" s="60"/>
      <c r="J776" s="108"/>
      <c r="K776" s="60"/>
      <c r="L776" s="109"/>
      <c r="M776" s="109"/>
      <c r="N776" s="109"/>
      <c r="O776" s="109"/>
      <c r="P776" s="109"/>
      <c r="Q776" s="109"/>
      <c r="S776" s="111"/>
      <c r="T776" s="60"/>
      <c r="U776" s="112"/>
    </row>
    <row r="777" spans="1:21" s="110" customFormat="1" ht="15.75" customHeight="1">
      <c r="A777" s="105"/>
      <c r="B777" s="106"/>
      <c r="C777" s="106"/>
      <c r="D777" s="107"/>
      <c r="E777" s="106"/>
      <c r="F777" s="106"/>
      <c r="G777" s="106"/>
      <c r="H777" s="60"/>
      <c r="I777" s="60"/>
      <c r="J777" s="108"/>
      <c r="K777" s="60"/>
      <c r="L777" s="109"/>
      <c r="M777" s="109"/>
      <c r="N777" s="109"/>
      <c r="O777" s="109"/>
      <c r="P777" s="109"/>
      <c r="Q777" s="109"/>
      <c r="S777" s="111"/>
      <c r="T777" s="60"/>
      <c r="U777" s="112"/>
    </row>
    <row r="778" spans="1:21" s="110" customFormat="1" ht="15.75" customHeight="1">
      <c r="A778" s="105"/>
      <c r="B778" s="106"/>
      <c r="C778" s="106"/>
      <c r="D778" s="107"/>
      <c r="E778" s="106"/>
      <c r="F778" s="106"/>
      <c r="G778" s="106"/>
      <c r="H778" s="60"/>
      <c r="I778" s="60"/>
      <c r="J778" s="108"/>
      <c r="K778" s="60"/>
      <c r="L778" s="109"/>
      <c r="M778" s="109"/>
      <c r="N778" s="109"/>
      <c r="O778" s="109"/>
      <c r="P778" s="109"/>
      <c r="Q778" s="109"/>
      <c r="S778" s="111"/>
      <c r="T778" s="60"/>
      <c r="U778" s="112"/>
    </row>
    <row r="779" spans="1:21" s="110" customFormat="1" ht="15.75" customHeight="1">
      <c r="A779" s="105"/>
      <c r="B779" s="106"/>
      <c r="C779" s="106"/>
      <c r="D779" s="107"/>
      <c r="E779" s="106"/>
      <c r="F779" s="106"/>
      <c r="G779" s="106"/>
      <c r="H779" s="60"/>
      <c r="I779" s="60"/>
      <c r="J779" s="108"/>
      <c r="K779" s="60"/>
      <c r="L779" s="109"/>
      <c r="M779" s="109"/>
      <c r="N779" s="109"/>
      <c r="O779" s="109"/>
      <c r="P779" s="109"/>
      <c r="Q779" s="109"/>
      <c r="S779" s="111"/>
      <c r="T779" s="60"/>
      <c r="U779" s="112"/>
    </row>
    <row r="780" spans="1:21" s="110" customFormat="1" ht="15.75" customHeight="1">
      <c r="A780" s="105"/>
      <c r="B780" s="106"/>
      <c r="C780" s="106"/>
      <c r="D780" s="107"/>
      <c r="E780" s="106"/>
      <c r="F780" s="106"/>
      <c r="G780" s="106"/>
      <c r="H780" s="60"/>
      <c r="I780" s="60"/>
      <c r="J780" s="108"/>
      <c r="K780" s="60"/>
      <c r="L780" s="109"/>
      <c r="M780" s="109"/>
      <c r="N780" s="109"/>
      <c r="O780" s="109"/>
      <c r="P780" s="109"/>
      <c r="Q780" s="109"/>
      <c r="S780" s="111"/>
      <c r="T780" s="60"/>
      <c r="U780" s="112"/>
    </row>
    <row r="781" spans="1:21" s="110" customFormat="1" ht="15.75" customHeight="1">
      <c r="A781" s="105"/>
      <c r="B781" s="106"/>
      <c r="C781" s="106"/>
      <c r="D781" s="107"/>
      <c r="E781" s="106"/>
      <c r="F781" s="106"/>
      <c r="G781" s="106"/>
      <c r="H781" s="60"/>
      <c r="I781" s="60"/>
      <c r="J781" s="108"/>
      <c r="K781" s="60"/>
      <c r="L781" s="109"/>
      <c r="M781" s="109"/>
      <c r="N781" s="109"/>
      <c r="O781" s="109"/>
      <c r="P781" s="109"/>
      <c r="Q781" s="109"/>
      <c r="S781" s="111"/>
      <c r="T781" s="60"/>
      <c r="U781" s="112"/>
    </row>
    <row r="782" spans="1:21" s="110" customFormat="1" ht="15.75" customHeight="1">
      <c r="A782" s="105"/>
      <c r="B782" s="106"/>
      <c r="C782" s="106"/>
      <c r="D782" s="107"/>
      <c r="E782" s="106"/>
      <c r="F782" s="106"/>
      <c r="G782" s="106"/>
      <c r="H782" s="60"/>
      <c r="I782" s="60"/>
      <c r="J782" s="108"/>
      <c r="K782" s="60"/>
      <c r="L782" s="109"/>
      <c r="M782" s="109"/>
      <c r="N782" s="109"/>
      <c r="O782" s="109"/>
      <c r="P782" s="109"/>
      <c r="Q782" s="109"/>
      <c r="S782" s="111"/>
      <c r="T782" s="60"/>
      <c r="U782" s="112"/>
    </row>
    <row r="783" spans="1:21" s="110" customFormat="1" ht="15.75" customHeight="1">
      <c r="A783" s="105"/>
      <c r="B783" s="106"/>
      <c r="C783" s="106"/>
      <c r="D783" s="107"/>
      <c r="E783" s="106"/>
      <c r="F783" s="106"/>
      <c r="G783" s="106"/>
      <c r="H783" s="60"/>
      <c r="I783" s="60"/>
      <c r="J783" s="108"/>
      <c r="K783" s="60"/>
      <c r="L783" s="109"/>
      <c r="M783" s="109"/>
      <c r="N783" s="109"/>
      <c r="O783" s="109"/>
      <c r="P783" s="109"/>
      <c r="Q783" s="109"/>
      <c r="S783" s="111"/>
      <c r="T783" s="60"/>
      <c r="U783" s="112"/>
    </row>
    <row r="784" spans="1:21" s="110" customFormat="1" ht="15.75" customHeight="1">
      <c r="A784" s="105"/>
      <c r="B784" s="106"/>
      <c r="C784" s="106"/>
      <c r="D784" s="107"/>
      <c r="E784" s="106"/>
      <c r="F784" s="106"/>
      <c r="G784" s="106"/>
      <c r="H784" s="60"/>
      <c r="I784" s="60"/>
      <c r="J784" s="108"/>
      <c r="K784" s="60"/>
      <c r="L784" s="109"/>
      <c r="M784" s="109"/>
      <c r="N784" s="109"/>
      <c r="O784" s="109"/>
      <c r="P784" s="109"/>
      <c r="Q784" s="109"/>
      <c r="S784" s="111"/>
      <c r="T784" s="60"/>
      <c r="U784" s="112"/>
    </row>
    <row r="785" spans="1:21" s="110" customFormat="1" ht="15.75" customHeight="1">
      <c r="A785" s="105"/>
      <c r="B785" s="106"/>
      <c r="C785" s="106"/>
      <c r="D785" s="107"/>
      <c r="E785" s="106"/>
      <c r="F785" s="106"/>
      <c r="G785" s="106"/>
      <c r="H785" s="60"/>
      <c r="I785" s="60"/>
      <c r="J785" s="108"/>
      <c r="K785" s="60"/>
      <c r="L785" s="109"/>
      <c r="M785" s="109"/>
      <c r="N785" s="109"/>
      <c r="O785" s="109"/>
      <c r="P785" s="109"/>
      <c r="Q785" s="109"/>
      <c r="S785" s="111"/>
      <c r="T785" s="60"/>
      <c r="U785" s="112"/>
    </row>
    <row r="786" spans="1:21" s="110" customFormat="1" ht="15.75" customHeight="1">
      <c r="A786" s="105"/>
      <c r="B786" s="106"/>
      <c r="C786" s="106"/>
      <c r="D786" s="107"/>
      <c r="E786" s="106"/>
      <c r="F786" s="106"/>
      <c r="G786" s="106"/>
      <c r="H786" s="60"/>
      <c r="I786" s="60"/>
      <c r="J786" s="108"/>
      <c r="K786" s="60"/>
      <c r="L786" s="109"/>
      <c r="M786" s="109"/>
      <c r="N786" s="109"/>
      <c r="O786" s="109"/>
      <c r="P786" s="109"/>
      <c r="Q786" s="109"/>
      <c r="S786" s="111"/>
      <c r="T786" s="60"/>
      <c r="U786" s="112"/>
    </row>
    <row r="787" spans="1:21" s="110" customFormat="1" ht="15.75" customHeight="1">
      <c r="A787" s="105"/>
      <c r="B787" s="106"/>
      <c r="C787" s="106"/>
      <c r="D787" s="107"/>
      <c r="E787" s="106"/>
      <c r="F787" s="106"/>
      <c r="G787" s="106"/>
      <c r="H787" s="60"/>
      <c r="I787" s="60"/>
      <c r="J787" s="108"/>
      <c r="K787" s="60"/>
      <c r="L787" s="109"/>
      <c r="M787" s="109"/>
      <c r="N787" s="109"/>
      <c r="O787" s="109"/>
      <c r="P787" s="109"/>
      <c r="Q787" s="109"/>
      <c r="S787" s="111"/>
      <c r="T787" s="60"/>
      <c r="U787" s="112"/>
    </row>
    <row r="788" spans="1:21" s="110" customFormat="1" ht="15.75" customHeight="1">
      <c r="A788" s="105"/>
      <c r="B788" s="106"/>
      <c r="C788" s="106"/>
      <c r="D788" s="107"/>
      <c r="E788" s="106"/>
      <c r="F788" s="106"/>
      <c r="G788" s="106"/>
      <c r="H788" s="60"/>
      <c r="I788" s="60"/>
      <c r="J788" s="108"/>
      <c r="K788" s="60"/>
      <c r="L788" s="109"/>
      <c r="M788" s="109"/>
      <c r="N788" s="109"/>
      <c r="O788" s="109"/>
      <c r="P788" s="109"/>
      <c r="Q788" s="109"/>
      <c r="S788" s="111"/>
      <c r="T788" s="60"/>
      <c r="U788" s="112"/>
    </row>
    <row r="789" spans="1:21" s="110" customFormat="1" ht="15.75" customHeight="1">
      <c r="A789" s="105"/>
      <c r="B789" s="106"/>
      <c r="C789" s="106"/>
      <c r="D789" s="107"/>
      <c r="E789" s="106"/>
      <c r="F789" s="106"/>
      <c r="G789" s="106"/>
      <c r="H789" s="60"/>
      <c r="I789" s="60"/>
      <c r="J789" s="108"/>
      <c r="K789" s="60"/>
      <c r="L789" s="109"/>
      <c r="M789" s="109"/>
      <c r="N789" s="109"/>
      <c r="O789" s="109"/>
      <c r="P789" s="109"/>
      <c r="Q789" s="109"/>
      <c r="S789" s="111"/>
      <c r="T789" s="60"/>
      <c r="U789" s="112"/>
    </row>
    <row r="790" spans="1:21" s="110" customFormat="1" ht="15.75" customHeight="1">
      <c r="A790" s="105"/>
      <c r="B790" s="106"/>
      <c r="C790" s="106"/>
      <c r="D790" s="107"/>
      <c r="E790" s="106"/>
      <c r="F790" s="106"/>
      <c r="G790" s="106"/>
      <c r="H790" s="60"/>
      <c r="I790" s="60"/>
      <c r="J790" s="108"/>
      <c r="K790" s="60"/>
      <c r="L790" s="109"/>
      <c r="M790" s="109"/>
      <c r="N790" s="109"/>
      <c r="O790" s="109"/>
      <c r="P790" s="109"/>
      <c r="Q790" s="109"/>
      <c r="S790" s="111"/>
      <c r="T790" s="60"/>
      <c r="U790" s="112"/>
    </row>
    <row r="791" spans="1:21" s="110" customFormat="1" ht="15.75" customHeight="1">
      <c r="A791" s="105"/>
      <c r="B791" s="106"/>
      <c r="C791" s="106"/>
      <c r="D791" s="107"/>
      <c r="E791" s="106"/>
      <c r="F791" s="106"/>
      <c r="G791" s="106"/>
      <c r="H791" s="60"/>
      <c r="I791" s="60"/>
      <c r="J791" s="108"/>
      <c r="K791" s="60"/>
      <c r="L791" s="109"/>
      <c r="M791" s="109"/>
      <c r="N791" s="109"/>
      <c r="O791" s="109"/>
      <c r="P791" s="109"/>
      <c r="Q791" s="109"/>
      <c r="S791" s="111"/>
      <c r="T791" s="60"/>
      <c r="U791" s="112"/>
    </row>
    <row r="792" spans="1:21" s="110" customFormat="1" ht="15.75" customHeight="1">
      <c r="A792" s="105"/>
      <c r="B792" s="106"/>
      <c r="C792" s="106"/>
      <c r="D792" s="107"/>
      <c r="E792" s="106"/>
      <c r="F792" s="106"/>
      <c r="G792" s="106"/>
      <c r="H792" s="60"/>
      <c r="I792" s="60"/>
      <c r="J792" s="108"/>
      <c r="K792" s="60"/>
      <c r="L792" s="109"/>
      <c r="M792" s="109"/>
      <c r="N792" s="109"/>
      <c r="O792" s="109"/>
      <c r="P792" s="109"/>
      <c r="Q792" s="109"/>
      <c r="S792" s="111"/>
      <c r="T792" s="60"/>
      <c r="U792" s="112"/>
    </row>
    <row r="793" spans="1:21" s="110" customFormat="1" ht="15.75" customHeight="1">
      <c r="A793" s="105"/>
      <c r="B793" s="106"/>
      <c r="C793" s="106"/>
      <c r="D793" s="107"/>
      <c r="E793" s="106"/>
      <c r="F793" s="106"/>
      <c r="G793" s="106"/>
      <c r="H793" s="60"/>
      <c r="I793" s="60"/>
      <c r="J793" s="108"/>
      <c r="K793" s="60"/>
      <c r="L793" s="109"/>
      <c r="M793" s="109"/>
      <c r="N793" s="109"/>
      <c r="O793" s="109"/>
      <c r="P793" s="109"/>
      <c r="Q793" s="109"/>
      <c r="S793" s="111"/>
      <c r="T793" s="60"/>
      <c r="U793" s="112"/>
    </row>
    <row r="794" spans="1:21" s="110" customFormat="1" ht="15.75" customHeight="1">
      <c r="A794" s="105"/>
      <c r="B794" s="106"/>
      <c r="C794" s="106"/>
      <c r="D794" s="107"/>
      <c r="E794" s="106"/>
      <c r="F794" s="106"/>
      <c r="G794" s="106"/>
      <c r="H794" s="60"/>
      <c r="I794" s="60"/>
      <c r="J794" s="108"/>
      <c r="K794" s="60"/>
      <c r="L794" s="109"/>
      <c r="M794" s="109"/>
      <c r="N794" s="109"/>
      <c r="O794" s="109"/>
      <c r="P794" s="109"/>
      <c r="Q794" s="109"/>
      <c r="S794" s="111"/>
      <c r="T794" s="60"/>
      <c r="U794" s="112"/>
    </row>
    <row r="795" spans="1:21" s="110" customFormat="1" ht="15.75" customHeight="1">
      <c r="A795" s="105"/>
      <c r="B795" s="106"/>
      <c r="C795" s="106"/>
      <c r="D795" s="107"/>
      <c r="E795" s="106"/>
      <c r="F795" s="106"/>
      <c r="G795" s="106"/>
      <c r="H795" s="60"/>
      <c r="I795" s="60"/>
      <c r="J795" s="108"/>
      <c r="K795" s="60"/>
      <c r="L795" s="109"/>
      <c r="M795" s="109"/>
      <c r="N795" s="109"/>
      <c r="O795" s="109"/>
      <c r="P795" s="109"/>
      <c r="Q795" s="109"/>
      <c r="S795" s="111"/>
      <c r="T795" s="60"/>
      <c r="U795" s="112"/>
    </row>
    <row r="796" spans="1:21" s="110" customFormat="1" ht="15.75" customHeight="1">
      <c r="A796" s="105"/>
      <c r="B796" s="106"/>
      <c r="C796" s="106"/>
      <c r="D796" s="107"/>
      <c r="E796" s="106"/>
      <c r="F796" s="106"/>
      <c r="G796" s="106"/>
      <c r="H796" s="60"/>
      <c r="I796" s="60"/>
      <c r="J796" s="108"/>
      <c r="K796" s="60"/>
      <c r="L796" s="109"/>
      <c r="M796" s="109"/>
      <c r="N796" s="109"/>
      <c r="O796" s="109"/>
      <c r="P796" s="109"/>
      <c r="Q796" s="109"/>
      <c r="S796" s="111"/>
      <c r="T796" s="60"/>
      <c r="U796" s="112"/>
    </row>
    <row r="797" spans="1:21" s="110" customFormat="1" ht="15.75" customHeight="1">
      <c r="A797" s="105"/>
      <c r="B797" s="106"/>
      <c r="C797" s="106"/>
      <c r="D797" s="107"/>
      <c r="E797" s="106"/>
      <c r="F797" s="106"/>
      <c r="G797" s="106"/>
      <c r="H797" s="60"/>
      <c r="I797" s="60"/>
      <c r="J797" s="108"/>
      <c r="K797" s="60"/>
      <c r="L797" s="109"/>
      <c r="M797" s="109"/>
      <c r="N797" s="109"/>
      <c r="O797" s="109"/>
      <c r="P797" s="109"/>
      <c r="Q797" s="109"/>
      <c r="S797" s="111"/>
      <c r="T797" s="60"/>
      <c r="U797" s="112"/>
    </row>
    <row r="798" spans="1:21" s="110" customFormat="1" ht="15.75" customHeight="1">
      <c r="A798" s="105"/>
      <c r="B798" s="106"/>
      <c r="C798" s="106"/>
      <c r="D798" s="107"/>
      <c r="E798" s="106"/>
      <c r="F798" s="106"/>
      <c r="G798" s="106"/>
      <c r="H798" s="60"/>
      <c r="I798" s="60"/>
      <c r="J798" s="108"/>
      <c r="K798" s="60"/>
      <c r="L798" s="109"/>
      <c r="M798" s="109"/>
      <c r="N798" s="109"/>
      <c r="O798" s="109"/>
      <c r="P798" s="109"/>
      <c r="Q798" s="109"/>
      <c r="S798" s="111"/>
      <c r="T798" s="60"/>
      <c r="U798" s="112"/>
    </row>
    <row r="799" spans="1:21" s="110" customFormat="1" ht="15.75" customHeight="1">
      <c r="A799" s="105"/>
      <c r="B799" s="106"/>
      <c r="C799" s="106"/>
      <c r="D799" s="107"/>
      <c r="E799" s="106"/>
      <c r="F799" s="106"/>
      <c r="G799" s="106"/>
      <c r="H799" s="60"/>
      <c r="I799" s="60"/>
      <c r="J799" s="108"/>
      <c r="K799" s="60"/>
      <c r="L799" s="109"/>
      <c r="M799" s="109"/>
      <c r="N799" s="109"/>
      <c r="O799" s="109"/>
      <c r="P799" s="109"/>
      <c r="Q799" s="109"/>
      <c r="S799" s="111"/>
      <c r="T799" s="60"/>
      <c r="U799" s="112"/>
    </row>
    <row r="800" spans="1:21" s="110" customFormat="1" ht="15.75" customHeight="1">
      <c r="A800" s="105"/>
      <c r="B800" s="106"/>
      <c r="C800" s="106"/>
      <c r="D800" s="107"/>
      <c r="E800" s="106"/>
      <c r="F800" s="106"/>
      <c r="G800" s="106"/>
      <c r="H800" s="60"/>
      <c r="I800" s="60"/>
      <c r="J800" s="108"/>
      <c r="K800" s="60"/>
      <c r="L800" s="109"/>
      <c r="M800" s="109"/>
      <c r="N800" s="109"/>
      <c r="O800" s="109"/>
      <c r="P800" s="109"/>
      <c r="Q800" s="109"/>
      <c r="S800" s="111"/>
      <c r="T800" s="60"/>
      <c r="U800" s="112"/>
    </row>
    <row r="801" spans="1:21" s="110" customFormat="1" ht="15.75" customHeight="1">
      <c r="A801" s="105"/>
      <c r="B801" s="106"/>
      <c r="C801" s="106"/>
      <c r="D801" s="107"/>
      <c r="E801" s="106"/>
      <c r="F801" s="106"/>
      <c r="G801" s="106"/>
      <c r="H801" s="60"/>
      <c r="I801" s="60"/>
      <c r="J801" s="108"/>
      <c r="K801" s="60"/>
      <c r="L801" s="109"/>
      <c r="M801" s="109"/>
      <c r="N801" s="109"/>
      <c r="O801" s="109"/>
      <c r="P801" s="109"/>
      <c r="Q801" s="109"/>
      <c r="S801" s="111"/>
      <c r="T801" s="60"/>
      <c r="U801" s="112"/>
    </row>
    <row r="802" spans="1:21" s="110" customFormat="1" ht="15.75" customHeight="1">
      <c r="A802" s="105"/>
      <c r="B802" s="106"/>
      <c r="C802" s="106"/>
      <c r="D802" s="107"/>
      <c r="E802" s="106"/>
      <c r="F802" s="106"/>
      <c r="G802" s="106"/>
      <c r="H802" s="60"/>
      <c r="I802" s="60"/>
      <c r="J802" s="108"/>
      <c r="K802" s="60"/>
      <c r="L802" s="109"/>
      <c r="M802" s="109"/>
      <c r="N802" s="109"/>
      <c r="O802" s="109"/>
      <c r="P802" s="109"/>
      <c r="Q802" s="109"/>
      <c r="S802" s="111"/>
      <c r="T802" s="60"/>
      <c r="U802" s="112"/>
    </row>
    <row r="803" spans="1:21" s="110" customFormat="1" ht="15.75" customHeight="1">
      <c r="A803" s="105"/>
      <c r="B803" s="106"/>
      <c r="C803" s="106"/>
      <c r="D803" s="107"/>
      <c r="E803" s="106"/>
      <c r="F803" s="106"/>
      <c r="G803" s="106"/>
      <c r="H803" s="60"/>
      <c r="I803" s="60"/>
      <c r="J803" s="108"/>
      <c r="K803" s="60"/>
      <c r="L803" s="109"/>
      <c r="M803" s="109"/>
      <c r="N803" s="109"/>
      <c r="O803" s="109"/>
      <c r="P803" s="109"/>
      <c r="Q803" s="109"/>
      <c r="S803" s="111"/>
      <c r="T803" s="60"/>
      <c r="U803" s="112"/>
    </row>
    <row r="804" spans="1:21" s="110" customFormat="1" ht="15.75" customHeight="1">
      <c r="A804" s="105"/>
      <c r="B804" s="106"/>
      <c r="C804" s="106"/>
      <c r="D804" s="107"/>
      <c r="E804" s="106"/>
      <c r="F804" s="106"/>
      <c r="G804" s="106"/>
      <c r="H804" s="60"/>
      <c r="I804" s="60"/>
      <c r="J804" s="108"/>
      <c r="K804" s="60"/>
      <c r="L804" s="109"/>
      <c r="M804" s="109"/>
      <c r="N804" s="109"/>
      <c r="O804" s="109"/>
      <c r="P804" s="109"/>
      <c r="Q804" s="109"/>
      <c r="S804" s="111"/>
      <c r="T804" s="60"/>
      <c r="U804" s="112"/>
    </row>
    <row r="805" spans="1:21" s="110" customFormat="1" ht="15.75" customHeight="1">
      <c r="A805" s="105"/>
      <c r="B805" s="106"/>
      <c r="C805" s="106"/>
      <c r="D805" s="107"/>
      <c r="E805" s="106"/>
      <c r="F805" s="106"/>
      <c r="G805" s="106"/>
      <c r="H805" s="60"/>
      <c r="I805" s="60"/>
      <c r="J805" s="108"/>
      <c r="K805" s="60"/>
      <c r="L805" s="109"/>
      <c r="M805" s="109"/>
      <c r="N805" s="109"/>
      <c r="O805" s="109"/>
      <c r="P805" s="109"/>
      <c r="Q805" s="109"/>
      <c r="S805" s="111"/>
      <c r="T805" s="60"/>
      <c r="U805" s="112"/>
    </row>
    <row r="806" spans="1:21" s="110" customFormat="1" ht="15.75" customHeight="1">
      <c r="A806" s="105"/>
      <c r="B806" s="106"/>
      <c r="C806" s="106"/>
      <c r="D806" s="107"/>
      <c r="E806" s="106"/>
      <c r="F806" s="106"/>
      <c r="G806" s="106"/>
      <c r="H806" s="60"/>
      <c r="I806" s="60"/>
      <c r="J806" s="108"/>
      <c r="K806" s="60"/>
      <c r="L806" s="109"/>
      <c r="M806" s="109"/>
      <c r="N806" s="109"/>
      <c r="O806" s="109"/>
      <c r="P806" s="109"/>
      <c r="Q806" s="109"/>
      <c r="S806" s="111"/>
      <c r="T806" s="60"/>
      <c r="U806" s="112"/>
    </row>
    <row r="807" spans="1:21" s="110" customFormat="1" ht="15.75" customHeight="1">
      <c r="A807" s="105"/>
      <c r="B807" s="106"/>
      <c r="C807" s="106"/>
      <c r="D807" s="107"/>
      <c r="E807" s="106"/>
      <c r="F807" s="106"/>
      <c r="G807" s="106"/>
      <c r="H807" s="60"/>
      <c r="I807" s="60"/>
      <c r="J807" s="108"/>
      <c r="K807" s="60"/>
      <c r="L807" s="109"/>
      <c r="M807" s="109"/>
      <c r="N807" s="109"/>
      <c r="O807" s="109"/>
      <c r="P807" s="109"/>
      <c r="Q807" s="109"/>
      <c r="S807" s="111"/>
      <c r="T807" s="60"/>
      <c r="U807" s="112"/>
    </row>
    <row r="808" spans="1:21" s="110" customFormat="1" ht="15.75" customHeight="1">
      <c r="A808" s="105"/>
      <c r="B808" s="106"/>
      <c r="C808" s="106"/>
      <c r="D808" s="107"/>
      <c r="E808" s="106"/>
      <c r="F808" s="106"/>
      <c r="G808" s="106"/>
      <c r="H808" s="60"/>
      <c r="I808" s="60"/>
      <c r="J808" s="108"/>
      <c r="K808" s="60"/>
      <c r="L808" s="109"/>
      <c r="M808" s="109"/>
      <c r="N808" s="109"/>
      <c r="O808" s="109"/>
      <c r="P808" s="109"/>
      <c r="Q808" s="109"/>
      <c r="S808" s="111"/>
      <c r="T808" s="60"/>
      <c r="U808" s="112"/>
    </row>
    <row r="809" spans="1:21" s="110" customFormat="1" ht="15.75" customHeight="1">
      <c r="A809" s="105"/>
      <c r="B809" s="106"/>
      <c r="C809" s="106"/>
      <c r="D809" s="107"/>
      <c r="E809" s="106"/>
      <c r="F809" s="106"/>
      <c r="G809" s="106"/>
      <c r="H809" s="60"/>
      <c r="I809" s="60"/>
      <c r="J809" s="108"/>
      <c r="K809" s="60"/>
      <c r="L809" s="109"/>
      <c r="M809" s="109"/>
      <c r="N809" s="109"/>
      <c r="O809" s="109"/>
      <c r="P809" s="109"/>
      <c r="Q809" s="109"/>
      <c r="S809" s="111"/>
      <c r="T809" s="60"/>
      <c r="U809" s="112"/>
    </row>
    <row r="810" spans="1:21" s="110" customFormat="1" ht="15.75" customHeight="1">
      <c r="A810" s="105"/>
      <c r="B810" s="106"/>
      <c r="C810" s="106"/>
      <c r="D810" s="107"/>
      <c r="E810" s="106"/>
      <c r="F810" s="106"/>
      <c r="G810" s="106"/>
      <c r="H810" s="60"/>
      <c r="I810" s="60"/>
      <c r="J810" s="108"/>
      <c r="K810" s="60"/>
      <c r="L810" s="109"/>
      <c r="M810" s="109"/>
      <c r="N810" s="109"/>
      <c r="O810" s="109"/>
      <c r="P810" s="109"/>
      <c r="Q810" s="109"/>
      <c r="S810" s="111"/>
      <c r="T810" s="60"/>
      <c r="U810" s="112"/>
    </row>
    <row r="811" spans="1:21" s="110" customFormat="1" ht="15.75" customHeight="1">
      <c r="A811" s="105"/>
      <c r="B811" s="106"/>
      <c r="C811" s="106"/>
      <c r="D811" s="107"/>
      <c r="E811" s="106"/>
      <c r="F811" s="106"/>
      <c r="G811" s="106"/>
      <c r="H811" s="60"/>
      <c r="I811" s="60"/>
      <c r="J811" s="108"/>
      <c r="K811" s="60"/>
      <c r="L811" s="109"/>
      <c r="M811" s="109"/>
      <c r="N811" s="109"/>
      <c r="O811" s="109"/>
      <c r="P811" s="109"/>
      <c r="Q811" s="109"/>
      <c r="S811" s="111"/>
      <c r="T811" s="60"/>
      <c r="U811" s="112"/>
    </row>
    <row r="812" spans="1:21" s="110" customFormat="1" ht="15.75" customHeight="1">
      <c r="A812" s="105"/>
      <c r="B812" s="106"/>
      <c r="C812" s="106"/>
      <c r="D812" s="107"/>
      <c r="E812" s="106"/>
      <c r="F812" s="106"/>
      <c r="G812" s="106"/>
      <c r="H812" s="60"/>
      <c r="I812" s="60"/>
      <c r="J812" s="108"/>
      <c r="K812" s="60"/>
      <c r="L812" s="109"/>
      <c r="M812" s="109"/>
      <c r="N812" s="109"/>
      <c r="O812" s="109"/>
      <c r="P812" s="109"/>
      <c r="Q812" s="109"/>
      <c r="S812" s="111"/>
      <c r="T812" s="60"/>
      <c r="U812" s="112"/>
    </row>
    <row r="813" spans="1:21" s="110" customFormat="1" ht="15.75" customHeight="1">
      <c r="A813" s="105"/>
      <c r="B813" s="106"/>
      <c r="C813" s="106"/>
      <c r="D813" s="107"/>
      <c r="E813" s="106"/>
      <c r="F813" s="106"/>
      <c r="G813" s="106"/>
      <c r="H813" s="60"/>
      <c r="I813" s="60"/>
      <c r="J813" s="108"/>
      <c r="K813" s="60"/>
      <c r="L813" s="109"/>
      <c r="M813" s="109"/>
      <c r="N813" s="109"/>
      <c r="O813" s="109"/>
      <c r="P813" s="109"/>
      <c r="Q813" s="109"/>
      <c r="S813" s="111"/>
      <c r="T813" s="60"/>
      <c r="U813" s="112"/>
    </row>
    <row r="814" spans="1:21" s="110" customFormat="1" ht="15.75" customHeight="1">
      <c r="A814" s="105"/>
      <c r="B814" s="106"/>
      <c r="C814" s="106"/>
      <c r="D814" s="107"/>
      <c r="E814" s="106"/>
      <c r="F814" s="106"/>
      <c r="G814" s="106"/>
      <c r="H814" s="60"/>
      <c r="I814" s="60"/>
      <c r="J814" s="108"/>
      <c r="K814" s="60"/>
      <c r="L814" s="109"/>
      <c r="M814" s="109"/>
      <c r="N814" s="109"/>
      <c r="O814" s="109"/>
      <c r="P814" s="109"/>
      <c r="Q814" s="109"/>
      <c r="S814" s="111"/>
      <c r="T814" s="60"/>
      <c r="U814" s="112"/>
    </row>
    <row r="815" spans="1:21" s="110" customFormat="1" ht="15.75" customHeight="1">
      <c r="A815" s="105"/>
      <c r="B815" s="106"/>
      <c r="C815" s="106"/>
      <c r="D815" s="107"/>
      <c r="E815" s="106"/>
      <c r="F815" s="106"/>
      <c r="G815" s="106"/>
      <c r="H815" s="60"/>
      <c r="I815" s="60"/>
      <c r="J815" s="108"/>
      <c r="K815" s="60"/>
      <c r="L815" s="109"/>
      <c r="M815" s="109"/>
      <c r="N815" s="109"/>
      <c r="O815" s="109"/>
      <c r="P815" s="109"/>
      <c r="Q815" s="109"/>
      <c r="S815" s="111"/>
      <c r="T815" s="60"/>
      <c r="U815" s="112"/>
    </row>
    <row r="816" spans="1:21" s="110" customFormat="1" ht="15.75" customHeight="1">
      <c r="A816" s="105"/>
      <c r="B816" s="106"/>
      <c r="C816" s="106"/>
      <c r="D816" s="107"/>
      <c r="E816" s="106"/>
      <c r="F816" s="106"/>
      <c r="G816" s="106"/>
      <c r="H816" s="60"/>
      <c r="I816" s="60"/>
      <c r="J816" s="108"/>
      <c r="K816" s="60"/>
      <c r="L816" s="109"/>
      <c r="M816" s="109"/>
      <c r="N816" s="109"/>
      <c r="O816" s="109"/>
      <c r="P816" s="109"/>
      <c r="Q816" s="109"/>
      <c r="S816" s="111"/>
      <c r="T816" s="60"/>
      <c r="U816" s="112"/>
    </row>
    <row r="817" spans="1:21" s="110" customFormat="1" ht="15.75" customHeight="1">
      <c r="A817" s="105"/>
      <c r="B817" s="106"/>
      <c r="C817" s="106"/>
      <c r="D817" s="107"/>
      <c r="E817" s="106"/>
      <c r="F817" s="106"/>
      <c r="G817" s="106"/>
      <c r="H817" s="60"/>
      <c r="I817" s="60"/>
      <c r="J817" s="108"/>
      <c r="K817" s="60"/>
      <c r="L817" s="109"/>
      <c r="M817" s="109"/>
      <c r="N817" s="109"/>
      <c r="O817" s="109"/>
      <c r="P817" s="109"/>
      <c r="Q817" s="109"/>
      <c r="S817" s="111"/>
      <c r="T817" s="60"/>
      <c r="U817" s="112"/>
    </row>
    <row r="818" spans="1:21" s="110" customFormat="1" ht="15.75" customHeight="1">
      <c r="A818" s="105"/>
      <c r="B818" s="106"/>
      <c r="C818" s="106"/>
      <c r="D818" s="107"/>
      <c r="E818" s="106"/>
      <c r="F818" s="106"/>
      <c r="G818" s="106"/>
      <c r="H818" s="60"/>
      <c r="I818" s="60"/>
      <c r="J818" s="108"/>
      <c r="K818" s="60"/>
      <c r="L818" s="109"/>
      <c r="M818" s="109"/>
      <c r="N818" s="109"/>
      <c r="O818" s="109"/>
      <c r="P818" s="109"/>
      <c r="Q818" s="109"/>
      <c r="S818" s="111"/>
      <c r="T818" s="60"/>
      <c r="U818" s="112"/>
    </row>
    <row r="819" spans="1:21" s="110" customFormat="1" ht="15.75" customHeight="1">
      <c r="A819" s="105"/>
      <c r="B819" s="106"/>
      <c r="C819" s="106"/>
      <c r="D819" s="107"/>
      <c r="E819" s="106"/>
      <c r="F819" s="106"/>
      <c r="G819" s="106"/>
      <c r="H819" s="60"/>
      <c r="I819" s="60"/>
      <c r="J819" s="108"/>
      <c r="K819" s="60"/>
      <c r="L819" s="109"/>
      <c r="M819" s="109"/>
      <c r="N819" s="109"/>
      <c r="O819" s="109"/>
      <c r="P819" s="109"/>
      <c r="Q819" s="109"/>
      <c r="S819" s="111"/>
      <c r="T819" s="60"/>
      <c r="U819" s="112"/>
    </row>
    <row r="820" spans="1:21" s="110" customFormat="1" ht="15.75" customHeight="1">
      <c r="A820" s="105"/>
      <c r="B820" s="106"/>
      <c r="C820" s="106"/>
      <c r="D820" s="107"/>
      <c r="E820" s="106"/>
      <c r="F820" s="106"/>
      <c r="G820" s="106"/>
      <c r="H820" s="60"/>
      <c r="I820" s="60"/>
      <c r="J820" s="108"/>
      <c r="K820" s="60"/>
      <c r="L820" s="109"/>
      <c r="M820" s="109"/>
      <c r="N820" s="109"/>
      <c r="O820" s="109"/>
      <c r="P820" s="109"/>
      <c r="Q820" s="109"/>
      <c r="S820" s="111"/>
      <c r="T820" s="60"/>
      <c r="U820" s="112"/>
    </row>
    <row r="821" spans="1:21" s="110" customFormat="1" ht="15.75" customHeight="1">
      <c r="A821" s="105"/>
      <c r="B821" s="106"/>
      <c r="C821" s="106"/>
      <c r="D821" s="107"/>
      <c r="E821" s="106"/>
      <c r="F821" s="106"/>
      <c r="G821" s="106"/>
      <c r="H821" s="60"/>
      <c r="I821" s="60"/>
      <c r="J821" s="108"/>
      <c r="K821" s="60"/>
      <c r="L821" s="109"/>
      <c r="M821" s="109"/>
      <c r="N821" s="109"/>
      <c r="O821" s="109"/>
      <c r="P821" s="109"/>
      <c r="Q821" s="109"/>
      <c r="S821" s="111"/>
      <c r="T821" s="60"/>
      <c r="U821" s="112"/>
    </row>
    <row r="822" spans="1:21" s="110" customFormat="1" ht="15.75" customHeight="1">
      <c r="A822" s="105"/>
      <c r="B822" s="106"/>
      <c r="C822" s="106"/>
      <c r="D822" s="107"/>
      <c r="E822" s="106"/>
      <c r="F822" s="106"/>
      <c r="G822" s="106"/>
      <c r="H822" s="60"/>
      <c r="I822" s="60"/>
      <c r="J822" s="108"/>
      <c r="K822" s="60"/>
      <c r="L822" s="109"/>
      <c r="M822" s="109"/>
      <c r="N822" s="109"/>
      <c r="O822" s="109"/>
      <c r="P822" s="109"/>
      <c r="Q822" s="109"/>
      <c r="S822" s="111"/>
      <c r="T822" s="60"/>
      <c r="U822" s="112"/>
    </row>
    <row r="823" spans="1:21" s="110" customFormat="1" ht="15.75" customHeight="1">
      <c r="A823" s="105"/>
      <c r="B823" s="106"/>
      <c r="C823" s="106"/>
      <c r="D823" s="107"/>
      <c r="E823" s="106"/>
      <c r="F823" s="106"/>
      <c r="G823" s="106"/>
      <c r="H823" s="60"/>
      <c r="I823" s="60"/>
      <c r="J823" s="108"/>
      <c r="K823" s="60"/>
      <c r="L823" s="109"/>
      <c r="M823" s="109"/>
      <c r="N823" s="109"/>
      <c r="O823" s="109"/>
      <c r="P823" s="109"/>
      <c r="Q823" s="109"/>
      <c r="S823" s="111"/>
      <c r="T823" s="60"/>
      <c r="U823" s="112"/>
    </row>
    <row r="824" spans="1:21" s="110" customFormat="1" ht="15.75" customHeight="1">
      <c r="A824" s="105"/>
      <c r="B824" s="106"/>
      <c r="C824" s="106"/>
      <c r="D824" s="107"/>
      <c r="E824" s="106"/>
      <c r="F824" s="106"/>
      <c r="G824" s="106"/>
      <c r="H824" s="60"/>
      <c r="I824" s="60"/>
      <c r="J824" s="108"/>
      <c r="K824" s="60"/>
      <c r="L824" s="109"/>
      <c r="M824" s="109"/>
      <c r="N824" s="109"/>
      <c r="O824" s="109"/>
      <c r="P824" s="109"/>
      <c r="Q824" s="109"/>
      <c r="S824" s="111"/>
      <c r="T824" s="60"/>
      <c r="U824" s="112"/>
    </row>
    <row r="825" spans="1:21" s="110" customFormat="1" ht="15.75" customHeight="1">
      <c r="A825" s="105"/>
      <c r="B825" s="106"/>
      <c r="C825" s="106"/>
      <c r="D825" s="107"/>
      <c r="E825" s="106"/>
      <c r="F825" s="106"/>
      <c r="G825" s="106"/>
      <c r="H825" s="60"/>
      <c r="I825" s="60"/>
      <c r="J825" s="108"/>
      <c r="K825" s="60"/>
      <c r="L825" s="109"/>
      <c r="M825" s="109"/>
      <c r="N825" s="109"/>
      <c r="O825" s="109"/>
      <c r="P825" s="109"/>
      <c r="Q825" s="109"/>
      <c r="S825" s="111"/>
      <c r="T825" s="60"/>
      <c r="U825" s="112"/>
    </row>
    <row r="826" spans="1:21" s="110" customFormat="1" ht="15.75" customHeight="1">
      <c r="A826" s="105"/>
      <c r="B826" s="106"/>
      <c r="C826" s="106"/>
      <c r="D826" s="107"/>
      <c r="E826" s="106"/>
      <c r="F826" s="106"/>
      <c r="G826" s="106"/>
      <c r="H826" s="60"/>
      <c r="I826" s="60"/>
      <c r="J826" s="108"/>
      <c r="K826" s="60"/>
      <c r="L826" s="109"/>
      <c r="M826" s="109"/>
      <c r="N826" s="109"/>
      <c r="O826" s="109"/>
      <c r="P826" s="109"/>
      <c r="Q826" s="109"/>
      <c r="S826" s="111"/>
      <c r="T826" s="60"/>
      <c r="U826" s="112"/>
    </row>
    <row r="827" spans="1:21" s="110" customFormat="1" ht="15.75" customHeight="1">
      <c r="A827" s="105"/>
      <c r="B827" s="106"/>
      <c r="C827" s="106"/>
      <c r="D827" s="107"/>
      <c r="E827" s="106"/>
      <c r="F827" s="106"/>
      <c r="G827" s="106"/>
      <c r="H827" s="60"/>
      <c r="I827" s="60"/>
      <c r="J827" s="108"/>
      <c r="K827" s="60"/>
      <c r="L827" s="109"/>
      <c r="M827" s="109"/>
      <c r="N827" s="109"/>
      <c r="O827" s="109"/>
      <c r="P827" s="109"/>
      <c r="Q827" s="109"/>
      <c r="S827" s="111"/>
      <c r="T827" s="60"/>
      <c r="U827" s="112"/>
    </row>
    <row r="828" spans="1:21" s="110" customFormat="1" ht="15.75" customHeight="1">
      <c r="A828" s="105"/>
      <c r="B828" s="106"/>
      <c r="C828" s="106"/>
      <c r="D828" s="107"/>
      <c r="E828" s="106"/>
      <c r="F828" s="106"/>
      <c r="G828" s="106"/>
      <c r="H828" s="60"/>
      <c r="I828" s="60"/>
      <c r="J828" s="108"/>
      <c r="K828" s="60"/>
      <c r="L828" s="109"/>
      <c r="M828" s="109"/>
      <c r="N828" s="109"/>
      <c r="O828" s="109"/>
      <c r="P828" s="109"/>
      <c r="Q828" s="109"/>
      <c r="S828" s="111"/>
      <c r="T828" s="60"/>
      <c r="U828" s="112"/>
    </row>
    <row r="829" spans="1:21" s="110" customFormat="1" ht="15.75" customHeight="1">
      <c r="A829" s="105"/>
      <c r="B829" s="106"/>
      <c r="C829" s="106"/>
      <c r="D829" s="107"/>
      <c r="E829" s="106"/>
      <c r="F829" s="106"/>
      <c r="G829" s="106"/>
      <c r="H829" s="60"/>
      <c r="I829" s="60"/>
      <c r="J829" s="108"/>
      <c r="K829" s="60"/>
      <c r="L829" s="109"/>
      <c r="M829" s="109"/>
      <c r="N829" s="109"/>
      <c r="O829" s="109"/>
      <c r="P829" s="109"/>
      <c r="Q829" s="109"/>
      <c r="S829" s="111"/>
      <c r="T829" s="60"/>
      <c r="U829" s="112"/>
    </row>
    <row r="830" spans="1:21" s="110" customFormat="1" ht="15.75" customHeight="1">
      <c r="A830" s="105"/>
      <c r="B830" s="106"/>
      <c r="C830" s="106"/>
      <c r="D830" s="107"/>
      <c r="E830" s="106"/>
      <c r="F830" s="106"/>
      <c r="G830" s="106"/>
      <c r="H830" s="60"/>
      <c r="I830" s="60"/>
      <c r="J830" s="108"/>
      <c r="K830" s="60"/>
      <c r="L830" s="109"/>
      <c r="M830" s="109"/>
      <c r="N830" s="109"/>
      <c r="O830" s="109"/>
      <c r="P830" s="109"/>
      <c r="Q830" s="109"/>
      <c r="S830" s="111"/>
      <c r="T830" s="60"/>
      <c r="U830" s="112"/>
    </row>
    <row r="831" spans="1:21" s="110" customFormat="1" ht="15.75" customHeight="1">
      <c r="A831" s="105"/>
      <c r="B831" s="106"/>
      <c r="C831" s="106"/>
      <c r="D831" s="107"/>
      <c r="E831" s="106"/>
      <c r="F831" s="106"/>
      <c r="G831" s="106"/>
      <c r="H831" s="60"/>
      <c r="I831" s="60"/>
      <c r="J831" s="108"/>
      <c r="K831" s="60"/>
      <c r="L831" s="109"/>
      <c r="M831" s="109"/>
      <c r="N831" s="109"/>
      <c r="O831" s="109"/>
      <c r="P831" s="109"/>
      <c r="Q831" s="109"/>
      <c r="S831" s="111"/>
      <c r="T831" s="60"/>
      <c r="U831" s="112"/>
    </row>
    <row r="832" spans="1:21" s="110" customFormat="1" ht="15.75" customHeight="1">
      <c r="A832" s="105"/>
      <c r="B832" s="106"/>
      <c r="C832" s="106"/>
      <c r="D832" s="107"/>
      <c r="E832" s="106"/>
      <c r="F832" s="106"/>
      <c r="G832" s="106"/>
      <c r="H832" s="60"/>
      <c r="I832" s="60"/>
      <c r="J832" s="108"/>
      <c r="K832" s="60"/>
      <c r="L832" s="109"/>
      <c r="M832" s="109"/>
      <c r="N832" s="109"/>
      <c r="O832" s="109"/>
      <c r="P832" s="109"/>
      <c r="Q832" s="109"/>
      <c r="S832" s="111"/>
      <c r="T832" s="60"/>
      <c r="U832" s="112"/>
    </row>
    <row r="833" spans="1:21" s="110" customFormat="1" ht="15.75" customHeight="1">
      <c r="A833" s="105"/>
      <c r="B833" s="106"/>
      <c r="C833" s="106"/>
      <c r="D833" s="107"/>
      <c r="E833" s="106"/>
      <c r="F833" s="106"/>
      <c r="G833" s="106"/>
      <c r="H833" s="60"/>
      <c r="I833" s="60"/>
      <c r="J833" s="108"/>
      <c r="K833" s="60"/>
      <c r="L833" s="109"/>
      <c r="M833" s="109"/>
      <c r="N833" s="109"/>
      <c r="O833" s="109"/>
      <c r="P833" s="109"/>
      <c r="Q833" s="109"/>
      <c r="S833" s="111"/>
      <c r="T833" s="60"/>
      <c r="U833" s="112"/>
    </row>
    <row r="834" spans="1:21" s="110" customFormat="1" ht="15.75" customHeight="1">
      <c r="A834" s="105"/>
      <c r="B834" s="106"/>
      <c r="C834" s="106"/>
      <c r="D834" s="107"/>
      <c r="E834" s="106"/>
      <c r="F834" s="106"/>
      <c r="G834" s="106"/>
      <c r="H834" s="60"/>
      <c r="I834" s="60"/>
      <c r="J834" s="108"/>
      <c r="K834" s="60"/>
      <c r="L834" s="109"/>
      <c r="M834" s="109"/>
      <c r="N834" s="109"/>
      <c r="O834" s="109"/>
      <c r="P834" s="109"/>
      <c r="Q834" s="109"/>
      <c r="S834" s="111"/>
      <c r="T834" s="60"/>
      <c r="U834" s="112"/>
    </row>
    <row r="835" spans="1:21" s="110" customFormat="1" ht="15.75" customHeight="1">
      <c r="A835" s="105"/>
      <c r="B835" s="106"/>
      <c r="C835" s="106"/>
      <c r="D835" s="107"/>
      <c r="E835" s="106"/>
      <c r="F835" s="106"/>
      <c r="G835" s="106"/>
      <c r="H835" s="60"/>
      <c r="I835" s="60"/>
      <c r="J835" s="108"/>
      <c r="K835" s="60"/>
      <c r="L835" s="109"/>
      <c r="M835" s="109"/>
      <c r="N835" s="109"/>
      <c r="O835" s="109"/>
      <c r="P835" s="109"/>
      <c r="Q835" s="109"/>
      <c r="S835" s="111"/>
      <c r="T835" s="60"/>
      <c r="U835" s="112"/>
    </row>
    <row r="836" spans="1:21" s="110" customFormat="1" ht="15.75" customHeight="1">
      <c r="A836" s="105"/>
      <c r="B836" s="106"/>
      <c r="C836" s="106"/>
      <c r="D836" s="107"/>
      <c r="E836" s="106"/>
      <c r="F836" s="106"/>
      <c r="G836" s="106"/>
      <c r="H836" s="60"/>
      <c r="I836" s="60"/>
      <c r="J836" s="108"/>
      <c r="K836" s="60"/>
      <c r="L836" s="109"/>
      <c r="M836" s="109"/>
      <c r="N836" s="109"/>
      <c r="O836" s="109"/>
      <c r="P836" s="109"/>
      <c r="Q836" s="109"/>
      <c r="S836" s="111"/>
      <c r="T836" s="60"/>
      <c r="U836" s="112"/>
    </row>
    <row r="837" spans="1:21" s="110" customFormat="1" ht="15.75" customHeight="1">
      <c r="A837" s="105"/>
      <c r="B837" s="106"/>
      <c r="C837" s="106"/>
      <c r="D837" s="107"/>
      <c r="E837" s="106"/>
      <c r="F837" s="106"/>
      <c r="G837" s="106"/>
      <c r="H837" s="60"/>
      <c r="I837" s="60"/>
      <c r="J837" s="108"/>
      <c r="K837" s="60"/>
      <c r="L837" s="109"/>
      <c r="M837" s="109"/>
      <c r="N837" s="109"/>
      <c r="O837" s="109"/>
      <c r="P837" s="109"/>
      <c r="Q837" s="109"/>
      <c r="S837" s="111"/>
      <c r="T837" s="60"/>
      <c r="U837" s="112"/>
    </row>
    <row r="838" spans="1:21" s="110" customFormat="1" ht="15.75" customHeight="1">
      <c r="A838" s="105"/>
      <c r="B838" s="106"/>
      <c r="C838" s="106"/>
      <c r="D838" s="107"/>
      <c r="E838" s="106"/>
      <c r="F838" s="106"/>
      <c r="G838" s="106"/>
      <c r="H838" s="60"/>
      <c r="I838" s="60"/>
      <c r="J838" s="108"/>
      <c r="K838" s="60"/>
      <c r="L838" s="109"/>
      <c r="M838" s="109"/>
      <c r="N838" s="109"/>
      <c r="O838" s="109"/>
      <c r="P838" s="109"/>
      <c r="Q838" s="109"/>
      <c r="S838" s="111"/>
      <c r="T838" s="60"/>
      <c r="U838" s="112"/>
    </row>
    <row r="839" spans="1:21" s="110" customFormat="1" ht="15.75" customHeight="1">
      <c r="A839" s="105"/>
      <c r="B839" s="106"/>
      <c r="C839" s="106"/>
      <c r="D839" s="107"/>
      <c r="E839" s="106"/>
      <c r="F839" s="106"/>
      <c r="G839" s="106"/>
      <c r="H839" s="60"/>
      <c r="I839" s="60"/>
      <c r="J839" s="108"/>
      <c r="K839" s="60"/>
      <c r="L839" s="109"/>
      <c r="M839" s="109"/>
      <c r="N839" s="109"/>
      <c r="O839" s="109"/>
      <c r="P839" s="109"/>
      <c r="Q839" s="109"/>
      <c r="S839" s="111"/>
      <c r="T839" s="60"/>
      <c r="U839" s="112"/>
    </row>
    <row r="840" spans="1:21" s="110" customFormat="1" ht="15.75" customHeight="1">
      <c r="A840" s="105"/>
      <c r="B840" s="106"/>
      <c r="C840" s="106"/>
      <c r="D840" s="107"/>
      <c r="E840" s="106"/>
      <c r="F840" s="106"/>
      <c r="G840" s="106"/>
      <c r="H840" s="60"/>
      <c r="I840" s="60"/>
      <c r="J840" s="108"/>
      <c r="K840" s="60"/>
      <c r="L840" s="109"/>
      <c r="M840" s="109"/>
      <c r="N840" s="109"/>
      <c r="O840" s="109"/>
      <c r="P840" s="109"/>
      <c r="Q840" s="109"/>
      <c r="S840" s="111"/>
      <c r="T840" s="60"/>
      <c r="U840" s="112"/>
    </row>
    <row r="841" spans="1:21" s="110" customFormat="1" ht="15.75" customHeight="1">
      <c r="A841" s="105"/>
      <c r="B841" s="106"/>
      <c r="C841" s="106"/>
      <c r="D841" s="107"/>
      <c r="E841" s="106"/>
      <c r="F841" s="106"/>
      <c r="G841" s="106"/>
      <c r="H841" s="60"/>
      <c r="I841" s="60"/>
      <c r="J841" s="108"/>
      <c r="K841" s="60"/>
      <c r="L841" s="109"/>
      <c r="M841" s="109"/>
      <c r="N841" s="109"/>
      <c r="O841" s="109"/>
      <c r="P841" s="109"/>
      <c r="Q841" s="109"/>
      <c r="S841" s="111"/>
      <c r="T841" s="60"/>
      <c r="U841" s="112"/>
    </row>
    <row r="842" spans="1:21" s="110" customFormat="1" ht="15.75" customHeight="1">
      <c r="A842" s="105"/>
      <c r="B842" s="106"/>
      <c r="C842" s="106"/>
      <c r="D842" s="107"/>
      <c r="E842" s="106"/>
      <c r="F842" s="106"/>
      <c r="G842" s="106"/>
      <c r="H842" s="60"/>
      <c r="I842" s="60"/>
      <c r="J842" s="108"/>
      <c r="K842" s="60"/>
      <c r="L842" s="109"/>
      <c r="M842" s="109"/>
      <c r="N842" s="109"/>
      <c r="O842" s="109"/>
      <c r="P842" s="109"/>
      <c r="Q842" s="109"/>
      <c r="S842" s="111"/>
      <c r="T842" s="60"/>
      <c r="U842" s="112"/>
    </row>
    <row r="843" spans="1:21" s="110" customFormat="1" ht="15.75" customHeight="1">
      <c r="A843" s="105"/>
      <c r="B843" s="106"/>
      <c r="C843" s="106"/>
      <c r="D843" s="107"/>
      <c r="E843" s="106"/>
      <c r="F843" s="106"/>
      <c r="G843" s="106"/>
      <c r="H843" s="60"/>
      <c r="I843" s="60"/>
      <c r="J843" s="108"/>
      <c r="K843" s="60"/>
      <c r="L843" s="109"/>
      <c r="M843" s="109"/>
      <c r="N843" s="109"/>
      <c r="O843" s="109"/>
      <c r="P843" s="109"/>
      <c r="Q843" s="109"/>
      <c r="S843" s="111"/>
      <c r="T843" s="60"/>
      <c r="U843" s="112"/>
    </row>
    <row r="844" spans="1:21" s="110" customFormat="1" ht="15.75" customHeight="1">
      <c r="A844" s="105"/>
      <c r="B844" s="106"/>
      <c r="C844" s="106"/>
      <c r="D844" s="107"/>
      <c r="E844" s="106"/>
      <c r="F844" s="106"/>
      <c r="G844" s="106"/>
      <c r="H844" s="60"/>
      <c r="I844" s="60"/>
      <c r="J844" s="108"/>
      <c r="K844" s="60"/>
      <c r="L844" s="109"/>
      <c r="M844" s="109"/>
      <c r="N844" s="109"/>
      <c r="O844" s="109"/>
      <c r="P844" s="109"/>
      <c r="Q844" s="109"/>
      <c r="S844" s="111"/>
      <c r="T844" s="60"/>
      <c r="U844" s="112"/>
    </row>
    <row r="845" spans="1:21" s="110" customFormat="1" ht="15.75" customHeight="1">
      <c r="A845" s="105"/>
      <c r="B845" s="106"/>
      <c r="C845" s="106"/>
      <c r="D845" s="107"/>
      <c r="E845" s="106"/>
      <c r="F845" s="106"/>
      <c r="G845" s="106"/>
      <c r="H845" s="60"/>
      <c r="I845" s="60"/>
      <c r="J845" s="108"/>
      <c r="K845" s="60"/>
      <c r="L845" s="109"/>
      <c r="M845" s="109"/>
      <c r="N845" s="109"/>
      <c r="O845" s="109"/>
      <c r="P845" s="109"/>
      <c r="Q845" s="109"/>
      <c r="S845" s="111"/>
      <c r="T845" s="60"/>
      <c r="U845" s="112"/>
    </row>
    <row r="846" spans="1:21" s="110" customFormat="1" ht="15.75" customHeight="1">
      <c r="A846" s="105"/>
      <c r="B846" s="106"/>
      <c r="C846" s="106"/>
      <c r="D846" s="107"/>
      <c r="E846" s="106"/>
      <c r="F846" s="106"/>
      <c r="G846" s="106"/>
      <c r="H846" s="60"/>
      <c r="I846" s="60"/>
      <c r="J846" s="108"/>
      <c r="K846" s="60"/>
      <c r="L846" s="109"/>
      <c r="M846" s="109"/>
      <c r="N846" s="109"/>
      <c r="O846" s="109"/>
      <c r="P846" s="109"/>
      <c r="Q846" s="109"/>
      <c r="S846" s="111"/>
      <c r="T846" s="60"/>
      <c r="U846" s="112"/>
    </row>
    <row r="847" spans="1:21" s="110" customFormat="1" ht="15.75" customHeight="1">
      <c r="A847" s="105"/>
      <c r="B847" s="106"/>
      <c r="C847" s="106"/>
      <c r="D847" s="107"/>
      <c r="E847" s="106"/>
      <c r="F847" s="106"/>
      <c r="G847" s="106"/>
      <c r="H847" s="60"/>
      <c r="I847" s="60"/>
      <c r="J847" s="108"/>
      <c r="K847" s="60"/>
      <c r="L847" s="109"/>
      <c r="M847" s="109"/>
      <c r="N847" s="109"/>
      <c r="O847" s="109"/>
      <c r="P847" s="109"/>
      <c r="Q847" s="109"/>
      <c r="S847" s="111"/>
      <c r="T847" s="60"/>
      <c r="U847" s="112"/>
    </row>
    <row r="848" spans="1:21" s="110" customFormat="1" ht="15.75" customHeight="1">
      <c r="A848" s="105"/>
      <c r="B848" s="106"/>
      <c r="C848" s="106"/>
      <c r="D848" s="107"/>
      <c r="E848" s="106"/>
      <c r="F848" s="106"/>
      <c r="G848" s="106"/>
      <c r="H848" s="60"/>
      <c r="I848" s="60"/>
      <c r="J848" s="108"/>
      <c r="K848" s="60"/>
      <c r="L848" s="109"/>
      <c r="M848" s="109"/>
      <c r="N848" s="109"/>
      <c r="O848" s="109"/>
      <c r="P848" s="109"/>
      <c r="Q848" s="109"/>
      <c r="S848" s="111"/>
      <c r="T848" s="60"/>
      <c r="U848" s="112"/>
    </row>
    <row r="849" spans="1:21" s="110" customFormat="1" ht="15.75" customHeight="1">
      <c r="A849" s="105"/>
      <c r="B849" s="106"/>
      <c r="C849" s="106"/>
      <c r="D849" s="107"/>
      <c r="E849" s="106"/>
      <c r="F849" s="106"/>
      <c r="G849" s="106"/>
      <c r="H849" s="60"/>
      <c r="I849" s="60"/>
      <c r="J849" s="108"/>
      <c r="K849" s="60"/>
      <c r="L849" s="109"/>
      <c r="M849" s="109"/>
      <c r="N849" s="109"/>
      <c r="O849" s="109"/>
      <c r="P849" s="109"/>
      <c r="Q849" s="109"/>
      <c r="S849" s="111"/>
      <c r="T849" s="60"/>
      <c r="U849" s="112"/>
    </row>
    <row r="850" spans="1:21" s="110" customFormat="1" ht="15.75" customHeight="1">
      <c r="A850" s="105"/>
      <c r="B850" s="106"/>
      <c r="C850" s="106"/>
      <c r="D850" s="107"/>
      <c r="E850" s="106"/>
      <c r="F850" s="106"/>
      <c r="G850" s="106"/>
      <c r="H850" s="60"/>
      <c r="I850" s="60"/>
      <c r="J850" s="108"/>
      <c r="K850" s="60"/>
      <c r="L850" s="109"/>
      <c r="M850" s="109"/>
      <c r="N850" s="109"/>
      <c r="O850" s="109"/>
      <c r="P850" s="109"/>
      <c r="Q850" s="109"/>
      <c r="S850" s="111"/>
      <c r="T850" s="60"/>
      <c r="U850" s="112"/>
    </row>
    <row r="851" spans="1:21" s="110" customFormat="1" ht="15.75" customHeight="1">
      <c r="A851" s="105"/>
      <c r="B851" s="106"/>
      <c r="C851" s="106"/>
      <c r="D851" s="107"/>
      <c r="E851" s="106"/>
      <c r="F851" s="106"/>
      <c r="G851" s="106"/>
      <c r="H851" s="60"/>
      <c r="I851" s="60"/>
      <c r="J851" s="108"/>
      <c r="K851" s="60"/>
      <c r="L851" s="109"/>
      <c r="M851" s="109"/>
      <c r="N851" s="109"/>
      <c r="O851" s="109"/>
      <c r="P851" s="109"/>
      <c r="Q851" s="109"/>
      <c r="S851" s="111"/>
      <c r="T851" s="60"/>
      <c r="U851" s="112"/>
    </row>
    <row r="852" spans="1:21" s="110" customFormat="1" ht="15.75" customHeight="1">
      <c r="A852" s="105"/>
      <c r="B852" s="106"/>
      <c r="C852" s="106"/>
      <c r="D852" s="107"/>
      <c r="E852" s="106"/>
      <c r="F852" s="106"/>
      <c r="G852" s="106"/>
      <c r="H852" s="60"/>
      <c r="I852" s="60"/>
      <c r="J852" s="108"/>
      <c r="K852" s="60"/>
      <c r="L852" s="109"/>
      <c r="M852" s="109"/>
      <c r="N852" s="109"/>
      <c r="O852" s="109"/>
      <c r="P852" s="109"/>
      <c r="Q852" s="109"/>
      <c r="S852" s="111"/>
      <c r="T852" s="60"/>
      <c r="U852" s="112"/>
    </row>
    <row r="853" spans="1:21" s="110" customFormat="1" ht="15.75" customHeight="1">
      <c r="A853" s="105"/>
      <c r="B853" s="106"/>
      <c r="C853" s="106"/>
      <c r="D853" s="107"/>
      <c r="E853" s="106"/>
      <c r="F853" s="106"/>
      <c r="G853" s="106"/>
      <c r="H853" s="60"/>
      <c r="I853" s="60"/>
      <c r="J853" s="108"/>
      <c r="K853" s="60"/>
      <c r="L853" s="109"/>
      <c r="M853" s="109"/>
      <c r="N853" s="109"/>
      <c r="O853" s="109"/>
      <c r="P853" s="109"/>
      <c r="Q853" s="109"/>
      <c r="S853" s="111"/>
      <c r="T853" s="60"/>
      <c r="U853" s="112"/>
    </row>
    <row r="854" spans="1:21" s="110" customFormat="1" ht="15.75" customHeight="1">
      <c r="A854" s="105"/>
      <c r="B854" s="106"/>
      <c r="C854" s="106"/>
      <c r="D854" s="107"/>
      <c r="E854" s="106"/>
      <c r="F854" s="106"/>
      <c r="G854" s="106"/>
      <c r="H854" s="60"/>
      <c r="I854" s="60"/>
      <c r="J854" s="108"/>
      <c r="K854" s="60"/>
      <c r="L854" s="109"/>
      <c r="M854" s="109"/>
      <c r="N854" s="109"/>
      <c r="O854" s="109"/>
      <c r="P854" s="109"/>
      <c r="Q854" s="109"/>
      <c r="S854" s="111"/>
      <c r="T854" s="60"/>
      <c r="U854" s="112"/>
    </row>
    <row r="855" spans="1:21" s="110" customFormat="1" ht="15.75" customHeight="1">
      <c r="A855" s="105"/>
      <c r="B855" s="106"/>
      <c r="C855" s="106"/>
      <c r="D855" s="107"/>
      <c r="E855" s="106"/>
      <c r="F855" s="106"/>
      <c r="G855" s="106"/>
      <c r="H855" s="60"/>
      <c r="I855" s="60"/>
      <c r="J855" s="108"/>
      <c r="K855" s="60"/>
      <c r="L855" s="109"/>
      <c r="M855" s="109"/>
      <c r="N855" s="109"/>
      <c r="O855" s="109"/>
      <c r="P855" s="109"/>
      <c r="Q855" s="109"/>
      <c r="S855" s="111"/>
      <c r="T855" s="60"/>
      <c r="U855" s="112"/>
    </row>
    <row r="856" spans="1:21" s="110" customFormat="1" ht="15.75" customHeight="1">
      <c r="A856" s="105"/>
      <c r="B856" s="106"/>
      <c r="C856" s="106"/>
      <c r="D856" s="107"/>
      <c r="E856" s="106"/>
      <c r="F856" s="106"/>
      <c r="G856" s="106"/>
      <c r="H856" s="60"/>
      <c r="I856" s="60"/>
      <c r="J856" s="108"/>
      <c r="K856" s="60"/>
      <c r="L856" s="109"/>
      <c r="M856" s="109"/>
      <c r="N856" s="109"/>
      <c r="O856" s="109"/>
      <c r="P856" s="109"/>
      <c r="Q856" s="109"/>
      <c r="S856" s="111"/>
      <c r="T856" s="60"/>
      <c r="U856" s="112"/>
    </row>
    <row r="857" spans="1:21" s="110" customFormat="1" ht="15.75" customHeight="1">
      <c r="A857" s="105"/>
      <c r="B857" s="106"/>
      <c r="C857" s="106"/>
      <c r="D857" s="107"/>
      <c r="E857" s="106"/>
      <c r="F857" s="106"/>
      <c r="G857" s="106"/>
      <c r="H857" s="60"/>
      <c r="I857" s="60"/>
      <c r="J857" s="108"/>
      <c r="K857" s="60"/>
      <c r="L857" s="109"/>
      <c r="M857" s="109"/>
      <c r="N857" s="109"/>
      <c r="O857" s="109"/>
      <c r="P857" s="109"/>
      <c r="Q857" s="109"/>
      <c r="S857" s="111"/>
      <c r="T857" s="60"/>
      <c r="U857" s="112"/>
    </row>
    <row r="858" spans="1:21" s="110" customFormat="1" ht="15.75" customHeight="1">
      <c r="A858" s="105"/>
      <c r="B858" s="106"/>
      <c r="C858" s="106"/>
      <c r="D858" s="107"/>
      <c r="E858" s="106"/>
      <c r="F858" s="106"/>
      <c r="G858" s="106"/>
      <c r="H858" s="60"/>
      <c r="I858" s="60"/>
      <c r="J858" s="108"/>
      <c r="K858" s="60"/>
      <c r="L858" s="109"/>
      <c r="M858" s="109"/>
      <c r="N858" s="109"/>
      <c r="O858" s="109"/>
      <c r="P858" s="109"/>
      <c r="Q858" s="109"/>
      <c r="S858" s="111"/>
      <c r="T858" s="60"/>
      <c r="U858" s="112"/>
    </row>
    <row r="859" spans="1:21" s="110" customFormat="1" ht="15.75" customHeight="1">
      <c r="A859" s="105"/>
      <c r="B859" s="106"/>
      <c r="C859" s="106"/>
      <c r="D859" s="107"/>
      <c r="E859" s="106"/>
      <c r="F859" s="106"/>
      <c r="G859" s="106"/>
      <c r="H859" s="60"/>
      <c r="I859" s="60"/>
      <c r="J859" s="108"/>
      <c r="K859" s="60"/>
      <c r="L859" s="109"/>
      <c r="M859" s="109"/>
      <c r="N859" s="109"/>
      <c r="O859" s="109"/>
      <c r="P859" s="109"/>
      <c r="Q859" s="109"/>
      <c r="S859" s="111"/>
      <c r="T859" s="60"/>
      <c r="U859" s="112"/>
    </row>
    <row r="860" spans="1:21" s="110" customFormat="1" ht="15.75" customHeight="1">
      <c r="A860" s="105"/>
      <c r="B860" s="106"/>
      <c r="C860" s="106"/>
      <c r="D860" s="107"/>
      <c r="E860" s="106"/>
      <c r="F860" s="106"/>
      <c r="G860" s="106"/>
      <c r="H860" s="60"/>
      <c r="I860" s="60"/>
      <c r="J860" s="108"/>
      <c r="K860" s="60"/>
      <c r="L860" s="109"/>
      <c r="M860" s="109"/>
      <c r="N860" s="109"/>
      <c r="O860" s="109"/>
      <c r="P860" s="109"/>
      <c r="Q860" s="109"/>
      <c r="S860" s="111"/>
      <c r="T860" s="60"/>
      <c r="U860" s="112"/>
    </row>
    <row r="861" spans="1:21" s="110" customFormat="1" ht="15.75" customHeight="1">
      <c r="A861" s="105"/>
      <c r="B861" s="106"/>
      <c r="C861" s="106"/>
      <c r="D861" s="107"/>
      <c r="E861" s="106"/>
      <c r="F861" s="106"/>
      <c r="G861" s="106"/>
      <c r="H861" s="60"/>
      <c r="I861" s="60"/>
      <c r="J861" s="108"/>
      <c r="K861" s="60"/>
      <c r="L861" s="109"/>
      <c r="M861" s="109"/>
      <c r="N861" s="109"/>
      <c r="O861" s="109"/>
      <c r="P861" s="109"/>
      <c r="Q861" s="109"/>
      <c r="S861" s="111"/>
      <c r="T861" s="60"/>
      <c r="U861" s="112"/>
    </row>
    <row r="862" spans="1:21" s="110" customFormat="1" ht="15.75" customHeight="1">
      <c r="A862" s="105"/>
      <c r="B862" s="106"/>
      <c r="C862" s="106"/>
      <c r="D862" s="107"/>
      <c r="E862" s="106"/>
      <c r="F862" s="106"/>
      <c r="G862" s="106"/>
      <c r="H862" s="60"/>
      <c r="I862" s="60"/>
      <c r="J862" s="108"/>
      <c r="K862" s="60"/>
      <c r="L862" s="109"/>
      <c r="M862" s="109"/>
      <c r="N862" s="109"/>
      <c r="O862" s="109"/>
      <c r="P862" s="109"/>
      <c r="Q862" s="109"/>
      <c r="S862" s="111"/>
      <c r="T862" s="60"/>
      <c r="U862" s="112"/>
    </row>
    <row r="863" spans="1:21" s="110" customFormat="1" ht="15.75" customHeight="1">
      <c r="A863" s="105"/>
      <c r="B863" s="106"/>
      <c r="C863" s="106"/>
      <c r="D863" s="107"/>
      <c r="E863" s="106"/>
      <c r="F863" s="106"/>
      <c r="G863" s="106"/>
      <c r="H863" s="60"/>
      <c r="I863" s="60"/>
      <c r="J863" s="108"/>
      <c r="K863" s="60"/>
      <c r="L863" s="109"/>
      <c r="M863" s="109"/>
      <c r="N863" s="109"/>
      <c r="O863" s="109"/>
      <c r="P863" s="109"/>
      <c r="Q863" s="109"/>
      <c r="S863" s="111"/>
      <c r="T863" s="60"/>
      <c r="U863" s="112"/>
    </row>
    <row r="864" spans="1:21" s="110" customFormat="1" ht="15.75" customHeight="1">
      <c r="A864" s="105"/>
      <c r="B864" s="106"/>
      <c r="C864" s="106"/>
      <c r="D864" s="107"/>
      <c r="E864" s="106"/>
      <c r="F864" s="106"/>
      <c r="G864" s="106"/>
      <c r="H864" s="60"/>
      <c r="I864" s="60"/>
      <c r="J864" s="108"/>
      <c r="K864" s="60"/>
      <c r="L864" s="109"/>
      <c r="M864" s="109"/>
      <c r="N864" s="109"/>
      <c r="O864" s="109"/>
      <c r="P864" s="109"/>
      <c r="Q864" s="109"/>
      <c r="S864" s="111"/>
      <c r="T864" s="60"/>
      <c r="U864" s="112"/>
    </row>
    <row r="865" spans="1:21" s="110" customFormat="1" ht="15.75" customHeight="1">
      <c r="A865" s="105"/>
      <c r="B865" s="106"/>
      <c r="C865" s="106"/>
      <c r="D865" s="107"/>
      <c r="E865" s="106"/>
      <c r="F865" s="106"/>
      <c r="G865" s="106"/>
      <c r="H865" s="60"/>
      <c r="I865" s="60"/>
      <c r="J865" s="108"/>
      <c r="K865" s="60"/>
      <c r="L865" s="109"/>
      <c r="M865" s="109"/>
      <c r="N865" s="109"/>
      <c r="O865" s="109"/>
      <c r="P865" s="109"/>
      <c r="Q865" s="109"/>
      <c r="S865" s="111"/>
      <c r="T865" s="60"/>
      <c r="U865" s="112"/>
    </row>
    <row r="866" spans="1:21" s="110" customFormat="1" ht="15.75" customHeight="1">
      <c r="A866" s="105"/>
      <c r="B866" s="106"/>
      <c r="C866" s="106"/>
      <c r="D866" s="107"/>
      <c r="E866" s="106"/>
      <c r="F866" s="106"/>
      <c r="G866" s="106"/>
      <c r="H866" s="60"/>
      <c r="I866" s="60"/>
      <c r="J866" s="108"/>
      <c r="K866" s="60"/>
      <c r="L866" s="109"/>
      <c r="M866" s="109"/>
      <c r="N866" s="109"/>
      <c r="O866" s="109"/>
      <c r="P866" s="109"/>
      <c r="Q866" s="109"/>
      <c r="S866" s="111"/>
      <c r="T866" s="60"/>
      <c r="U866" s="112"/>
    </row>
    <row r="867" spans="1:21" s="110" customFormat="1" ht="15.75" customHeight="1">
      <c r="A867" s="105"/>
      <c r="B867" s="106"/>
      <c r="C867" s="106"/>
      <c r="D867" s="107"/>
      <c r="E867" s="106"/>
      <c r="F867" s="106"/>
      <c r="G867" s="106"/>
      <c r="H867" s="60"/>
      <c r="I867" s="60"/>
      <c r="J867" s="108"/>
      <c r="K867" s="60"/>
      <c r="L867" s="109"/>
      <c r="M867" s="109"/>
      <c r="N867" s="109"/>
      <c r="O867" s="109"/>
      <c r="P867" s="109"/>
      <c r="Q867" s="109"/>
      <c r="S867" s="111"/>
      <c r="T867" s="60"/>
      <c r="U867" s="112"/>
    </row>
    <row r="868" spans="1:21" s="110" customFormat="1" ht="15.75" customHeight="1">
      <c r="A868" s="105"/>
      <c r="B868" s="106"/>
      <c r="C868" s="106"/>
      <c r="D868" s="107"/>
      <c r="E868" s="106"/>
      <c r="F868" s="106"/>
      <c r="G868" s="106"/>
      <c r="H868" s="60"/>
      <c r="I868" s="60"/>
      <c r="J868" s="108"/>
      <c r="K868" s="60"/>
      <c r="L868" s="109"/>
      <c r="M868" s="109"/>
      <c r="N868" s="109"/>
      <c r="O868" s="109"/>
      <c r="P868" s="109"/>
      <c r="Q868" s="109"/>
      <c r="S868" s="111"/>
      <c r="T868" s="60"/>
      <c r="U868" s="112"/>
    </row>
    <row r="869" spans="1:21" s="110" customFormat="1" ht="15.75" customHeight="1">
      <c r="A869" s="105"/>
      <c r="B869" s="106"/>
      <c r="C869" s="106"/>
      <c r="D869" s="107"/>
      <c r="E869" s="106"/>
      <c r="F869" s="106"/>
      <c r="G869" s="106"/>
      <c r="H869" s="60"/>
      <c r="I869" s="60"/>
      <c r="J869" s="108"/>
      <c r="K869" s="60"/>
      <c r="L869" s="109"/>
      <c r="M869" s="109"/>
      <c r="N869" s="109"/>
      <c r="O869" s="109"/>
      <c r="P869" s="109"/>
      <c r="Q869" s="109"/>
      <c r="S869" s="111"/>
      <c r="T869" s="60"/>
      <c r="U869" s="112"/>
    </row>
    <row r="870" spans="1:21" s="110" customFormat="1" ht="15.75" customHeight="1">
      <c r="A870" s="105"/>
      <c r="B870" s="106"/>
      <c r="C870" s="106"/>
      <c r="D870" s="107"/>
      <c r="E870" s="106"/>
      <c r="F870" s="106"/>
      <c r="G870" s="106"/>
      <c r="H870" s="60"/>
      <c r="I870" s="60"/>
      <c r="J870" s="108"/>
      <c r="K870" s="60"/>
      <c r="L870" s="109"/>
      <c r="M870" s="109"/>
      <c r="N870" s="109"/>
      <c r="O870" s="109"/>
      <c r="P870" s="109"/>
      <c r="Q870" s="109"/>
      <c r="S870" s="111"/>
      <c r="T870" s="60"/>
      <c r="U870" s="112"/>
    </row>
    <row r="871" spans="1:21" s="110" customFormat="1" ht="15.75" customHeight="1">
      <c r="A871" s="105"/>
      <c r="B871" s="106"/>
      <c r="C871" s="106"/>
      <c r="D871" s="107"/>
      <c r="E871" s="106"/>
      <c r="F871" s="106"/>
      <c r="G871" s="106"/>
      <c r="H871" s="60"/>
      <c r="I871" s="60"/>
      <c r="J871" s="108"/>
      <c r="K871" s="60"/>
      <c r="L871" s="109"/>
      <c r="M871" s="109"/>
      <c r="N871" s="109"/>
      <c r="O871" s="109"/>
      <c r="P871" s="109"/>
      <c r="Q871" s="109"/>
      <c r="S871" s="111"/>
      <c r="T871" s="60"/>
      <c r="U871" s="112"/>
    </row>
    <row r="872" spans="1:21" s="110" customFormat="1" ht="15.75" customHeight="1">
      <c r="A872" s="105"/>
      <c r="B872" s="106"/>
      <c r="C872" s="106"/>
      <c r="D872" s="107"/>
      <c r="E872" s="106"/>
      <c r="F872" s="106"/>
      <c r="G872" s="106"/>
      <c r="H872" s="60"/>
      <c r="I872" s="60"/>
      <c r="J872" s="108"/>
      <c r="K872" s="60"/>
      <c r="L872" s="109"/>
      <c r="M872" s="109"/>
      <c r="N872" s="109"/>
      <c r="O872" s="109"/>
      <c r="P872" s="109"/>
      <c r="Q872" s="109"/>
      <c r="S872" s="111"/>
      <c r="T872" s="60"/>
      <c r="U872" s="112"/>
    </row>
    <row r="873" spans="1:21" s="110" customFormat="1" ht="15.75" customHeight="1">
      <c r="A873" s="105"/>
      <c r="B873" s="106"/>
      <c r="C873" s="106"/>
      <c r="D873" s="107"/>
      <c r="E873" s="106"/>
      <c r="F873" s="106"/>
      <c r="G873" s="106"/>
      <c r="H873" s="60"/>
      <c r="I873" s="60"/>
      <c r="J873" s="108"/>
      <c r="K873" s="60"/>
      <c r="L873" s="109"/>
      <c r="M873" s="109"/>
      <c r="N873" s="109"/>
      <c r="O873" s="109"/>
      <c r="P873" s="109"/>
      <c r="Q873" s="109"/>
      <c r="S873" s="111"/>
      <c r="T873" s="60"/>
      <c r="U873" s="112"/>
    </row>
    <row r="874" spans="1:21" s="110" customFormat="1" ht="15.75" customHeight="1">
      <c r="A874" s="105"/>
      <c r="B874" s="106"/>
      <c r="C874" s="106"/>
      <c r="D874" s="107"/>
      <c r="E874" s="106"/>
      <c r="F874" s="106"/>
      <c r="G874" s="106"/>
      <c r="H874" s="60"/>
      <c r="I874" s="60"/>
      <c r="J874" s="108"/>
      <c r="K874" s="60"/>
      <c r="L874" s="109"/>
      <c r="M874" s="109"/>
      <c r="N874" s="109"/>
      <c r="O874" s="109"/>
      <c r="P874" s="109"/>
      <c r="Q874" s="109"/>
      <c r="S874" s="111"/>
      <c r="T874" s="60"/>
      <c r="U874" s="112"/>
    </row>
    <row r="875" spans="1:21" s="110" customFormat="1" ht="15.75" customHeight="1">
      <c r="A875" s="105"/>
      <c r="B875" s="106"/>
      <c r="C875" s="106"/>
      <c r="D875" s="107"/>
      <c r="E875" s="106"/>
      <c r="F875" s="106"/>
      <c r="G875" s="106"/>
      <c r="H875" s="60"/>
      <c r="I875" s="60"/>
      <c r="J875" s="108"/>
      <c r="K875" s="60"/>
      <c r="L875" s="109"/>
      <c r="M875" s="109"/>
      <c r="N875" s="109"/>
      <c r="O875" s="109"/>
      <c r="P875" s="109"/>
      <c r="Q875" s="109"/>
      <c r="S875" s="111"/>
      <c r="T875" s="60"/>
      <c r="U875" s="112"/>
    </row>
    <row r="876" spans="1:21" s="110" customFormat="1" ht="15.75" customHeight="1">
      <c r="A876" s="105"/>
      <c r="B876" s="106"/>
      <c r="C876" s="106"/>
      <c r="D876" s="107"/>
      <c r="E876" s="106"/>
      <c r="F876" s="106"/>
      <c r="G876" s="106"/>
      <c r="H876" s="60"/>
      <c r="I876" s="60"/>
      <c r="J876" s="108"/>
      <c r="K876" s="60"/>
      <c r="L876" s="109"/>
      <c r="M876" s="109"/>
      <c r="N876" s="109"/>
      <c r="O876" s="109"/>
      <c r="P876" s="109"/>
      <c r="Q876" s="109"/>
      <c r="S876" s="111"/>
      <c r="T876" s="60"/>
      <c r="U876" s="112"/>
    </row>
    <row r="877" spans="1:21" s="110" customFormat="1" ht="15.75" customHeight="1">
      <c r="A877" s="105"/>
      <c r="B877" s="106"/>
      <c r="C877" s="106"/>
      <c r="D877" s="107"/>
      <c r="E877" s="106"/>
      <c r="F877" s="106"/>
      <c r="G877" s="106"/>
      <c r="H877" s="60"/>
      <c r="I877" s="60"/>
      <c r="J877" s="108"/>
      <c r="K877" s="60"/>
      <c r="L877" s="109"/>
      <c r="M877" s="109"/>
      <c r="N877" s="109"/>
      <c r="O877" s="109"/>
      <c r="P877" s="109"/>
      <c r="Q877" s="109"/>
      <c r="S877" s="111"/>
      <c r="T877" s="60"/>
      <c r="U877" s="112"/>
    </row>
    <row r="878" spans="1:21" s="110" customFormat="1" ht="15.75" customHeight="1">
      <c r="A878" s="105"/>
      <c r="B878" s="106"/>
      <c r="C878" s="106"/>
      <c r="D878" s="107"/>
      <c r="E878" s="106"/>
      <c r="F878" s="106"/>
      <c r="G878" s="106"/>
      <c r="H878" s="60"/>
      <c r="I878" s="60"/>
      <c r="J878" s="108"/>
      <c r="K878" s="60"/>
      <c r="L878" s="109"/>
      <c r="M878" s="109"/>
      <c r="N878" s="109"/>
      <c r="O878" s="109"/>
      <c r="P878" s="109"/>
      <c r="Q878" s="109"/>
      <c r="S878" s="111"/>
      <c r="T878" s="60"/>
      <c r="U878" s="112"/>
    </row>
    <row r="879" spans="1:21" s="110" customFormat="1" ht="15.75" customHeight="1">
      <c r="A879" s="105"/>
      <c r="B879" s="106"/>
      <c r="C879" s="106"/>
      <c r="D879" s="107"/>
      <c r="E879" s="106"/>
      <c r="F879" s="106"/>
      <c r="G879" s="106"/>
      <c r="H879" s="60"/>
      <c r="I879" s="60"/>
      <c r="J879" s="108"/>
      <c r="K879" s="60"/>
      <c r="L879" s="109"/>
      <c r="M879" s="109"/>
      <c r="N879" s="109"/>
      <c r="O879" s="109"/>
      <c r="P879" s="109"/>
      <c r="Q879" s="109"/>
      <c r="S879" s="111"/>
      <c r="T879" s="60"/>
      <c r="U879" s="112"/>
    </row>
    <row r="880" spans="1:21" s="110" customFormat="1" ht="15.75" customHeight="1">
      <c r="A880" s="105"/>
      <c r="B880" s="106"/>
      <c r="C880" s="106"/>
      <c r="D880" s="107"/>
      <c r="E880" s="106"/>
      <c r="F880" s="106"/>
      <c r="G880" s="106"/>
      <c r="H880" s="60"/>
      <c r="I880" s="60"/>
      <c r="J880" s="108"/>
      <c r="K880" s="60"/>
      <c r="L880" s="109"/>
      <c r="M880" s="109"/>
      <c r="N880" s="109"/>
      <c r="O880" s="109"/>
      <c r="P880" s="109"/>
      <c r="Q880" s="109"/>
      <c r="S880" s="111"/>
      <c r="T880" s="60"/>
      <c r="U880" s="112"/>
    </row>
    <row r="881" spans="1:21" s="110" customFormat="1" ht="15.75" customHeight="1">
      <c r="A881" s="105"/>
      <c r="B881" s="106"/>
      <c r="C881" s="106"/>
      <c r="D881" s="107"/>
      <c r="E881" s="106"/>
      <c r="F881" s="106"/>
      <c r="G881" s="106"/>
      <c r="H881" s="60"/>
      <c r="I881" s="60"/>
      <c r="J881" s="108"/>
      <c r="K881" s="60"/>
      <c r="L881" s="109"/>
      <c r="M881" s="109"/>
      <c r="N881" s="109"/>
      <c r="O881" s="109"/>
      <c r="P881" s="109"/>
      <c r="Q881" s="109"/>
      <c r="S881" s="111"/>
      <c r="T881" s="60"/>
      <c r="U881" s="112"/>
    </row>
    <row r="882" spans="1:21" s="110" customFormat="1" ht="15.75" customHeight="1">
      <c r="A882" s="105"/>
      <c r="B882" s="106"/>
      <c r="C882" s="106"/>
      <c r="D882" s="107"/>
      <c r="E882" s="106"/>
      <c r="F882" s="106"/>
      <c r="G882" s="106"/>
      <c r="H882" s="60"/>
      <c r="I882" s="60"/>
      <c r="J882" s="108"/>
      <c r="K882" s="60"/>
      <c r="L882" s="109"/>
      <c r="M882" s="109"/>
      <c r="N882" s="109"/>
      <c r="O882" s="109"/>
      <c r="P882" s="109"/>
      <c r="Q882" s="109"/>
      <c r="S882" s="111"/>
      <c r="T882" s="60"/>
      <c r="U882" s="112"/>
    </row>
    <row r="883" spans="1:21" s="110" customFormat="1" ht="15.75" customHeight="1">
      <c r="A883" s="105"/>
      <c r="B883" s="106"/>
      <c r="C883" s="106"/>
      <c r="D883" s="107"/>
      <c r="E883" s="106"/>
      <c r="F883" s="106"/>
      <c r="G883" s="106"/>
      <c r="H883" s="60"/>
      <c r="I883" s="60"/>
      <c r="J883" s="108"/>
      <c r="K883" s="60"/>
      <c r="L883" s="109"/>
      <c r="M883" s="109"/>
      <c r="N883" s="109"/>
      <c r="O883" s="109"/>
      <c r="P883" s="109"/>
      <c r="Q883" s="109"/>
      <c r="S883" s="111"/>
      <c r="T883" s="60"/>
      <c r="U883" s="112"/>
    </row>
    <row r="884" spans="1:21" s="110" customFormat="1" ht="15.75" customHeight="1">
      <c r="A884" s="105"/>
      <c r="B884" s="106"/>
      <c r="C884" s="106"/>
      <c r="D884" s="107"/>
      <c r="E884" s="106"/>
      <c r="F884" s="106"/>
      <c r="G884" s="106"/>
      <c r="H884" s="60"/>
      <c r="I884" s="60"/>
      <c r="J884" s="108"/>
      <c r="K884" s="60"/>
      <c r="L884" s="109"/>
      <c r="M884" s="109"/>
      <c r="N884" s="109"/>
      <c r="O884" s="109"/>
      <c r="P884" s="109"/>
      <c r="Q884" s="109"/>
      <c r="S884" s="111"/>
      <c r="T884" s="60"/>
      <c r="U884" s="112"/>
    </row>
    <row r="885" spans="1:21" s="110" customFormat="1" ht="15.75" customHeight="1">
      <c r="A885" s="105"/>
      <c r="B885" s="106"/>
      <c r="C885" s="106"/>
      <c r="D885" s="107"/>
      <c r="E885" s="106"/>
      <c r="F885" s="106"/>
      <c r="G885" s="106"/>
      <c r="H885" s="60"/>
      <c r="I885" s="60"/>
      <c r="J885" s="108"/>
      <c r="K885" s="60"/>
      <c r="L885" s="109"/>
      <c r="M885" s="109"/>
      <c r="N885" s="109"/>
      <c r="O885" s="109"/>
      <c r="P885" s="109"/>
      <c r="Q885" s="109"/>
      <c r="S885" s="111"/>
      <c r="T885" s="60"/>
      <c r="U885" s="112"/>
    </row>
    <row r="886" spans="1:21" s="110" customFormat="1" ht="15.75" customHeight="1">
      <c r="A886" s="105"/>
      <c r="B886" s="106"/>
      <c r="C886" s="106"/>
      <c r="D886" s="107"/>
      <c r="E886" s="106"/>
      <c r="F886" s="106"/>
      <c r="G886" s="106"/>
      <c r="H886" s="60"/>
      <c r="I886" s="60"/>
      <c r="J886" s="108"/>
      <c r="K886" s="60"/>
      <c r="L886" s="109"/>
      <c r="M886" s="109"/>
      <c r="N886" s="109"/>
      <c r="O886" s="109"/>
      <c r="P886" s="109"/>
      <c r="Q886" s="109"/>
      <c r="S886" s="111"/>
      <c r="T886" s="60"/>
      <c r="U886" s="112"/>
    </row>
    <row r="887" spans="1:21" s="110" customFormat="1" ht="15.75" customHeight="1">
      <c r="A887" s="105"/>
      <c r="B887" s="106"/>
      <c r="C887" s="106"/>
      <c r="D887" s="107"/>
      <c r="E887" s="106"/>
      <c r="F887" s="106"/>
      <c r="G887" s="106"/>
      <c r="H887" s="60"/>
      <c r="I887" s="60"/>
      <c r="J887" s="108"/>
      <c r="K887" s="60"/>
      <c r="L887" s="109"/>
      <c r="M887" s="109"/>
      <c r="N887" s="109"/>
      <c r="O887" s="109"/>
      <c r="P887" s="109"/>
      <c r="Q887" s="109"/>
      <c r="S887" s="111"/>
      <c r="T887" s="60"/>
      <c r="U887" s="112"/>
    </row>
    <row r="888" spans="1:21" s="110" customFormat="1" ht="15.75" customHeight="1">
      <c r="A888" s="105"/>
      <c r="B888" s="106"/>
      <c r="C888" s="106"/>
      <c r="D888" s="107"/>
      <c r="E888" s="106"/>
      <c r="F888" s="106"/>
      <c r="G888" s="106"/>
      <c r="H888" s="60"/>
      <c r="I888" s="60"/>
      <c r="J888" s="108"/>
      <c r="K888" s="60"/>
      <c r="L888" s="109"/>
      <c r="M888" s="109"/>
      <c r="N888" s="109"/>
      <c r="O888" s="109"/>
      <c r="P888" s="109"/>
      <c r="Q888" s="109"/>
      <c r="S888" s="111"/>
      <c r="T888" s="60"/>
      <c r="U888" s="112"/>
    </row>
    <row r="889" spans="1:21" s="110" customFormat="1" ht="15.75" customHeight="1">
      <c r="A889" s="105"/>
      <c r="B889" s="106"/>
      <c r="C889" s="106"/>
      <c r="D889" s="107"/>
      <c r="E889" s="106"/>
      <c r="F889" s="106"/>
      <c r="G889" s="106"/>
      <c r="H889" s="60"/>
      <c r="I889" s="60"/>
      <c r="J889" s="108"/>
      <c r="K889" s="60"/>
      <c r="L889" s="109"/>
      <c r="M889" s="109"/>
      <c r="N889" s="109"/>
      <c r="O889" s="109"/>
      <c r="P889" s="109"/>
      <c r="Q889" s="109"/>
      <c r="S889" s="111"/>
      <c r="T889" s="60"/>
      <c r="U889" s="112"/>
    </row>
    <row r="890" spans="1:21" s="110" customFormat="1" ht="15.75" customHeight="1">
      <c r="A890" s="105"/>
      <c r="B890" s="106"/>
      <c r="C890" s="106"/>
      <c r="D890" s="107"/>
      <c r="E890" s="106"/>
      <c r="F890" s="106"/>
      <c r="G890" s="106"/>
      <c r="H890" s="60"/>
      <c r="I890" s="60"/>
      <c r="J890" s="108"/>
      <c r="K890" s="60"/>
      <c r="L890" s="109"/>
      <c r="M890" s="109"/>
      <c r="N890" s="109"/>
      <c r="O890" s="109"/>
      <c r="P890" s="109"/>
      <c r="Q890" s="109"/>
      <c r="S890" s="111"/>
      <c r="T890" s="60"/>
      <c r="U890" s="112"/>
    </row>
    <row r="891" spans="1:21" s="110" customFormat="1" ht="15.75" customHeight="1">
      <c r="A891" s="105"/>
      <c r="B891" s="106"/>
      <c r="C891" s="106"/>
      <c r="D891" s="107"/>
      <c r="E891" s="106"/>
      <c r="F891" s="106"/>
      <c r="G891" s="106"/>
      <c r="H891" s="60"/>
      <c r="I891" s="60"/>
      <c r="J891" s="108"/>
      <c r="K891" s="60"/>
      <c r="L891" s="109"/>
      <c r="M891" s="109"/>
      <c r="N891" s="109"/>
      <c r="O891" s="109"/>
      <c r="P891" s="109"/>
      <c r="Q891" s="109"/>
      <c r="S891" s="111"/>
      <c r="T891" s="60"/>
      <c r="U891" s="112"/>
    </row>
    <row r="892" spans="1:21" s="110" customFormat="1" ht="15.75" customHeight="1">
      <c r="A892" s="105"/>
      <c r="B892" s="106"/>
      <c r="C892" s="106"/>
      <c r="D892" s="107"/>
      <c r="E892" s="106"/>
      <c r="F892" s="106"/>
      <c r="G892" s="106"/>
      <c r="H892" s="60"/>
      <c r="I892" s="60"/>
      <c r="J892" s="108"/>
      <c r="K892" s="60"/>
      <c r="L892" s="109"/>
      <c r="M892" s="109"/>
      <c r="N892" s="109"/>
      <c r="O892" s="109"/>
      <c r="P892" s="109"/>
      <c r="Q892" s="109"/>
      <c r="S892" s="111"/>
      <c r="T892" s="60"/>
      <c r="U892" s="112"/>
    </row>
    <row r="893" spans="1:21" s="110" customFormat="1" ht="15.75" customHeight="1">
      <c r="A893" s="105"/>
      <c r="B893" s="106"/>
      <c r="C893" s="106"/>
      <c r="D893" s="107"/>
      <c r="E893" s="106"/>
      <c r="F893" s="106"/>
      <c r="G893" s="106"/>
      <c r="H893" s="60"/>
      <c r="I893" s="60"/>
      <c r="J893" s="108"/>
      <c r="K893" s="60"/>
      <c r="L893" s="109"/>
      <c r="M893" s="109"/>
      <c r="N893" s="109"/>
      <c r="O893" s="109"/>
      <c r="P893" s="109"/>
      <c r="Q893" s="109"/>
      <c r="S893" s="111"/>
      <c r="T893" s="60"/>
      <c r="U893" s="112"/>
    </row>
    <row r="894" spans="1:21" s="110" customFormat="1" ht="15.75" customHeight="1">
      <c r="A894" s="105"/>
      <c r="B894" s="106"/>
      <c r="C894" s="106"/>
      <c r="D894" s="107"/>
      <c r="E894" s="106"/>
      <c r="F894" s="106"/>
      <c r="G894" s="106"/>
      <c r="H894" s="60"/>
      <c r="I894" s="60"/>
      <c r="J894" s="108"/>
      <c r="K894" s="60"/>
      <c r="L894" s="109"/>
      <c r="M894" s="109"/>
      <c r="N894" s="109"/>
      <c r="O894" s="109"/>
      <c r="P894" s="109"/>
      <c r="Q894" s="109"/>
      <c r="S894" s="111"/>
      <c r="T894" s="60"/>
      <c r="U894" s="112"/>
    </row>
    <row r="895" spans="1:21" s="110" customFormat="1" ht="15.75" customHeight="1">
      <c r="A895" s="105"/>
      <c r="B895" s="106"/>
      <c r="C895" s="106"/>
      <c r="D895" s="107"/>
      <c r="E895" s="106"/>
      <c r="F895" s="106"/>
      <c r="G895" s="106"/>
      <c r="H895" s="60"/>
      <c r="I895" s="60"/>
      <c r="J895" s="108"/>
      <c r="K895" s="60"/>
      <c r="L895" s="109"/>
      <c r="M895" s="109"/>
      <c r="N895" s="109"/>
      <c r="O895" s="109"/>
      <c r="P895" s="109"/>
      <c r="Q895" s="109"/>
      <c r="S895" s="111"/>
      <c r="T895" s="60"/>
      <c r="U895" s="112"/>
    </row>
    <row r="896" spans="1:21" s="110" customFormat="1" ht="15.75" customHeight="1">
      <c r="A896" s="105"/>
      <c r="B896" s="106"/>
      <c r="C896" s="106"/>
      <c r="D896" s="107"/>
      <c r="E896" s="106"/>
      <c r="F896" s="106"/>
      <c r="G896" s="106"/>
      <c r="H896" s="60"/>
      <c r="I896" s="60"/>
      <c r="J896" s="108"/>
      <c r="K896" s="60"/>
      <c r="L896" s="109"/>
      <c r="M896" s="109"/>
      <c r="N896" s="109"/>
      <c r="O896" s="109"/>
      <c r="P896" s="109"/>
      <c r="Q896" s="109"/>
      <c r="S896" s="111"/>
      <c r="T896" s="60"/>
      <c r="U896" s="112"/>
    </row>
    <row r="897" spans="1:21" s="110" customFormat="1" ht="15.75" customHeight="1">
      <c r="A897" s="105"/>
      <c r="B897" s="106"/>
      <c r="C897" s="106"/>
      <c r="D897" s="107"/>
      <c r="E897" s="106"/>
      <c r="F897" s="106"/>
      <c r="G897" s="106"/>
      <c r="H897" s="60"/>
      <c r="I897" s="60"/>
      <c r="J897" s="108"/>
      <c r="K897" s="60"/>
      <c r="L897" s="109"/>
      <c r="M897" s="109"/>
      <c r="N897" s="109"/>
      <c r="O897" s="109"/>
      <c r="P897" s="109"/>
      <c r="Q897" s="109"/>
      <c r="S897" s="111"/>
      <c r="T897" s="60"/>
      <c r="U897" s="112"/>
    </row>
    <row r="898" spans="1:21" s="110" customFormat="1" ht="15.75" customHeight="1">
      <c r="A898" s="105"/>
      <c r="B898" s="106"/>
      <c r="C898" s="106"/>
      <c r="D898" s="107"/>
      <c r="E898" s="106"/>
      <c r="F898" s="106"/>
      <c r="G898" s="106"/>
      <c r="H898" s="60"/>
      <c r="I898" s="60"/>
      <c r="J898" s="108"/>
      <c r="K898" s="60"/>
      <c r="L898" s="109"/>
      <c r="M898" s="109"/>
      <c r="N898" s="109"/>
      <c r="O898" s="109"/>
      <c r="P898" s="109"/>
      <c r="Q898" s="109"/>
      <c r="S898" s="111"/>
      <c r="T898" s="60"/>
      <c r="U898" s="112"/>
    </row>
    <row r="899" spans="1:21" s="110" customFormat="1" ht="15.75" customHeight="1">
      <c r="A899" s="105"/>
      <c r="B899" s="106"/>
      <c r="C899" s="106"/>
      <c r="D899" s="107"/>
      <c r="E899" s="106"/>
      <c r="F899" s="106"/>
      <c r="G899" s="106"/>
      <c r="H899" s="60"/>
      <c r="I899" s="60"/>
      <c r="J899" s="108"/>
      <c r="K899" s="60"/>
      <c r="L899" s="109"/>
      <c r="M899" s="109"/>
      <c r="N899" s="109"/>
      <c r="O899" s="109"/>
      <c r="P899" s="109"/>
      <c r="Q899" s="109"/>
      <c r="S899" s="111"/>
      <c r="T899" s="60"/>
      <c r="U899" s="112"/>
    </row>
    <row r="900" spans="1:21" s="110" customFormat="1" ht="15.75" customHeight="1">
      <c r="A900" s="105"/>
      <c r="B900" s="106"/>
      <c r="C900" s="106"/>
      <c r="D900" s="107"/>
      <c r="E900" s="106"/>
      <c r="F900" s="106"/>
      <c r="G900" s="106"/>
      <c r="H900" s="60"/>
      <c r="I900" s="60"/>
      <c r="J900" s="108"/>
      <c r="K900" s="60"/>
      <c r="L900" s="109"/>
      <c r="M900" s="109"/>
      <c r="N900" s="109"/>
      <c r="O900" s="109"/>
      <c r="P900" s="109"/>
      <c r="Q900" s="109"/>
      <c r="S900" s="111"/>
      <c r="T900" s="60"/>
      <c r="U900" s="112"/>
    </row>
    <row r="901" spans="1:21" s="110" customFormat="1" ht="15.75" customHeight="1">
      <c r="A901" s="105"/>
      <c r="B901" s="106"/>
      <c r="C901" s="106"/>
      <c r="D901" s="107"/>
      <c r="E901" s="106"/>
      <c r="F901" s="106"/>
      <c r="G901" s="106"/>
      <c r="H901" s="60"/>
      <c r="I901" s="60"/>
      <c r="J901" s="108"/>
      <c r="K901" s="60"/>
      <c r="L901" s="109"/>
      <c r="M901" s="109"/>
      <c r="N901" s="109"/>
      <c r="O901" s="109"/>
      <c r="P901" s="109"/>
      <c r="Q901" s="109"/>
      <c r="S901" s="111"/>
      <c r="T901" s="60"/>
      <c r="U901" s="112"/>
    </row>
    <row r="902" spans="1:21" s="110" customFormat="1" ht="15.75" customHeight="1">
      <c r="A902" s="105"/>
      <c r="B902" s="106"/>
      <c r="C902" s="106"/>
      <c r="D902" s="107"/>
      <c r="E902" s="106"/>
      <c r="F902" s="106"/>
      <c r="G902" s="106"/>
      <c r="H902" s="60"/>
      <c r="I902" s="60"/>
      <c r="J902" s="108"/>
      <c r="K902" s="60"/>
      <c r="L902" s="109"/>
      <c r="M902" s="109"/>
      <c r="N902" s="109"/>
      <c r="O902" s="109"/>
      <c r="P902" s="109"/>
      <c r="Q902" s="109"/>
      <c r="S902" s="111"/>
      <c r="T902" s="60"/>
      <c r="U902" s="112"/>
    </row>
    <row r="903" spans="1:21" s="110" customFormat="1" ht="15.75" customHeight="1">
      <c r="A903" s="105"/>
      <c r="B903" s="106"/>
      <c r="C903" s="106"/>
      <c r="D903" s="107"/>
      <c r="E903" s="106"/>
      <c r="F903" s="106"/>
      <c r="G903" s="106"/>
      <c r="H903" s="60"/>
      <c r="I903" s="60"/>
      <c r="J903" s="108"/>
      <c r="K903" s="60"/>
      <c r="L903" s="109"/>
      <c r="M903" s="109"/>
      <c r="N903" s="109"/>
      <c r="O903" s="109"/>
      <c r="P903" s="109"/>
      <c r="Q903" s="109"/>
      <c r="S903" s="111"/>
      <c r="T903" s="60"/>
      <c r="U903" s="112"/>
    </row>
    <row r="904" spans="1:21" s="110" customFormat="1" ht="15.75" customHeight="1">
      <c r="A904" s="105"/>
      <c r="B904" s="106"/>
      <c r="C904" s="106"/>
      <c r="D904" s="107"/>
      <c r="E904" s="106"/>
      <c r="F904" s="106"/>
      <c r="G904" s="106"/>
      <c r="H904" s="60"/>
      <c r="I904" s="60"/>
      <c r="J904" s="108"/>
      <c r="K904" s="60"/>
      <c r="L904" s="109"/>
      <c r="M904" s="109"/>
      <c r="N904" s="109"/>
      <c r="O904" s="109"/>
      <c r="P904" s="109"/>
      <c r="Q904" s="109"/>
      <c r="S904" s="111"/>
      <c r="T904" s="60"/>
      <c r="U904" s="112"/>
    </row>
    <row r="905" spans="1:21" s="110" customFormat="1" ht="15.75" customHeight="1">
      <c r="A905" s="105"/>
      <c r="B905" s="106"/>
      <c r="C905" s="106"/>
      <c r="D905" s="107"/>
      <c r="E905" s="106"/>
      <c r="F905" s="106"/>
      <c r="G905" s="106"/>
      <c r="H905" s="60"/>
      <c r="I905" s="60"/>
      <c r="J905" s="108"/>
      <c r="K905" s="60"/>
      <c r="L905" s="109"/>
      <c r="M905" s="109"/>
      <c r="N905" s="109"/>
      <c r="O905" s="109"/>
      <c r="P905" s="109"/>
      <c r="Q905" s="109"/>
      <c r="S905" s="111"/>
      <c r="T905" s="60"/>
      <c r="U905" s="112"/>
    </row>
    <row r="906" spans="1:21" s="110" customFormat="1" ht="15.75" customHeight="1">
      <c r="A906" s="105"/>
      <c r="B906" s="106"/>
      <c r="C906" s="106"/>
      <c r="D906" s="107"/>
      <c r="E906" s="106"/>
      <c r="F906" s="106"/>
      <c r="G906" s="106"/>
      <c r="H906" s="60"/>
      <c r="I906" s="60"/>
      <c r="J906" s="108"/>
      <c r="K906" s="60"/>
      <c r="L906" s="109"/>
      <c r="M906" s="109"/>
      <c r="N906" s="109"/>
      <c r="O906" s="109"/>
      <c r="P906" s="109"/>
      <c r="Q906" s="109"/>
      <c r="S906" s="111"/>
      <c r="T906" s="60"/>
      <c r="U906" s="112"/>
    </row>
    <row r="907" spans="1:21" s="110" customFormat="1" ht="15.75" customHeight="1">
      <c r="A907" s="105"/>
      <c r="B907" s="106"/>
      <c r="C907" s="106"/>
      <c r="D907" s="107"/>
      <c r="E907" s="106"/>
      <c r="F907" s="106"/>
      <c r="G907" s="106"/>
      <c r="H907" s="60"/>
      <c r="I907" s="60"/>
      <c r="J907" s="108"/>
      <c r="K907" s="60"/>
      <c r="L907" s="109"/>
      <c r="M907" s="109"/>
      <c r="N907" s="109"/>
      <c r="O907" s="109"/>
      <c r="P907" s="109"/>
      <c r="Q907" s="109"/>
      <c r="S907" s="111"/>
      <c r="T907" s="60"/>
      <c r="U907" s="112"/>
    </row>
    <row r="908" spans="1:21" s="110" customFormat="1" ht="15.75" customHeight="1">
      <c r="A908" s="105"/>
      <c r="B908" s="106"/>
      <c r="C908" s="106"/>
      <c r="D908" s="107"/>
      <c r="E908" s="106"/>
      <c r="F908" s="106"/>
      <c r="G908" s="106"/>
      <c r="H908" s="60"/>
      <c r="I908" s="60"/>
      <c r="J908" s="108"/>
      <c r="K908" s="60"/>
      <c r="L908" s="109"/>
      <c r="M908" s="109"/>
      <c r="N908" s="109"/>
      <c r="O908" s="109"/>
      <c r="P908" s="109"/>
      <c r="Q908" s="109"/>
      <c r="S908" s="111"/>
      <c r="T908" s="60"/>
      <c r="U908" s="112"/>
    </row>
    <row r="909" spans="1:21" s="110" customFormat="1" ht="15.75" customHeight="1">
      <c r="A909" s="105"/>
      <c r="B909" s="106"/>
      <c r="C909" s="106"/>
      <c r="D909" s="107"/>
      <c r="E909" s="106"/>
      <c r="F909" s="106"/>
      <c r="G909" s="106"/>
      <c r="H909" s="60"/>
      <c r="I909" s="60"/>
      <c r="J909" s="108"/>
      <c r="K909" s="60"/>
      <c r="L909" s="109"/>
      <c r="M909" s="109"/>
      <c r="N909" s="109"/>
      <c r="O909" s="109"/>
      <c r="P909" s="109"/>
      <c r="Q909" s="109"/>
      <c r="S909" s="111"/>
      <c r="T909" s="60"/>
      <c r="U909" s="112"/>
    </row>
    <row r="910" spans="1:21" s="110" customFormat="1" ht="15.75" customHeight="1">
      <c r="A910" s="105"/>
      <c r="B910" s="106"/>
      <c r="C910" s="106"/>
      <c r="D910" s="107"/>
      <c r="E910" s="106"/>
      <c r="F910" s="106"/>
      <c r="G910" s="106"/>
      <c r="H910" s="60"/>
      <c r="I910" s="60"/>
      <c r="J910" s="108"/>
      <c r="K910" s="60"/>
      <c r="L910" s="109"/>
      <c r="M910" s="109"/>
      <c r="N910" s="109"/>
      <c r="O910" s="109"/>
      <c r="P910" s="109"/>
      <c r="Q910" s="109"/>
      <c r="S910" s="111"/>
      <c r="T910" s="60"/>
      <c r="U910" s="112"/>
    </row>
    <row r="911" spans="1:21" s="110" customFormat="1" ht="15.75" customHeight="1">
      <c r="A911" s="105"/>
      <c r="B911" s="106"/>
      <c r="C911" s="106"/>
      <c r="D911" s="107"/>
      <c r="E911" s="106"/>
      <c r="F911" s="106"/>
      <c r="G911" s="106"/>
      <c r="H911" s="60"/>
      <c r="I911" s="60"/>
      <c r="J911" s="108"/>
      <c r="K911" s="60"/>
      <c r="L911" s="109"/>
      <c r="M911" s="109"/>
      <c r="N911" s="109"/>
      <c r="O911" s="109"/>
      <c r="P911" s="109"/>
      <c r="Q911" s="109"/>
      <c r="S911" s="111"/>
      <c r="T911" s="60"/>
      <c r="U911" s="112"/>
    </row>
    <row r="912" spans="1:21" s="110" customFormat="1" ht="15.75" customHeight="1">
      <c r="A912" s="105"/>
      <c r="B912" s="106"/>
      <c r="C912" s="106"/>
      <c r="D912" s="107"/>
      <c r="E912" s="106"/>
      <c r="F912" s="106"/>
      <c r="G912" s="106"/>
      <c r="H912" s="60"/>
      <c r="I912" s="60"/>
      <c r="J912" s="108"/>
      <c r="K912" s="60"/>
      <c r="L912" s="109"/>
      <c r="M912" s="109"/>
      <c r="N912" s="109"/>
      <c r="O912" s="109"/>
      <c r="P912" s="109"/>
      <c r="Q912" s="109"/>
      <c r="S912" s="111"/>
      <c r="T912" s="60"/>
      <c r="U912" s="112"/>
    </row>
    <row r="913" spans="1:21" s="110" customFormat="1" ht="15.75" customHeight="1">
      <c r="A913" s="105"/>
      <c r="B913" s="106"/>
      <c r="C913" s="106"/>
      <c r="D913" s="107"/>
      <c r="E913" s="106"/>
      <c r="F913" s="106"/>
      <c r="G913" s="106"/>
      <c r="H913" s="60"/>
      <c r="I913" s="60"/>
      <c r="J913" s="108"/>
      <c r="K913" s="60"/>
      <c r="L913" s="109"/>
      <c r="M913" s="109"/>
      <c r="N913" s="109"/>
      <c r="O913" s="109"/>
      <c r="P913" s="109"/>
      <c r="Q913" s="109"/>
      <c r="S913" s="111"/>
      <c r="T913" s="60"/>
      <c r="U913" s="112"/>
    </row>
    <row r="914" spans="1:21" s="110" customFormat="1" ht="15.75" customHeight="1">
      <c r="A914" s="105"/>
      <c r="B914" s="106"/>
      <c r="C914" s="106"/>
      <c r="D914" s="107"/>
      <c r="E914" s="106"/>
      <c r="F914" s="106"/>
      <c r="G914" s="106"/>
      <c r="H914" s="60"/>
      <c r="I914" s="60"/>
      <c r="J914" s="108"/>
      <c r="K914" s="60"/>
      <c r="L914" s="109"/>
      <c r="M914" s="109"/>
      <c r="N914" s="109"/>
      <c r="O914" s="109"/>
      <c r="P914" s="109"/>
      <c r="Q914" s="109"/>
      <c r="S914" s="111"/>
      <c r="T914" s="60"/>
      <c r="U914" s="112"/>
    </row>
    <row r="915" spans="1:21" s="110" customFormat="1" ht="15.75" customHeight="1">
      <c r="A915" s="105"/>
      <c r="B915" s="106"/>
      <c r="C915" s="106"/>
      <c r="D915" s="107"/>
      <c r="E915" s="106"/>
      <c r="F915" s="106"/>
      <c r="G915" s="106"/>
      <c r="H915" s="60"/>
      <c r="I915" s="60"/>
      <c r="J915" s="108"/>
      <c r="K915" s="60"/>
      <c r="L915" s="109"/>
      <c r="M915" s="109"/>
      <c r="N915" s="109"/>
      <c r="O915" s="109"/>
      <c r="P915" s="109"/>
      <c r="Q915" s="109"/>
      <c r="S915" s="111"/>
      <c r="T915" s="60"/>
      <c r="U915" s="112"/>
    </row>
    <row r="916" spans="1:21" s="110" customFormat="1" ht="15.75" customHeight="1">
      <c r="A916" s="105"/>
      <c r="B916" s="106"/>
      <c r="C916" s="106"/>
      <c r="D916" s="107"/>
      <c r="E916" s="106"/>
      <c r="F916" s="106"/>
      <c r="G916" s="106"/>
      <c r="H916" s="60"/>
      <c r="I916" s="60"/>
      <c r="J916" s="108"/>
      <c r="K916" s="60"/>
      <c r="L916" s="109"/>
      <c r="M916" s="109"/>
      <c r="N916" s="109"/>
      <c r="O916" s="109"/>
      <c r="P916" s="109"/>
      <c r="Q916" s="109"/>
      <c r="S916" s="111"/>
      <c r="T916" s="60"/>
      <c r="U916" s="112"/>
    </row>
    <row r="917" spans="1:21" s="110" customFormat="1" ht="15.75" customHeight="1">
      <c r="A917" s="105"/>
      <c r="B917" s="106"/>
      <c r="C917" s="106"/>
      <c r="D917" s="107"/>
      <c r="E917" s="106"/>
      <c r="F917" s="106"/>
      <c r="G917" s="106"/>
      <c r="H917" s="60"/>
      <c r="I917" s="60"/>
      <c r="J917" s="108"/>
      <c r="K917" s="60"/>
      <c r="L917" s="109"/>
      <c r="M917" s="109"/>
      <c r="N917" s="109"/>
      <c r="O917" s="109"/>
      <c r="P917" s="109"/>
      <c r="Q917" s="109"/>
      <c r="S917" s="111"/>
      <c r="T917" s="60"/>
      <c r="U917" s="112"/>
    </row>
    <row r="918" spans="1:21" s="110" customFormat="1" ht="15.75" customHeight="1">
      <c r="A918" s="105"/>
      <c r="B918" s="106"/>
      <c r="C918" s="106"/>
      <c r="D918" s="107"/>
      <c r="E918" s="106"/>
      <c r="F918" s="106"/>
      <c r="G918" s="106"/>
      <c r="H918" s="60"/>
      <c r="I918" s="60"/>
      <c r="J918" s="108"/>
      <c r="K918" s="60"/>
      <c r="L918" s="109"/>
      <c r="M918" s="109"/>
      <c r="N918" s="109"/>
      <c r="O918" s="109"/>
      <c r="P918" s="109"/>
      <c r="Q918" s="109"/>
      <c r="S918" s="111"/>
      <c r="T918" s="60"/>
      <c r="U918" s="112"/>
    </row>
    <row r="919" spans="1:21" s="110" customFormat="1" ht="15.75" customHeight="1">
      <c r="A919" s="105"/>
      <c r="B919" s="106"/>
      <c r="C919" s="106"/>
      <c r="D919" s="107"/>
      <c r="E919" s="106"/>
      <c r="F919" s="106"/>
      <c r="G919" s="106"/>
      <c r="H919" s="60"/>
      <c r="I919" s="60"/>
      <c r="J919" s="108"/>
      <c r="K919" s="60"/>
      <c r="L919" s="109"/>
      <c r="M919" s="109"/>
      <c r="N919" s="109"/>
      <c r="O919" s="109"/>
      <c r="P919" s="109"/>
      <c r="Q919" s="109"/>
      <c r="S919" s="111"/>
      <c r="T919" s="60"/>
      <c r="U919" s="112"/>
    </row>
    <row r="920" spans="1:21" s="110" customFormat="1" ht="15.75" customHeight="1">
      <c r="A920" s="105"/>
      <c r="B920" s="106"/>
      <c r="C920" s="106"/>
      <c r="D920" s="107"/>
      <c r="E920" s="106"/>
      <c r="F920" s="106"/>
      <c r="G920" s="106"/>
      <c r="H920" s="60"/>
      <c r="I920" s="60"/>
      <c r="J920" s="108"/>
      <c r="K920" s="60"/>
      <c r="L920" s="109"/>
      <c r="M920" s="109"/>
      <c r="N920" s="109"/>
      <c r="O920" s="109"/>
      <c r="P920" s="109"/>
      <c r="Q920" s="109"/>
      <c r="S920" s="111"/>
      <c r="T920" s="60"/>
      <c r="U920" s="112"/>
    </row>
    <row r="921" spans="1:21" s="110" customFormat="1" ht="15.75" customHeight="1">
      <c r="A921" s="105"/>
      <c r="B921" s="106"/>
      <c r="C921" s="106"/>
      <c r="D921" s="107"/>
      <c r="E921" s="106"/>
      <c r="F921" s="106"/>
      <c r="G921" s="106"/>
      <c r="H921" s="60"/>
      <c r="I921" s="60"/>
      <c r="J921" s="108"/>
      <c r="K921" s="60"/>
      <c r="L921" s="109"/>
      <c r="M921" s="109"/>
      <c r="N921" s="109"/>
      <c r="O921" s="109"/>
      <c r="P921" s="109"/>
      <c r="Q921" s="109"/>
      <c r="S921" s="111"/>
      <c r="T921" s="60"/>
      <c r="U921" s="112"/>
    </row>
    <row r="922" spans="1:21" s="110" customFormat="1" ht="15.75" customHeight="1">
      <c r="A922" s="105"/>
      <c r="B922" s="106"/>
      <c r="C922" s="106"/>
      <c r="D922" s="107"/>
      <c r="E922" s="106"/>
      <c r="F922" s="106"/>
      <c r="G922" s="106"/>
      <c r="H922" s="60"/>
      <c r="I922" s="60"/>
      <c r="J922" s="108"/>
      <c r="K922" s="60"/>
      <c r="L922" s="109"/>
      <c r="M922" s="109"/>
      <c r="N922" s="109"/>
      <c r="O922" s="109"/>
      <c r="P922" s="109"/>
      <c r="Q922" s="109"/>
      <c r="S922" s="111"/>
      <c r="T922" s="60"/>
      <c r="U922" s="112"/>
    </row>
    <row r="923" spans="1:21" s="110" customFormat="1" ht="15.75" customHeight="1">
      <c r="A923" s="105"/>
      <c r="B923" s="106"/>
      <c r="C923" s="106"/>
      <c r="D923" s="107"/>
      <c r="E923" s="106"/>
      <c r="F923" s="106"/>
      <c r="G923" s="106"/>
      <c r="H923" s="60"/>
      <c r="I923" s="60"/>
      <c r="J923" s="108"/>
      <c r="K923" s="60"/>
      <c r="L923" s="109"/>
      <c r="M923" s="109"/>
      <c r="N923" s="109"/>
      <c r="O923" s="109"/>
      <c r="P923" s="109"/>
      <c r="Q923" s="109"/>
      <c r="S923" s="111"/>
      <c r="T923" s="60"/>
      <c r="U923" s="112"/>
    </row>
    <row r="924" spans="1:21" s="110" customFormat="1" ht="15.75" customHeight="1">
      <c r="A924" s="105"/>
      <c r="B924" s="106"/>
      <c r="C924" s="106"/>
      <c r="D924" s="107"/>
      <c r="E924" s="106"/>
      <c r="F924" s="106"/>
      <c r="G924" s="106"/>
      <c r="H924" s="60"/>
      <c r="I924" s="60"/>
      <c r="J924" s="108"/>
      <c r="K924" s="60"/>
      <c r="L924" s="109"/>
      <c r="M924" s="109"/>
      <c r="N924" s="109"/>
      <c r="O924" s="109"/>
      <c r="P924" s="109"/>
      <c r="Q924" s="109"/>
      <c r="S924" s="111"/>
      <c r="T924" s="60"/>
      <c r="U924" s="112"/>
    </row>
    <row r="925" spans="1:21" s="110" customFormat="1" ht="15.75" customHeight="1">
      <c r="A925" s="105"/>
      <c r="B925" s="106"/>
      <c r="C925" s="106"/>
      <c r="D925" s="107"/>
      <c r="E925" s="106"/>
      <c r="F925" s="106"/>
      <c r="G925" s="106"/>
      <c r="H925" s="60"/>
      <c r="I925" s="60"/>
      <c r="J925" s="108"/>
      <c r="K925" s="60"/>
      <c r="L925" s="109"/>
      <c r="M925" s="109"/>
      <c r="N925" s="109"/>
      <c r="O925" s="109"/>
      <c r="P925" s="109"/>
      <c r="Q925" s="109"/>
      <c r="S925" s="111"/>
      <c r="T925" s="60"/>
      <c r="U925" s="112"/>
    </row>
    <row r="926" spans="1:21" s="110" customFormat="1" ht="15.75" customHeight="1">
      <c r="A926" s="105"/>
      <c r="B926" s="106"/>
      <c r="C926" s="106"/>
      <c r="D926" s="107"/>
      <c r="E926" s="106"/>
      <c r="F926" s="106"/>
      <c r="G926" s="106"/>
      <c r="H926" s="60"/>
      <c r="I926" s="60"/>
      <c r="J926" s="108"/>
      <c r="K926" s="60"/>
      <c r="L926" s="109"/>
      <c r="M926" s="109"/>
      <c r="N926" s="109"/>
      <c r="O926" s="109"/>
      <c r="P926" s="109"/>
      <c r="Q926" s="109"/>
      <c r="S926" s="111"/>
      <c r="T926" s="60"/>
      <c r="U926" s="112"/>
    </row>
    <row r="927" spans="1:21" s="110" customFormat="1" ht="15.75" customHeight="1">
      <c r="A927" s="105"/>
      <c r="B927" s="106"/>
      <c r="C927" s="106"/>
      <c r="D927" s="107"/>
      <c r="E927" s="106"/>
      <c r="F927" s="106"/>
      <c r="G927" s="106"/>
      <c r="H927" s="60"/>
      <c r="I927" s="60"/>
      <c r="J927" s="108"/>
      <c r="K927" s="60"/>
      <c r="L927" s="109"/>
      <c r="M927" s="109"/>
      <c r="N927" s="109"/>
      <c r="O927" s="109"/>
      <c r="P927" s="109"/>
      <c r="Q927" s="109"/>
      <c r="S927" s="111"/>
      <c r="T927" s="60"/>
      <c r="U927" s="112"/>
    </row>
    <row r="928" spans="1:21" s="110" customFormat="1" ht="15.75" customHeight="1">
      <c r="A928" s="105"/>
      <c r="B928" s="106"/>
      <c r="C928" s="106"/>
      <c r="D928" s="107"/>
      <c r="E928" s="106"/>
      <c r="F928" s="106"/>
      <c r="G928" s="106"/>
      <c r="H928" s="60"/>
      <c r="I928" s="60"/>
      <c r="J928" s="108"/>
      <c r="K928" s="60"/>
      <c r="L928" s="109"/>
      <c r="M928" s="109"/>
      <c r="N928" s="109"/>
      <c r="O928" s="109"/>
      <c r="P928" s="109"/>
      <c r="Q928" s="109"/>
      <c r="S928" s="111"/>
      <c r="T928" s="60"/>
      <c r="U928" s="112"/>
    </row>
    <row r="929" spans="1:21" s="110" customFormat="1" ht="15.75" customHeight="1">
      <c r="A929" s="105"/>
      <c r="B929" s="106"/>
      <c r="C929" s="106"/>
      <c r="D929" s="107"/>
      <c r="E929" s="106"/>
      <c r="F929" s="106"/>
      <c r="G929" s="106"/>
      <c r="H929" s="60"/>
      <c r="I929" s="60"/>
      <c r="J929" s="108"/>
      <c r="K929" s="60"/>
      <c r="L929" s="109"/>
      <c r="M929" s="109"/>
      <c r="N929" s="109"/>
      <c r="O929" s="109"/>
      <c r="P929" s="109"/>
      <c r="Q929" s="109"/>
      <c r="S929" s="111"/>
      <c r="T929" s="60"/>
      <c r="U929" s="112"/>
    </row>
    <row r="930" spans="1:21" s="110" customFormat="1" ht="15.75" customHeight="1">
      <c r="A930" s="105"/>
      <c r="B930" s="106"/>
      <c r="C930" s="106"/>
      <c r="D930" s="107"/>
      <c r="E930" s="106"/>
      <c r="F930" s="106"/>
      <c r="G930" s="106"/>
      <c r="H930" s="60"/>
      <c r="I930" s="60"/>
      <c r="J930" s="108"/>
      <c r="K930" s="60"/>
      <c r="L930" s="109"/>
      <c r="M930" s="109"/>
      <c r="N930" s="109"/>
      <c r="O930" s="109"/>
      <c r="P930" s="109"/>
      <c r="Q930" s="109"/>
      <c r="S930" s="111"/>
      <c r="T930" s="60"/>
      <c r="U930" s="112"/>
    </row>
    <row r="931" spans="1:21" s="110" customFormat="1" ht="15.75" customHeight="1">
      <c r="A931" s="105"/>
      <c r="B931" s="106"/>
      <c r="C931" s="106"/>
      <c r="D931" s="107"/>
      <c r="E931" s="106"/>
      <c r="F931" s="106"/>
      <c r="G931" s="106"/>
      <c r="H931" s="60"/>
      <c r="I931" s="60"/>
      <c r="J931" s="108"/>
      <c r="K931" s="60"/>
      <c r="L931" s="109"/>
      <c r="M931" s="109"/>
      <c r="N931" s="109"/>
      <c r="O931" s="109"/>
      <c r="P931" s="109"/>
      <c r="Q931" s="109"/>
      <c r="S931" s="111"/>
      <c r="T931" s="60"/>
      <c r="U931" s="112"/>
    </row>
    <row r="932" spans="1:21" s="110" customFormat="1" ht="15.75" customHeight="1">
      <c r="A932" s="105"/>
      <c r="B932" s="106"/>
      <c r="C932" s="106"/>
      <c r="D932" s="107"/>
      <c r="E932" s="106"/>
      <c r="F932" s="106"/>
      <c r="G932" s="106"/>
      <c r="H932" s="60"/>
      <c r="I932" s="60"/>
      <c r="J932" s="108"/>
      <c r="K932" s="60"/>
      <c r="L932" s="109"/>
      <c r="M932" s="109"/>
      <c r="N932" s="109"/>
      <c r="O932" s="109"/>
      <c r="P932" s="109"/>
      <c r="Q932" s="109"/>
      <c r="S932" s="111"/>
      <c r="T932" s="60"/>
      <c r="U932" s="112"/>
    </row>
    <row r="933" spans="1:21" s="110" customFormat="1" ht="15.75" customHeight="1">
      <c r="A933" s="105"/>
      <c r="B933" s="106"/>
      <c r="C933" s="106"/>
      <c r="D933" s="107"/>
      <c r="E933" s="106"/>
      <c r="F933" s="106"/>
      <c r="G933" s="106"/>
      <c r="H933" s="60"/>
      <c r="I933" s="60"/>
      <c r="J933" s="108"/>
      <c r="K933" s="60"/>
      <c r="L933" s="109"/>
      <c r="M933" s="109"/>
      <c r="N933" s="109"/>
      <c r="O933" s="109"/>
      <c r="P933" s="109"/>
      <c r="Q933" s="109"/>
      <c r="S933" s="111"/>
      <c r="T933" s="60"/>
      <c r="U933" s="112"/>
    </row>
    <row r="934" spans="1:21" s="110" customFormat="1" ht="15.75" customHeight="1">
      <c r="A934" s="105"/>
      <c r="B934" s="106"/>
      <c r="C934" s="106"/>
      <c r="D934" s="107"/>
      <c r="E934" s="106"/>
      <c r="F934" s="106"/>
      <c r="G934" s="106"/>
      <c r="H934" s="60"/>
      <c r="I934" s="60"/>
      <c r="J934" s="108"/>
      <c r="K934" s="60"/>
      <c r="L934" s="109"/>
      <c r="M934" s="109"/>
      <c r="N934" s="109"/>
      <c r="O934" s="109"/>
      <c r="P934" s="109"/>
      <c r="Q934" s="109"/>
      <c r="S934" s="111"/>
      <c r="T934" s="60"/>
      <c r="U934" s="112"/>
    </row>
    <row r="935" spans="1:21" s="110" customFormat="1" ht="15.75" customHeight="1">
      <c r="A935" s="105"/>
      <c r="B935" s="106"/>
      <c r="C935" s="106"/>
      <c r="D935" s="107"/>
      <c r="E935" s="106"/>
      <c r="F935" s="106"/>
      <c r="G935" s="106"/>
      <c r="H935" s="60"/>
      <c r="I935" s="60"/>
      <c r="J935" s="108"/>
      <c r="K935" s="60"/>
      <c r="L935" s="109"/>
      <c r="M935" s="109"/>
      <c r="N935" s="109"/>
      <c r="O935" s="109"/>
      <c r="P935" s="109"/>
      <c r="Q935" s="109"/>
      <c r="S935" s="111"/>
      <c r="T935" s="60"/>
      <c r="U935" s="112"/>
    </row>
    <row r="936" spans="1:21" s="110" customFormat="1" ht="15.75" customHeight="1">
      <c r="A936" s="105"/>
      <c r="B936" s="106"/>
      <c r="C936" s="106"/>
      <c r="D936" s="107"/>
      <c r="E936" s="106"/>
      <c r="F936" s="106"/>
      <c r="G936" s="106"/>
      <c r="H936" s="60"/>
      <c r="I936" s="60"/>
      <c r="J936" s="108"/>
      <c r="K936" s="60"/>
      <c r="L936" s="109"/>
      <c r="M936" s="109"/>
      <c r="N936" s="109"/>
      <c r="O936" s="109"/>
      <c r="P936" s="109"/>
      <c r="Q936" s="109"/>
      <c r="S936" s="111"/>
      <c r="T936" s="60"/>
      <c r="U936" s="112"/>
    </row>
    <row r="937" spans="1:21" s="110" customFormat="1" ht="15.75" customHeight="1">
      <c r="A937" s="105"/>
      <c r="B937" s="106"/>
      <c r="C937" s="106"/>
      <c r="D937" s="107"/>
      <c r="E937" s="106"/>
      <c r="F937" s="106"/>
      <c r="G937" s="106"/>
      <c r="H937" s="60"/>
      <c r="I937" s="60"/>
      <c r="J937" s="108"/>
      <c r="K937" s="60"/>
      <c r="L937" s="109"/>
      <c r="M937" s="109"/>
      <c r="N937" s="109"/>
      <c r="O937" s="109"/>
      <c r="P937" s="109"/>
      <c r="Q937" s="109"/>
      <c r="S937" s="111"/>
      <c r="T937" s="60"/>
      <c r="U937" s="112"/>
    </row>
    <row r="938" spans="1:21" s="110" customFormat="1" ht="15.75" customHeight="1">
      <c r="A938" s="105"/>
      <c r="B938" s="106"/>
      <c r="C938" s="106"/>
      <c r="D938" s="107"/>
      <c r="E938" s="106"/>
      <c r="F938" s="106"/>
      <c r="G938" s="106"/>
      <c r="H938" s="60"/>
      <c r="I938" s="60"/>
      <c r="J938" s="108"/>
      <c r="K938" s="60"/>
      <c r="L938" s="109"/>
      <c r="M938" s="109"/>
      <c r="N938" s="109"/>
      <c r="O938" s="109"/>
      <c r="P938" s="109"/>
      <c r="Q938" s="109"/>
      <c r="S938" s="111"/>
      <c r="T938" s="60"/>
      <c r="U938" s="112"/>
    </row>
    <row r="939" spans="1:21" s="110" customFormat="1" ht="15.75" customHeight="1">
      <c r="A939" s="105"/>
      <c r="B939" s="106"/>
      <c r="C939" s="106"/>
      <c r="D939" s="107"/>
      <c r="E939" s="106"/>
      <c r="F939" s="106"/>
      <c r="G939" s="106"/>
      <c r="H939" s="60"/>
      <c r="I939" s="60"/>
      <c r="J939" s="108"/>
      <c r="K939" s="60"/>
      <c r="L939" s="109"/>
      <c r="M939" s="109"/>
      <c r="N939" s="109"/>
      <c r="O939" s="109"/>
      <c r="P939" s="109"/>
      <c r="Q939" s="109"/>
      <c r="S939" s="111"/>
      <c r="T939" s="60"/>
      <c r="U939" s="112"/>
    </row>
    <row r="940" spans="1:21" s="110" customFormat="1" ht="15.75" customHeight="1">
      <c r="A940" s="105"/>
      <c r="B940" s="106"/>
      <c r="C940" s="106"/>
      <c r="D940" s="107"/>
      <c r="E940" s="106"/>
      <c r="F940" s="106"/>
      <c r="G940" s="106"/>
      <c r="H940" s="60"/>
      <c r="I940" s="60"/>
      <c r="J940" s="108"/>
      <c r="K940" s="60"/>
      <c r="L940" s="109"/>
      <c r="M940" s="109"/>
      <c r="N940" s="109"/>
      <c r="O940" s="109"/>
      <c r="P940" s="109"/>
      <c r="Q940" s="109"/>
      <c r="S940" s="111"/>
      <c r="T940" s="60"/>
      <c r="U940" s="112"/>
    </row>
    <row r="941" spans="1:21" s="110" customFormat="1" ht="15.75" customHeight="1">
      <c r="A941" s="105"/>
      <c r="B941" s="106"/>
      <c r="C941" s="106"/>
      <c r="D941" s="107"/>
      <c r="E941" s="106"/>
      <c r="F941" s="106"/>
      <c r="G941" s="106"/>
      <c r="H941" s="60"/>
      <c r="I941" s="60"/>
      <c r="J941" s="108"/>
      <c r="K941" s="60"/>
      <c r="L941" s="109"/>
      <c r="M941" s="109"/>
      <c r="N941" s="109"/>
      <c r="O941" s="109"/>
      <c r="P941" s="109"/>
      <c r="Q941" s="109"/>
      <c r="S941" s="111"/>
      <c r="T941" s="60"/>
      <c r="U941" s="112"/>
    </row>
    <row r="942" spans="1:21" s="110" customFormat="1" ht="15.75" customHeight="1">
      <c r="A942" s="105"/>
      <c r="B942" s="106"/>
      <c r="C942" s="106"/>
      <c r="D942" s="107"/>
      <c r="E942" s="106"/>
      <c r="F942" s="106"/>
      <c r="G942" s="106"/>
      <c r="H942" s="60"/>
      <c r="I942" s="60"/>
      <c r="J942" s="108"/>
      <c r="K942" s="60"/>
      <c r="L942" s="109"/>
      <c r="M942" s="109"/>
      <c r="N942" s="109"/>
      <c r="O942" s="109"/>
      <c r="P942" s="109"/>
      <c r="Q942" s="109"/>
      <c r="S942" s="111"/>
      <c r="T942" s="60"/>
      <c r="U942" s="112"/>
    </row>
    <row r="943" spans="1:21" s="110" customFormat="1" ht="15.75" customHeight="1">
      <c r="A943" s="105"/>
      <c r="B943" s="106"/>
      <c r="C943" s="106"/>
      <c r="D943" s="107"/>
      <c r="E943" s="106"/>
      <c r="F943" s="106"/>
      <c r="G943" s="106"/>
      <c r="H943" s="60"/>
      <c r="I943" s="60"/>
      <c r="J943" s="108"/>
      <c r="K943" s="60"/>
      <c r="L943" s="109"/>
      <c r="M943" s="109"/>
      <c r="N943" s="109"/>
      <c r="O943" s="109"/>
      <c r="P943" s="109"/>
      <c r="Q943" s="109"/>
      <c r="S943" s="111"/>
      <c r="T943" s="60"/>
      <c r="U943" s="112"/>
    </row>
    <row r="944" spans="1:21" s="110" customFormat="1" ht="15.75" customHeight="1">
      <c r="A944" s="105"/>
      <c r="B944" s="106"/>
      <c r="C944" s="106"/>
      <c r="D944" s="107"/>
      <c r="E944" s="106"/>
      <c r="F944" s="106"/>
      <c r="G944" s="106"/>
      <c r="H944" s="60"/>
      <c r="I944" s="60"/>
      <c r="J944" s="108"/>
      <c r="K944" s="60"/>
      <c r="L944" s="109"/>
      <c r="M944" s="109"/>
      <c r="N944" s="109"/>
      <c r="O944" s="109"/>
      <c r="P944" s="109"/>
      <c r="Q944" s="109"/>
      <c r="S944" s="111"/>
      <c r="T944" s="60"/>
      <c r="U944" s="112"/>
    </row>
    <row r="945" spans="1:21" s="110" customFormat="1" ht="15.75" customHeight="1">
      <c r="A945" s="105"/>
      <c r="B945" s="106"/>
      <c r="C945" s="106"/>
      <c r="D945" s="107"/>
      <c r="E945" s="106"/>
      <c r="F945" s="106"/>
      <c r="G945" s="106"/>
      <c r="H945" s="60"/>
      <c r="I945" s="60"/>
      <c r="J945" s="108"/>
      <c r="K945" s="60"/>
      <c r="L945" s="109"/>
      <c r="M945" s="109"/>
      <c r="N945" s="109"/>
      <c r="O945" s="109"/>
      <c r="P945" s="109"/>
      <c r="Q945" s="109"/>
      <c r="S945" s="111"/>
      <c r="T945" s="60"/>
      <c r="U945" s="112"/>
    </row>
    <row r="946" spans="1:21" s="110" customFormat="1" ht="15.75" customHeight="1">
      <c r="A946" s="105"/>
      <c r="B946" s="106"/>
      <c r="C946" s="106"/>
      <c r="D946" s="107"/>
      <c r="E946" s="106"/>
      <c r="F946" s="106"/>
      <c r="G946" s="106"/>
      <c r="H946" s="60"/>
      <c r="I946" s="60"/>
      <c r="J946" s="108"/>
      <c r="K946" s="60"/>
      <c r="L946" s="109"/>
      <c r="M946" s="109"/>
      <c r="N946" s="109"/>
      <c r="O946" s="109"/>
      <c r="P946" s="109"/>
      <c r="Q946" s="109"/>
      <c r="S946" s="111"/>
      <c r="T946" s="60"/>
      <c r="U946" s="112"/>
    </row>
    <row r="947" spans="1:21" s="110" customFormat="1" ht="15.75" customHeight="1">
      <c r="A947" s="105"/>
      <c r="B947" s="106"/>
      <c r="C947" s="106"/>
      <c r="D947" s="107"/>
      <c r="E947" s="106"/>
      <c r="F947" s="106"/>
      <c r="G947" s="106"/>
      <c r="H947" s="60"/>
      <c r="I947" s="60"/>
      <c r="J947" s="108"/>
      <c r="K947" s="60"/>
      <c r="L947" s="109"/>
      <c r="M947" s="109"/>
      <c r="N947" s="109"/>
      <c r="O947" s="109"/>
      <c r="P947" s="109"/>
      <c r="Q947" s="109"/>
      <c r="S947" s="111"/>
      <c r="T947" s="60"/>
      <c r="U947" s="112"/>
    </row>
    <row r="948" spans="1:21" s="110" customFormat="1" ht="15.75" customHeight="1">
      <c r="A948" s="105"/>
      <c r="B948" s="106"/>
      <c r="C948" s="106"/>
      <c r="D948" s="107"/>
      <c r="E948" s="106"/>
      <c r="F948" s="106"/>
      <c r="G948" s="106"/>
      <c r="H948" s="60"/>
      <c r="I948" s="60"/>
      <c r="J948" s="108"/>
      <c r="K948" s="60"/>
      <c r="L948" s="109"/>
      <c r="M948" s="109"/>
      <c r="N948" s="109"/>
      <c r="O948" s="109"/>
      <c r="P948" s="109"/>
      <c r="Q948" s="109"/>
      <c r="S948" s="111"/>
      <c r="T948" s="60"/>
      <c r="U948" s="112"/>
    </row>
    <row r="949" spans="1:21" s="110" customFormat="1" ht="15.75" customHeight="1">
      <c r="A949" s="105"/>
      <c r="B949" s="106"/>
      <c r="C949" s="106"/>
      <c r="D949" s="107"/>
      <c r="E949" s="106"/>
      <c r="F949" s="106"/>
      <c r="G949" s="106"/>
      <c r="H949" s="60"/>
      <c r="I949" s="60"/>
      <c r="J949" s="108"/>
      <c r="K949" s="60"/>
      <c r="L949" s="109"/>
      <c r="M949" s="109"/>
      <c r="N949" s="109"/>
      <c r="O949" s="109"/>
      <c r="P949" s="109"/>
      <c r="Q949" s="109"/>
      <c r="S949" s="111"/>
      <c r="T949" s="60"/>
      <c r="U949" s="112"/>
    </row>
    <row r="950" spans="1:21" s="110" customFormat="1" ht="15.75" customHeight="1">
      <c r="A950" s="105"/>
      <c r="B950" s="106"/>
      <c r="C950" s="106"/>
      <c r="D950" s="107"/>
      <c r="E950" s="106"/>
      <c r="F950" s="106"/>
      <c r="G950" s="106"/>
      <c r="H950" s="60"/>
      <c r="I950" s="60"/>
      <c r="J950" s="108"/>
      <c r="K950" s="60"/>
      <c r="L950" s="109"/>
      <c r="M950" s="109"/>
      <c r="N950" s="109"/>
      <c r="O950" s="109"/>
      <c r="P950" s="109"/>
      <c r="Q950" s="109"/>
      <c r="S950" s="111"/>
      <c r="T950" s="60"/>
      <c r="U950" s="112"/>
    </row>
    <row r="951" spans="1:21" s="110" customFormat="1" ht="15.75" customHeight="1">
      <c r="A951" s="105"/>
      <c r="B951" s="106"/>
      <c r="C951" s="106"/>
      <c r="D951" s="107"/>
      <c r="E951" s="106"/>
      <c r="F951" s="106"/>
      <c r="G951" s="106"/>
      <c r="H951" s="60"/>
      <c r="I951" s="60"/>
      <c r="J951" s="108"/>
      <c r="K951" s="60"/>
      <c r="L951" s="109"/>
      <c r="M951" s="109"/>
      <c r="N951" s="109"/>
      <c r="O951" s="109"/>
      <c r="P951" s="109"/>
      <c r="Q951" s="109"/>
      <c r="S951" s="111"/>
      <c r="T951" s="60"/>
      <c r="U951" s="112"/>
    </row>
    <row r="952" spans="1:21" s="110" customFormat="1" ht="15.75" customHeight="1">
      <c r="A952" s="105"/>
      <c r="B952" s="106"/>
      <c r="C952" s="106"/>
      <c r="D952" s="107"/>
      <c r="E952" s="106"/>
      <c r="F952" s="106"/>
      <c r="G952" s="106"/>
      <c r="H952" s="60"/>
      <c r="I952" s="60"/>
      <c r="J952" s="108"/>
      <c r="K952" s="60"/>
      <c r="L952" s="109"/>
      <c r="M952" s="109"/>
      <c r="N952" s="109"/>
      <c r="O952" s="109"/>
      <c r="P952" s="109"/>
      <c r="Q952" s="109"/>
      <c r="S952" s="111"/>
      <c r="T952" s="60"/>
      <c r="U952" s="112"/>
    </row>
    <row r="953" spans="1:21" s="110" customFormat="1" ht="15.75" customHeight="1">
      <c r="A953" s="105"/>
      <c r="B953" s="106"/>
      <c r="C953" s="106"/>
      <c r="D953" s="107"/>
      <c r="E953" s="106"/>
      <c r="F953" s="106"/>
      <c r="G953" s="106"/>
      <c r="H953" s="60"/>
      <c r="I953" s="60"/>
      <c r="J953" s="108"/>
      <c r="K953" s="60"/>
      <c r="L953" s="109"/>
      <c r="M953" s="109"/>
      <c r="N953" s="109"/>
      <c r="O953" s="109"/>
      <c r="P953" s="109"/>
      <c r="Q953" s="109"/>
      <c r="S953" s="111"/>
      <c r="T953" s="60"/>
      <c r="U953" s="112"/>
    </row>
    <row r="954" spans="1:21" s="110" customFormat="1" ht="15.75" customHeight="1">
      <c r="A954" s="105"/>
      <c r="B954" s="106"/>
      <c r="C954" s="106"/>
      <c r="D954" s="107"/>
      <c r="E954" s="106"/>
      <c r="F954" s="106"/>
      <c r="G954" s="106"/>
      <c r="H954" s="60"/>
      <c r="I954" s="60"/>
      <c r="J954" s="108"/>
      <c r="K954" s="60"/>
      <c r="L954" s="109"/>
      <c r="M954" s="109"/>
      <c r="N954" s="109"/>
      <c r="O954" s="109"/>
      <c r="P954" s="109"/>
      <c r="Q954" s="109"/>
      <c r="S954" s="111"/>
      <c r="T954" s="60"/>
      <c r="U954" s="112"/>
    </row>
    <row r="955" spans="1:21" s="110" customFormat="1" ht="15.75" customHeight="1">
      <c r="A955" s="105"/>
      <c r="B955" s="106"/>
      <c r="C955" s="106"/>
      <c r="D955" s="107"/>
      <c r="E955" s="106"/>
      <c r="F955" s="106"/>
      <c r="G955" s="106"/>
      <c r="H955" s="60"/>
      <c r="I955" s="60"/>
      <c r="J955" s="108"/>
      <c r="K955" s="60"/>
      <c r="L955" s="109"/>
      <c r="M955" s="109"/>
      <c r="N955" s="109"/>
      <c r="O955" s="109"/>
      <c r="P955" s="109"/>
      <c r="Q955" s="109"/>
      <c r="S955" s="111"/>
      <c r="T955" s="60"/>
      <c r="U955" s="112"/>
    </row>
    <row r="956" spans="1:21" s="110" customFormat="1" ht="15.75" customHeight="1">
      <c r="A956" s="105"/>
      <c r="B956" s="106"/>
      <c r="C956" s="106"/>
      <c r="D956" s="107"/>
      <c r="E956" s="106"/>
      <c r="F956" s="106"/>
      <c r="G956" s="106"/>
      <c r="H956" s="60"/>
      <c r="I956" s="60"/>
      <c r="J956" s="108"/>
      <c r="K956" s="60"/>
      <c r="L956" s="109"/>
      <c r="M956" s="109"/>
      <c r="N956" s="109"/>
      <c r="O956" s="109"/>
      <c r="P956" s="109"/>
      <c r="Q956" s="109"/>
      <c r="S956" s="111"/>
      <c r="T956" s="60"/>
      <c r="U956" s="112"/>
    </row>
    <row r="957" spans="1:21" s="110" customFormat="1" ht="15.75" customHeight="1">
      <c r="A957" s="105"/>
      <c r="B957" s="106"/>
      <c r="C957" s="106"/>
      <c r="D957" s="107"/>
      <c r="E957" s="106"/>
      <c r="F957" s="106"/>
      <c r="G957" s="106"/>
      <c r="H957" s="60"/>
      <c r="I957" s="60"/>
      <c r="J957" s="108"/>
      <c r="K957" s="60"/>
      <c r="L957" s="109"/>
      <c r="M957" s="109"/>
      <c r="N957" s="109"/>
      <c r="O957" s="109"/>
      <c r="P957" s="109"/>
      <c r="Q957" s="109"/>
      <c r="S957" s="111"/>
      <c r="T957" s="60"/>
      <c r="U957" s="112"/>
    </row>
    <row r="958" spans="1:21" s="110" customFormat="1" ht="15.75" customHeight="1">
      <c r="A958" s="105"/>
      <c r="B958" s="106"/>
      <c r="C958" s="106"/>
      <c r="D958" s="107"/>
      <c r="E958" s="106"/>
      <c r="F958" s="106"/>
      <c r="G958" s="106"/>
      <c r="H958" s="60"/>
      <c r="I958" s="60"/>
      <c r="J958" s="108"/>
      <c r="K958" s="60"/>
      <c r="L958" s="109"/>
      <c r="M958" s="109"/>
      <c r="N958" s="109"/>
      <c r="O958" s="109"/>
      <c r="P958" s="109"/>
      <c r="Q958" s="109"/>
      <c r="S958" s="111"/>
      <c r="T958" s="60"/>
      <c r="U958" s="112"/>
    </row>
    <row r="959" spans="1:21" s="110" customFormat="1" ht="15.75" customHeight="1">
      <c r="A959" s="105"/>
      <c r="B959" s="106"/>
      <c r="C959" s="106"/>
      <c r="D959" s="107"/>
      <c r="E959" s="106"/>
      <c r="F959" s="106"/>
      <c r="G959" s="106"/>
      <c r="H959" s="60"/>
      <c r="I959" s="60"/>
      <c r="J959" s="108"/>
      <c r="K959" s="60"/>
      <c r="L959" s="109"/>
      <c r="M959" s="109"/>
      <c r="N959" s="109"/>
      <c r="O959" s="109"/>
      <c r="P959" s="109"/>
      <c r="Q959" s="109"/>
      <c r="S959" s="111"/>
      <c r="T959" s="60"/>
      <c r="U959" s="112"/>
    </row>
    <row r="960" spans="1:21" s="110" customFormat="1" ht="15.75" customHeight="1">
      <c r="A960" s="105"/>
      <c r="B960" s="106"/>
      <c r="C960" s="106"/>
      <c r="D960" s="107"/>
      <c r="E960" s="106"/>
      <c r="F960" s="106"/>
      <c r="G960" s="106"/>
      <c r="H960" s="60"/>
      <c r="I960" s="60"/>
      <c r="J960" s="108"/>
      <c r="K960" s="60"/>
      <c r="L960" s="109"/>
      <c r="M960" s="109"/>
      <c r="N960" s="109"/>
      <c r="O960" s="109"/>
      <c r="P960" s="109"/>
      <c r="Q960" s="109"/>
      <c r="S960" s="111"/>
      <c r="T960" s="60"/>
      <c r="U960" s="112"/>
    </row>
    <row r="961" spans="1:21" s="110" customFormat="1" ht="15.75" customHeight="1">
      <c r="A961" s="105"/>
      <c r="B961" s="106"/>
      <c r="C961" s="106"/>
      <c r="D961" s="107"/>
      <c r="E961" s="106"/>
      <c r="F961" s="106"/>
      <c r="G961" s="106"/>
      <c r="H961" s="60"/>
      <c r="I961" s="60"/>
      <c r="J961" s="108"/>
      <c r="K961" s="60"/>
      <c r="L961" s="109"/>
      <c r="M961" s="109"/>
      <c r="N961" s="109"/>
      <c r="O961" s="109"/>
      <c r="P961" s="109"/>
      <c r="Q961" s="109"/>
      <c r="S961" s="111"/>
      <c r="T961" s="60"/>
      <c r="U961" s="112"/>
    </row>
    <row r="962" spans="1:21" s="110" customFormat="1" ht="15.75" customHeight="1">
      <c r="A962" s="105"/>
      <c r="B962" s="106"/>
      <c r="C962" s="106"/>
      <c r="D962" s="107"/>
      <c r="E962" s="106"/>
      <c r="F962" s="106"/>
      <c r="G962" s="106"/>
      <c r="H962" s="60"/>
      <c r="I962" s="60"/>
      <c r="J962" s="108"/>
      <c r="K962" s="60"/>
      <c r="L962" s="109"/>
      <c r="M962" s="109"/>
      <c r="N962" s="109"/>
      <c r="O962" s="109"/>
      <c r="P962" s="109"/>
      <c r="Q962" s="109"/>
      <c r="S962" s="111"/>
      <c r="T962" s="60"/>
      <c r="U962" s="112"/>
    </row>
    <row r="963" spans="1:21" s="110" customFormat="1" ht="15.75" customHeight="1">
      <c r="A963" s="105"/>
      <c r="B963" s="106"/>
      <c r="C963" s="106"/>
      <c r="D963" s="107"/>
      <c r="E963" s="106"/>
      <c r="F963" s="106"/>
      <c r="G963" s="106"/>
      <c r="H963" s="60"/>
      <c r="I963" s="60"/>
      <c r="J963" s="108"/>
      <c r="K963" s="60"/>
      <c r="L963" s="109"/>
      <c r="M963" s="109"/>
      <c r="N963" s="109"/>
      <c r="O963" s="109"/>
      <c r="P963" s="109"/>
      <c r="Q963" s="109"/>
      <c r="S963" s="111"/>
      <c r="T963" s="60"/>
      <c r="U963" s="112"/>
    </row>
    <row r="964" spans="1:21" s="110" customFormat="1" ht="15.75" customHeight="1">
      <c r="A964" s="105"/>
      <c r="B964" s="106"/>
      <c r="C964" s="106"/>
      <c r="D964" s="107"/>
      <c r="E964" s="106"/>
      <c r="F964" s="106"/>
      <c r="G964" s="106"/>
      <c r="H964" s="60"/>
      <c r="I964" s="60"/>
      <c r="J964" s="108"/>
      <c r="K964" s="60"/>
      <c r="L964" s="109"/>
      <c r="M964" s="109"/>
      <c r="N964" s="109"/>
      <c r="O964" s="109"/>
      <c r="P964" s="109"/>
      <c r="Q964" s="109"/>
      <c r="S964" s="111"/>
      <c r="T964" s="60"/>
      <c r="U964" s="112"/>
    </row>
    <row r="965" spans="1:21" s="110" customFormat="1" ht="15.75" customHeight="1">
      <c r="A965" s="105"/>
      <c r="B965" s="106"/>
      <c r="C965" s="106"/>
      <c r="D965" s="107"/>
      <c r="E965" s="106"/>
      <c r="F965" s="106"/>
      <c r="G965" s="106"/>
      <c r="H965" s="60"/>
      <c r="I965" s="60"/>
      <c r="J965" s="108"/>
      <c r="K965" s="60"/>
      <c r="L965" s="109"/>
      <c r="M965" s="109"/>
      <c r="N965" s="109"/>
      <c r="O965" s="109"/>
      <c r="P965" s="109"/>
      <c r="Q965" s="109"/>
      <c r="S965" s="111"/>
      <c r="T965" s="60"/>
      <c r="U965" s="112"/>
    </row>
    <row r="966" spans="1:21" s="110" customFormat="1" ht="15.75" customHeight="1">
      <c r="A966" s="105"/>
      <c r="B966" s="106"/>
      <c r="C966" s="106"/>
      <c r="D966" s="107"/>
      <c r="E966" s="106"/>
      <c r="F966" s="106"/>
      <c r="G966" s="106"/>
      <c r="H966" s="60"/>
      <c r="I966" s="60"/>
      <c r="J966" s="108"/>
      <c r="K966" s="60"/>
      <c r="L966" s="109"/>
      <c r="M966" s="109"/>
      <c r="N966" s="109"/>
      <c r="O966" s="109"/>
      <c r="P966" s="109"/>
      <c r="Q966" s="109"/>
      <c r="S966" s="111"/>
      <c r="T966" s="60"/>
      <c r="U966" s="112"/>
    </row>
    <row r="967" spans="1:21" s="110" customFormat="1" ht="15.75" customHeight="1">
      <c r="A967" s="105"/>
      <c r="B967" s="106"/>
      <c r="C967" s="106"/>
      <c r="D967" s="107"/>
      <c r="E967" s="106"/>
      <c r="F967" s="106"/>
      <c r="G967" s="106"/>
      <c r="H967" s="60"/>
      <c r="I967" s="60"/>
      <c r="J967" s="108"/>
      <c r="K967" s="60"/>
      <c r="L967" s="109"/>
      <c r="M967" s="109"/>
      <c r="N967" s="109"/>
      <c r="O967" s="109"/>
      <c r="P967" s="109"/>
      <c r="Q967" s="109"/>
      <c r="S967" s="111"/>
      <c r="T967" s="60"/>
      <c r="U967" s="112"/>
    </row>
    <row r="968" spans="1:21" s="110" customFormat="1" ht="15.75" customHeight="1">
      <c r="A968" s="105"/>
      <c r="B968" s="106"/>
      <c r="C968" s="106"/>
      <c r="D968" s="107"/>
      <c r="E968" s="106"/>
      <c r="F968" s="106"/>
      <c r="G968" s="106"/>
      <c r="H968" s="60"/>
      <c r="I968" s="60"/>
      <c r="J968" s="108"/>
      <c r="K968" s="60"/>
      <c r="L968" s="109"/>
      <c r="M968" s="109"/>
      <c r="N968" s="109"/>
      <c r="O968" s="109"/>
      <c r="P968" s="109"/>
      <c r="Q968" s="109"/>
      <c r="S968" s="111"/>
      <c r="T968" s="60"/>
      <c r="U968" s="112"/>
    </row>
    <row r="969" spans="1:21" s="110" customFormat="1" ht="15.75" customHeight="1">
      <c r="A969" s="105"/>
      <c r="B969" s="106"/>
      <c r="C969" s="106"/>
      <c r="D969" s="107"/>
      <c r="E969" s="106"/>
      <c r="F969" s="106"/>
      <c r="G969" s="106"/>
      <c r="H969" s="60"/>
      <c r="I969" s="60"/>
      <c r="J969" s="108"/>
      <c r="K969" s="60"/>
      <c r="L969" s="109"/>
      <c r="M969" s="109"/>
      <c r="N969" s="109"/>
      <c r="O969" s="109"/>
      <c r="P969" s="109"/>
      <c r="Q969" s="109"/>
      <c r="S969" s="111"/>
      <c r="T969" s="60"/>
      <c r="U969" s="112"/>
    </row>
    <row r="970" spans="1:21" s="110" customFormat="1" ht="15.75" customHeight="1">
      <c r="A970" s="60"/>
      <c r="B970" s="60"/>
      <c r="C970" s="60"/>
      <c r="D970" s="113"/>
      <c r="E970" s="60"/>
      <c r="F970" s="60"/>
      <c r="G970" s="60"/>
      <c r="H970" s="60"/>
      <c r="I970" s="60"/>
      <c r="J970" s="114"/>
      <c r="K970" s="60"/>
      <c r="L970" s="109"/>
      <c r="M970" s="109"/>
      <c r="N970" s="109"/>
      <c r="O970" s="109"/>
      <c r="P970" s="109"/>
      <c r="Q970" s="109"/>
      <c r="S970" s="111"/>
      <c r="T970" s="60"/>
      <c r="U970" s="112"/>
    </row>
    <row r="971" spans="1:21" s="110" customFormat="1" ht="15.75" customHeight="1">
      <c r="A971" s="60"/>
      <c r="B971" s="60"/>
      <c r="C971" s="60"/>
      <c r="D971" s="113"/>
      <c r="E971" s="60"/>
      <c r="F971" s="60"/>
      <c r="G971" s="60"/>
      <c r="H971" s="60"/>
      <c r="I971" s="60"/>
      <c r="J971" s="114"/>
      <c r="K971" s="60"/>
      <c r="L971" s="109"/>
      <c r="M971" s="109"/>
      <c r="N971" s="109"/>
      <c r="O971" s="109"/>
      <c r="P971" s="109"/>
      <c r="Q971" s="109"/>
      <c r="S971" s="111"/>
      <c r="T971" s="60"/>
      <c r="U971" s="112"/>
    </row>
    <row r="972" spans="1:21" s="110" customFormat="1" ht="15.75" customHeight="1">
      <c r="A972" s="60"/>
      <c r="B972" s="60"/>
      <c r="C972" s="60"/>
      <c r="D972" s="113"/>
      <c r="E972" s="60"/>
      <c r="F972" s="60"/>
      <c r="G972" s="60"/>
      <c r="H972" s="60"/>
      <c r="I972" s="60"/>
      <c r="J972" s="114"/>
      <c r="K972" s="60"/>
      <c r="L972" s="109"/>
      <c r="M972" s="109"/>
      <c r="N972" s="109"/>
      <c r="O972" s="109"/>
      <c r="P972" s="109"/>
      <c r="Q972" s="109"/>
      <c r="S972" s="111"/>
      <c r="T972" s="60"/>
      <c r="U972" s="112"/>
    </row>
    <row r="973" spans="1:21" s="110" customFormat="1" ht="15.75" customHeight="1">
      <c r="A973" s="60"/>
      <c r="B973" s="60"/>
      <c r="C973" s="60"/>
      <c r="D973" s="113"/>
      <c r="E973" s="60"/>
      <c r="F973" s="60"/>
      <c r="G973" s="60"/>
      <c r="H973" s="60"/>
      <c r="I973" s="60"/>
      <c r="J973" s="114"/>
      <c r="K973" s="60"/>
      <c r="L973" s="109"/>
      <c r="M973" s="109"/>
      <c r="N973" s="109"/>
      <c r="O973" s="109"/>
      <c r="P973" s="109"/>
      <c r="Q973" s="109"/>
      <c r="S973" s="111"/>
      <c r="T973" s="60"/>
      <c r="U973" s="112"/>
    </row>
    <row r="974" spans="1:21" s="110" customFormat="1" ht="15.75" customHeight="1">
      <c r="A974" s="60"/>
      <c r="B974" s="60"/>
      <c r="C974" s="60"/>
      <c r="D974" s="113"/>
      <c r="E974" s="60"/>
      <c r="F974" s="60"/>
      <c r="G974" s="60"/>
      <c r="H974" s="60"/>
      <c r="I974" s="60"/>
      <c r="J974" s="114"/>
      <c r="K974" s="60"/>
      <c r="L974" s="109"/>
      <c r="M974" s="109"/>
      <c r="N974" s="109"/>
      <c r="O974" s="109"/>
      <c r="P974" s="109"/>
      <c r="Q974" s="109"/>
      <c r="S974" s="111"/>
      <c r="T974" s="60"/>
      <c r="U974" s="112"/>
    </row>
    <row r="975" spans="1:21" s="110" customFormat="1" ht="15.75" customHeight="1">
      <c r="A975" s="60"/>
      <c r="B975" s="60"/>
      <c r="C975" s="60"/>
      <c r="D975" s="113"/>
      <c r="E975" s="60"/>
      <c r="F975" s="60"/>
      <c r="G975" s="60"/>
      <c r="H975" s="60"/>
      <c r="I975" s="60"/>
      <c r="J975" s="114"/>
      <c r="K975" s="60"/>
      <c r="L975" s="109"/>
      <c r="M975" s="109"/>
      <c r="N975" s="109"/>
      <c r="O975" s="109"/>
      <c r="P975" s="109"/>
      <c r="Q975" s="109"/>
      <c r="S975" s="111"/>
      <c r="T975" s="60"/>
      <c r="U975" s="112"/>
    </row>
    <row r="976" spans="1:21" s="110" customFormat="1" ht="15.75" customHeight="1">
      <c r="A976" s="60"/>
      <c r="B976" s="60"/>
      <c r="C976" s="60"/>
      <c r="D976" s="113"/>
      <c r="E976" s="60"/>
      <c r="F976" s="60"/>
      <c r="G976" s="60"/>
      <c r="H976" s="60"/>
      <c r="I976" s="60"/>
      <c r="J976" s="114"/>
      <c r="K976" s="60"/>
      <c r="L976" s="109"/>
      <c r="M976" s="109"/>
      <c r="N976" s="109"/>
      <c r="O976" s="109"/>
      <c r="P976" s="109"/>
      <c r="Q976" s="109"/>
      <c r="S976" s="111"/>
      <c r="T976" s="60"/>
      <c r="U976" s="112"/>
    </row>
    <row r="977" spans="4:21" s="110" customFormat="1" ht="15.75" customHeight="1">
      <c r="D977" s="113"/>
      <c r="E977" s="60"/>
      <c r="F977" s="60"/>
      <c r="G977" s="60"/>
      <c r="H977" s="60"/>
      <c r="I977" s="60"/>
      <c r="J977" s="114"/>
      <c r="K977" s="60"/>
      <c r="L977" s="109"/>
      <c r="M977" s="109"/>
      <c r="N977" s="109"/>
      <c r="O977" s="109"/>
      <c r="P977" s="109"/>
      <c r="Q977" s="109"/>
      <c r="S977" s="111"/>
      <c r="T977" s="60"/>
      <c r="U977" s="112"/>
    </row>
    <row r="978" spans="4:21" s="110" customFormat="1" ht="15.75" customHeight="1">
      <c r="D978" s="113"/>
      <c r="E978" s="60"/>
      <c r="F978" s="60"/>
      <c r="G978" s="60"/>
      <c r="H978" s="60"/>
      <c r="I978" s="60"/>
      <c r="J978" s="114"/>
      <c r="K978" s="60"/>
      <c r="L978" s="109"/>
      <c r="M978" s="109"/>
      <c r="N978" s="109"/>
      <c r="O978" s="109"/>
      <c r="P978" s="109"/>
      <c r="Q978" s="109"/>
      <c r="S978" s="111"/>
      <c r="T978" s="60"/>
      <c r="U978" s="112"/>
    </row>
    <row r="979" spans="4:21" s="110" customFormat="1" ht="15.75" customHeight="1">
      <c r="D979" s="113"/>
      <c r="E979" s="60"/>
      <c r="F979" s="60"/>
      <c r="G979" s="60"/>
      <c r="H979" s="60"/>
      <c r="I979" s="60"/>
      <c r="J979" s="114"/>
      <c r="K979" s="60"/>
      <c r="L979" s="109"/>
      <c r="M979" s="109"/>
      <c r="N979" s="109"/>
      <c r="O979" s="109"/>
      <c r="P979" s="109"/>
      <c r="Q979" s="109"/>
      <c r="S979" s="111"/>
      <c r="T979" s="60"/>
      <c r="U979" s="112"/>
    </row>
    <row r="980" spans="4:21" s="110" customFormat="1" ht="15.75" customHeight="1">
      <c r="D980" s="113"/>
      <c r="E980" s="60"/>
      <c r="F980" s="60"/>
      <c r="G980" s="60"/>
      <c r="H980" s="60"/>
      <c r="I980" s="60"/>
      <c r="J980" s="114"/>
      <c r="K980" s="60"/>
      <c r="L980" s="109"/>
      <c r="M980" s="109"/>
      <c r="N980" s="109"/>
      <c r="O980" s="109"/>
      <c r="P980" s="109"/>
      <c r="Q980" s="109"/>
      <c r="S980" s="111"/>
      <c r="T980" s="60"/>
      <c r="U980" s="112"/>
    </row>
    <row r="981" spans="4:21" s="110" customFormat="1" ht="15.75" customHeight="1">
      <c r="D981" s="113"/>
      <c r="E981" s="60"/>
      <c r="F981" s="60"/>
      <c r="G981" s="60"/>
      <c r="H981" s="60"/>
      <c r="I981" s="60"/>
      <c r="J981" s="114"/>
      <c r="K981" s="60"/>
      <c r="L981" s="109"/>
      <c r="M981" s="109"/>
      <c r="N981" s="109"/>
      <c r="O981" s="109"/>
      <c r="P981" s="109"/>
      <c r="Q981" s="109"/>
      <c r="S981" s="111"/>
      <c r="T981" s="60"/>
      <c r="U981" s="112"/>
    </row>
    <row r="982" spans="4:21" s="110" customFormat="1" ht="15.75" customHeight="1">
      <c r="D982" s="113"/>
      <c r="E982" s="60"/>
      <c r="F982" s="60"/>
      <c r="G982" s="60"/>
      <c r="H982" s="60"/>
      <c r="I982" s="60"/>
      <c r="J982" s="114"/>
      <c r="K982" s="60"/>
      <c r="L982" s="109"/>
      <c r="M982" s="109"/>
      <c r="N982" s="109"/>
      <c r="O982" s="109"/>
      <c r="P982" s="109"/>
      <c r="Q982" s="109"/>
      <c r="S982" s="111"/>
      <c r="T982" s="60"/>
      <c r="U982" s="112"/>
    </row>
    <row r="983" spans="4:21" s="110" customFormat="1" ht="15.75" customHeight="1">
      <c r="D983" s="113"/>
      <c r="E983" s="60"/>
      <c r="F983" s="60"/>
      <c r="G983" s="60"/>
      <c r="H983" s="60"/>
      <c r="I983" s="60"/>
      <c r="J983" s="114"/>
      <c r="K983" s="60"/>
      <c r="L983" s="109"/>
      <c r="M983" s="109"/>
      <c r="N983" s="109"/>
      <c r="O983" s="109"/>
      <c r="P983" s="109"/>
      <c r="Q983" s="109"/>
      <c r="S983" s="111"/>
      <c r="T983" s="60"/>
      <c r="U983" s="112"/>
    </row>
    <row r="984" spans="4:21" s="110" customFormat="1" ht="15.75" customHeight="1">
      <c r="D984" s="113"/>
      <c r="E984" s="60"/>
      <c r="F984" s="60"/>
      <c r="G984" s="60"/>
      <c r="H984" s="60"/>
      <c r="I984" s="60"/>
      <c r="J984" s="114"/>
      <c r="K984" s="60"/>
      <c r="L984" s="109"/>
      <c r="M984" s="109"/>
      <c r="N984" s="109"/>
      <c r="O984" s="109"/>
      <c r="P984" s="109"/>
      <c r="Q984" s="109"/>
      <c r="S984" s="111"/>
      <c r="T984" s="60"/>
      <c r="U984" s="112"/>
    </row>
    <row r="985" spans="4:21" s="110" customFormat="1" ht="15.75" customHeight="1">
      <c r="D985" s="113"/>
      <c r="E985" s="60"/>
      <c r="F985" s="60"/>
      <c r="G985" s="60"/>
      <c r="H985" s="60"/>
      <c r="I985" s="60"/>
      <c r="J985" s="114"/>
      <c r="K985" s="60"/>
      <c r="L985" s="109"/>
      <c r="M985" s="109"/>
      <c r="N985" s="109"/>
      <c r="O985" s="109"/>
      <c r="P985" s="109"/>
      <c r="Q985" s="109"/>
      <c r="S985" s="111"/>
      <c r="T985" s="60"/>
      <c r="U985" s="112"/>
    </row>
    <row r="986" spans="4:21" s="110" customFormat="1" ht="15.75" customHeight="1">
      <c r="D986" s="113"/>
      <c r="E986" s="60"/>
      <c r="F986" s="60"/>
      <c r="G986" s="60"/>
      <c r="H986" s="60"/>
      <c r="I986" s="60"/>
      <c r="J986" s="114"/>
      <c r="K986" s="60"/>
      <c r="L986" s="109"/>
      <c r="M986" s="109"/>
      <c r="N986" s="109"/>
      <c r="O986" s="109"/>
      <c r="P986" s="109"/>
      <c r="Q986" s="109"/>
      <c r="S986" s="111"/>
      <c r="T986" s="60"/>
      <c r="U986" s="112"/>
    </row>
    <row r="987" spans="4:21" s="110" customFormat="1" ht="15.75" customHeight="1">
      <c r="D987" s="113"/>
      <c r="E987" s="60"/>
      <c r="F987" s="60"/>
      <c r="G987" s="60"/>
      <c r="H987" s="60"/>
      <c r="I987" s="60"/>
      <c r="J987" s="114"/>
      <c r="K987" s="60"/>
      <c r="L987" s="109"/>
      <c r="M987" s="109"/>
      <c r="N987" s="109"/>
      <c r="O987" s="109"/>
      <c r="P987" s="109"/>
      <c r="Q987" s="109"/>
      <c r="S987" s="111"/>
      <c r="T987" s="60"/>
      <c r="U987" s="112"/>
    </row>
    <row r="988" spans="4:21" s="110" customFormat="1" ht="15.75" customHeight="1">
      <c r="D988" s="113"/>
      <c r="E988" s="60"/>
      <c r="F988" s="60"/>
      <c r="G988" s="60"/>
      <c r="H988" s="60"/>
      <c r="I988" s="60"/>
      <c r="J988" s="114"/>
      <c r="K988" s="60"/>
      <c r="L988" s="109"/>
      <c r="M988" s="109"/>
      <c r="N988" s="109"/>
      <c r="O988" s="109"/>
      <c r="P988" s="109"/>
      <c r="Q988" s="109"/>
      <c r="S988" s="111"/>
      <c r="T988" s="60"/>
      <c r="U988" s="112"/>
    </row>
    <row r="989" spans="4:21" s="110" customFormat="1" ht="15.75" customHeight="1">
      <c r="D989" s="113"/>
      <c r="E989" s="60"/>
      <c r="F989" s="60"/>
      <c r="G989" s="60"/>
      <c r="H989" s="60"/>
      <c r="I989" s="60"/>
      <c r="J989" s="114"/>
      <c r="K989" s="60"/>
      <c r="L989" s="109"/>
      <c r="M989" s="109"/>
      <c r="N989" s="109"/>
      <c r="O989" s="109"/>
      <c r="P989" s="109"/>
      <c r="Q989" s="109"/>
      <c r="S989" s="111"/>
      <c r="T989" s="60"/>
      <c r="U989" s="112"/>
    </row>
    <row r="990" spans="4:21" s="110" customFormat="1" ht="15.75" customHeight="1">
      <c r="D990" s="113"/>
      <c r="E990" s="60"/>
      <c r="F990" s="60"/>
      <c r="G990" s="60"/>
      <c r="H990" s="60"/>
      <c r="I990" s="60"/>
      <c r="J990" s="114"/>
      <c r="K990" s="60"/>
      <c r="L990" s="109"/>
      <c r="M990" s="109"/>
      <c r="N990" s="109"/>
      <c r="O990" s="109"/>
      <c r="P990" s="109"/>
      <c r="Q990" s="109"/>
      <c r="S990" s="111"/>
      <c r="T990" s="60"/>
      <c r="U990" s="112"/>
    </row>
    <row r="991" spans="4:21" s="110" customFormat="1" ht="15.75" customHeight="1">
      <c r="D991" s="113"/>
      <c r="E991" s="60"/>
      <c r="F991" s="60"/>
      <c r="G991" s="60"/>
      <c r="H991" s="60"/>
      <c r="I991" s="60"/>
      <c r="J991" s="114"/>
      <c r="K991" s="60"/>
      <c r="L991" s="109"/>
      <c r="M991" s="109"/>
      <c r="N991" s="109"/>
      <c r="O991" s="109"/>
      <c r="P991" s="109"/>
      <c r="Q991" s="109"/>
      <c r="S991" s="111"/>
      <c r="T991" s="60"/>
      <c r="U991" s="112"/>
    </row>
    <row r="992" spans="4:21" s="110" customFormat="1" ht="15.75" customHeight="1">
      <c r="D992" s="113"/>
      <c r="E992" s="60"/>
      <c r="F992" s="60"/>
      <c r="G992" s="60"/>
      <c r="H992" s="60"/>
      <c r="I992" s="60"/>
      <c r="J992" s="114"/>
      <c r="K992" s="60"/>
      <c r="L992" s="109"/>
      <c r="M992" s="109"/>
      <c r="N992" s="109"/>
      <c r="O992" s="109"/>
      <c r="P992" s="109"/>
      <c r="Q992" s="109"/>
      <c r="S992" s="111"/>
      <c r="T992" s="60"/>
      <c r="U992" s="112"/>
    </row>
    <row r="993" spans="4:21" s="110" customFormat="1" ht="15.75" customHeight="1">
      <c r="D993" s="113"/>
      <c r="E993" s="60"/>
      <c r="F993" s="60"/>
      <c r="G993" s="60"/>
      <c r="H993" s="60"/>
      <c r="I993" s="60"/>
      <c r="J993" s="114"/>
      <c r="K993" s="60"/>
      <c r="L993" s="109"/>
      <c r="M993" s="109"/>
      <c r="N993" s="109"/>
      <c r="O993" s="109"/>
      <c r="P993" s="109"/>
      <c r="Q993" s="109"/>
      <c r="S993" s="111"/>
      <c r="T993" s="60"/>
      <c r="U993" s="112"/>
    </row>
    <row r="994" spans="4:21" s="110" customFormat="1" ht="15.75" customHeight="1">
      <c r="D994" s="113"/>
      <c r="E994" s="60"/>
      <c r="F994" s="60"/>
      <c r="G994" s="60"/>
      <c r="H994" s="60"/>
      <c r="I994" s="60"/>
      <c r="J994" s="114"/>
      <c r="K994" s="60"/>
      <c r="L994" s="109"/>
      <c r="M994" s="109"/>
      <c r="N994" s="109"/>
      <c r="O994" s="109"/>
      <c r="P994" s="109"/>
      <c r="Q994" s="109"/>
      <c r="S994" s="111"/>
      <c r="T994" s="60"/>
      <c r="U994" s="112"/>
    </row>
    <row r="995" spans="4:21" s="110" customFormat="1" ht="15.75" customHeight="1">
      <c r="D995" s="113"/>
      <c r="E995" s="60"/>
      <c r="F995" s="60"/>
      <c r="G995" s="60"/>
      <c r="H995" s="60"/>
      <c r="I995" s="60"/>
      <c r="J995" s="114"/>
      <c r="K995" s="60"/>
      <c r="L995" s="109"/>
      <c r="M995" s="109"/>
      <c r="N995" s="109"/>
      <c r="O995" s="109"/>
      <c r="P995" s="109"/>
      <c r="Q995" s="109"/>
      <c r="S995" s="111"/>
      <c r="T995" s="60"/>
      <c r="U995" s="112"/>
    </row>
    <row r="996" spans="4:21" s="110" customFormat="1" ht="15.75" customHeight="1">
      <c r="D996" s="113"/>
      <c r="E996" s="60"/>
      <c r="F996" s="60"/>
      <c r="G996" s="60"/>
      <c r="H996" s="60"/>
      <c r="I996" s="60"/>
      <c r="J996" s="114"/>
      <c r="K996" s="60"/>
      <c r="L996" s="109"/>
      <c r="M996" s="109"/>
      <c r="N996" s="109"/>
      <c r="O996" s="109"/>
      <c r="P996" s="109"/>
      <c r="Q996" s="109"/>
      <c r="S996" s="111"/>
      <c r="T996" s="60"/>
      <c r="U996" s="112"/>
    </row>
    <row r="997" spans="4:21" s="110" customFormat="1" ht="15.75" customHeight="1">
      <c r="D997" s="113"/>
      <c r="E997" s="60"/>
      <c r="F997" s="60"/>
      <c r="G997" s="60"/>
      <c r="H997" s="60"/>
      <c r="I997" s="60"/>
      <c r="J997" s="114"/>
      <c r="K997" s="60"/>
      <c r="L997" s="109"/>
      <c r="M997" s="109"/>
      <c r="N997" s="109"/>
      <c r="O997" s="109"/>
      <c r="P997" s="109"/>
      <c r="Q997" s="109"/>
      <c r="S997" s="111"/>
      <c r="T997" s="60"/>
      <c r="U997" s="112"/>
    </row>
    <row r="998" spans="4:21" s="110" customFormat="1" ht="15.75" customHeight="1">
      <c r="D998" s="113"/>
      <c r="E998" s="60"/>
      <c r="F998" s="60"/>
      <c r="G998" s="60"/>
      <c r="H998" s="60"/>
      <c r="I998" s="60"/>
      <c r="J998" s="114"/>
      <c r="K998" s="60"/>
      <c r="L998" s="109"/>
      <c r="M998" s="109"/>
      <c r="N998" s="109"/>
      <c r="O998" s="109"/>
      <c r="P998" s="109"/>
      <c r="Q998" s="109"/>
      <c r="S998" s="111"/>
      <c r="T998" s="60"/>
      <c r="U998" s="112"/>
    </row>
    <row r="999" spans="4:21" s="110" customFormat="1" ht="15.75" customHeight="1">
      <c r="D999" s="113"/>
      <c r="E999" s="60"/>
      <c r="F999" s="60"/>
      <c r="G999" s="60"/>
      <c r="H999" s="60"/>
      <c r="I999" s="60"/>
      <c r="J999" s="114"/>
      <c r="K999" s="60"/>
      <c r="L999" s="109"/>
      <c r="M999" s="109"/>
      <c r="N999" s="109"/>
      <c r="O999" s="109"/>
      <c r="P999" s="109"/>
      <c r="Q999" s="109"/>
      <c r="S999" s="111"/>
      <c r="T999" s="60"/>
      <c r="U999" s="112"/>
    </row>
    <row r="1000" spans="4:21" s="110" customFormat="1" ht="15.75" customHeight="1">
      <c r="D1000" s="113"/>
      <c r="E1000" s="60"/>
      <c r="F1000" s="60"/>
      <c r="G1000" s="60"/>
      <c r="H1000" s="60"/>
      <c r="I1000" s="60"/>
      <c r="J1000" s="114"/>
      <c r="K1000" s="60"/>
      <c r="L1000" s="109"/>
      <c r="M1000" s="109"/>
      <c r="N1000" s="109"/>
      <c r="O1000" s="109"/>
      <c r="P1000" s="109"/>
      <c r="Q1000" s="109"/>
      <c r="S1000" s="111"/>
      <c r="T1000" s="60"/>
      <c r="U1000" s="112"/>
    </row>
    <row r="1001" spans="4:21" s="110" customFormat="1" ht="15.75" customHeight="1">
      <c r="D1001" s="113"/>
      <c r="E1001" s="60"/>
      <c r="F1001" s="60"/>
      <c r="G1001" s="60"/>
      <c r="H1001" s="60"/>
      <c r="I1001" s="60"/>
      <c r="J1001" s="114"/>
      <c r="K1001" s="60"/>
      <c r="L1001" s="109"/>
      <c r="M1001" s="109"/>
      <c r="N1001" s="109"/>
      <c r="O1001" s="109"/>
      <c r="P1001" s="109"/>
      <c r="Q1001" s="109"/>
      <c r="S1001" s="111"/>
      <c r="T1001" s="60"/>
      <c r="U1001" s="112"/>
    </row>
    <row r="1002" spans="4:21" s="110" customFormat="1" ht="15.75" customHeight="1">
      <c r="D1002" s="113"/>
      <c r="E1002" s="60"/>
      <c r="F1002" s="60"/>
      <c r="G1002" s="60"/>
      <c r="H1002" s="60"/>
      <c r="I1002" s="60"/>
      <c r="J1002" s="114"/>
      <c r="K1002" s="60"/>
      <c r="L1002" s="109"/>
      <c r="M1002" s="109"/>
      <c r="N1002" s="109"/>
      <c r="O1002" s="109"/>
      <c r="P1002" s="109"/>
      <c r="Q1002" s="109"/>
      <c r="S1002" s="111"/>
      <c r="T1002" s="60"/>
      <c r="U1002" s="112"/>
    </row>
    <row r="1003" spans="4:21" s="110" customFormat="1" ht="15.75" customHeight="1">
      <c r="D1003" s="113"/>
      <c r="E1003" s="60"/>
      <c r="F1003" s="60"/>
      <c r="G1003" s="60"/>
      <c r="H1003" s="60"/>
      <c r="I1003" s="60"/>
      <c r="J1003" s="114"/>
      <c r="K1003" s="60"/>
      <c r="L1003" s="109"/>
      <c r="M1003" s="109"/>
      <c r="N1003" s="109"/>
      <c r="O1003" s="109"/>
      <c r="P1003" s="109"/>
      <c r="Q1003" s="109"/>
      <c r="S1003" s="111"/>
      <c r="T1003" s="60"/>
      <c r="U1003" s="112"/>
    </row>
    <row r="1004" spans="4:21" s="110" customFormat="1" ht="15.75" customHeight="1">
      <c r="D1004" s="113"/>
      <c r="E1004" s="60"/>
      <c r="F1004" s="60"/>
      <c r="G1004" s="60"/>
      <c r="H1004" s="60"/>
      <c r="I1004" s="60"/>
      <c r="J1004" s="114"/>
      <c r="K1004" s="60"/>
      <c r="L1004" s="109"/>
      <c r="M1004" s="109"/>
      <c r="N1004" s="109"/>
      <c r="O1004" s="109"/>
      <c r="P1004" s="109"/>
      <c r="Q1004" s="109"/>
      <c r="S1004" s="111"/>
      <c r="T1004" s="60"/>
      <c r="U1004" s="112"/>
    </row>
    <row r="1005" spans="4:21" s="110" customFormat="1" ht="15.75" customHeight="1">
      <c r="D1005" s="113"/>
      <c r="E1005" s="60"/>
      <c r="F1005" s="60"/>
      <c r="G1005" s="60"/>
      <c r="H1005" s="60"/>
      <c r="I1005" s="60"/>
      <c r="J1005" s="114"/>
      <c r="K1005" s="60"/>
      <c r="L1005" s="109"/>
      <c r="M1005" s="109"/>
      <c r="N1005" s="109"/>
      <c r="O1005" s="109"/>
      <c r="P1005" s="109"/>
      <c r="Q1005" s="109"/>
      <c r="S1005" s="111"/>
      <c r="T1005" s="60"/>
      <c r="U1005" s="112"/>
    </row>
    <row r="1006" spans="4:21" s="110" customFormat="1" ht="15.75" customHeight="1">
      <c r="D1006" s="113"/>
      <c r="E1006" s="60"/>
      <c r="F1006" s="60"/>
      <c r="G1006" s="60"/>
      <c r="H1006" s="60"/>
      <c r="I1006" s="60"/>
      <c r="J1006" s="114"/>
      <c r="K1006" s="60"/>
      <c r="L1006" s="109"/>
      <c r="M1006" s="109"/>
      <c r="N1006" s="109"/>
      <c r="O1006" s="109"/>
      <c r="P1006" s="109"/>
      <c r="Q1006" s="109"/>
      <c r="S1006" s="111"/>
      <c r="T1006" s="60"/>
      <c r="U1006" s="112"/>
    </row>
    <row r="1007" spans="4:21" s="110" customFormat="1" ht="15.75" customHeight="1">
      <c r="D1007" s="113"/>
      <c r="E1007" s="60"/>
      <c r="F1007" s="60"/>
      <c r="G1007" s="60"/>
      <c r="H1007" s="60"/>
      <c r="I1007" s="60"/>
      <c r="J1007" s="114"/>
      <c r="K1007" s="60"/>
      <c r="L1007" s="109"/>
      <c r="M1007" s="109"/>
      <c r="N1007" s="109"/>
      <c r="O1007" s="109"/>
      <c r="P1007" s="109"/>
      <c r="Q1007" s="109"/>
      <c r="S1007" s="111"/>
      <c r="T1007" s="60"/>
      <c r="U1007" s="112"/>
    </row>
    <row r="1008" spans="4:21" s="110" customFormat="1" ht="15.75" customHeight="1">
      <c r="D1008" s="113"/>
      <c r="E1008" s="60"/>
      <c r="F1008" s="60"/>
      <c r="G1008" s="60"/>
      <c r="H1008" s="60"/>
      <c r="I1008" s="60"/>
      <c r="J1008" s="114"/>
      <c r="K1008" s="60"/>
      <c r="L1008" s="109"/>
      <c r="M1008" s="109"/>
      <c r="N1008" s="109"/>
      <c r="O1008" s="109"/>
      <c r="P1008" s="109"/>
      <c r="Q1008" s="109"/>
      <c r="S1008" s="111"/>
      <c r="T1008" s="60"/>
      <c r="U1008" s="112"/>
    </row>
    <row r="1009" spans="4:21" s="110" customFormat="1" ht="15.75" customHeight="1">
      <c r="D1009" s="113"/>
      <c r="E1009" s="60"/>
      <c r="F1009" s="60"/>
      <c r="G1009" s="60"/>
      <c r="H1009" s="60"/>
      <c r="I1009" s="60"/>
      <c r="J1009" s="114"/>
      <c r="K1009" s="60"/>
      <c r="L1009" s="109"/>
      <c r="M1009" s="109"/>
      <c r="N1009" s="109"/>
      <c r="O1009" s="109"/>
      <c r="P1009" s="109"/>
      <c r="Q1009" s="109"/>
      <c r="S1009" s="111"/>
      <c r="T1009" s="60"/>
      <c r="U1009" s="112"/>
    </row>
    <row r="1010" spans="4:21" s="110" customFormat="1" ht="15.75" customHeight="1">
      <c r="D1010" s="113"/>
      <c r="E1010" s="60"/>
      <c r="F1010" s="60"/>
      <c r="G1010" s="60"/>
      <c r="H1010" s="60"/>
      <c r="I1010" s="60"/>
      <c r="J1010" s="114"/>
      <c r="K1010" s="60"/>
      <c r="L1010" s="109"/>
      <c r="M1010" s="109"/>
      <c r="N1010" s="109"/>
      <c r="O1010" s="109"/>
      <c r="P1010" s="109"/>
      <c r="Q1010" s="109"/>
      <c r="S1010" s="111"/>
      <c r="T1010" s="60"/>
      <c r="U1010" s="112"/>
    </row>
    <row r="1011" spans="4:21" s="110" customFormat="1" ht="15.75" customHeight="1">
      <c r="D1011" s="113"/>
      <c r="E1011" s="60"/>
      <c r="F1011" s="60"/>
      <c r="G1011" s="60"/>
      <c r="H1011" s="60"/>
      <c r="I1011" s="60"/>
      <c r="J1011" s="114"/>
      <c r="K1011" s="60"/>
      <c r="L1011" s="109"/>
      <c r="M1011" s="109"/>
      <c r="N1011" s="109"/>
      <c r="O1011" s="109"/>
      <c r="P1011" s="109"/>
      <c r="Q1011" s="109"/>
      <c r="S1011" s="111"/>
      <c r="T1011" s="60"/>
      <c r="U1011" s="112"/>
    </row>
    <row r="1012" spans="4:21" s="110" customFormat="1" ht="15.75" customHeight="1">
      <c r="D1012" s="113"/>
      <c r="E1012" s="60"/>
      <c r="F1012" s="60"/>
      <c r="G1012" s="60"/>
      <c r="H1012" s="60"/>
      <c r="I1012" s="60"/>
      <c r="J1012" s="114"/>
      <c r="K1012" s="60"/>
      <c r="L1012" s="109"/>
      <c r="M1012" s="109"/>
      <c r="N1012" s="109"/>
      <c r="O1012" s="109"/>
      <c r="P1012" s="109"/>
      <c r="Q1012" s="109"/>
      <c r="S1012" s="111"/>
      <c r="T1012" s="60"/>
      <c r="U1012" s="112"/>
    </row>
    <row r="1013" spans="4:21" s="110" customFormat="1" ht="15.75" customHeight="1">
      <c r="D1013" s="113"/>
      <c r="E1013" s="60"/>
      <c r="F1013" s="60"/>
      <c r="G1013" s="60"/>
      <c r="H1013" s="60"/>
      <c r="I1013" s="60"/>
      <c r="J1013" s="114"/>
      <c r="K1013" s="60"/>
      <c r="L1013" s="109"/>
      <c r="M1013" s="109"/>
      <c r="N1013" s="109"/>
      <c r="O1013" s="109"/>
      <c r="P1013" s="109"/>
      <c r="Q1013" s="109"/>
      <c r="S1013" s="111"/>
      <c r="T1013" s="60"/>
      <c r="U1013" s="112"/>
    </row>
    <row r="1014" spans="4:21" s="110" customFormat="1" ht="15.75" customHeight="1">
      <c r="D1014" s="113"/>
      <c r="E1014" s="60"/>
      <c r="F1014" s="60"/>
      <c r="G1014" s="60"/>
      <c r="H1014" s="60"/>
      <c r="I1014" s="60"/>
      <c r="J1014" s="114"/>
      <c r="K1014" s="60"/>
      <c r="L1014" s="109"/>
      <c r="M1014" s="109"/>
      <c r="N1014" s="109"/>
      <c r="O1014" s="109"/>
      <c r="P1014" s="109"/>
      <c r="Q1014" s="109"/>
      <c r="S1014" s="111"/>
      <c r="T1014" s="60"/>
      <c r="U1014" s="112"/>
    </row>
    <row r="1015" spans="4:21" s="110" customFormat="1" ht="15.75" customHeight="1">
      <c r="D1015" s="113"/>
      <c r="E1015" s="60"/>
      <c r="F1015" s="60"/>
      <c r="G1015" s="60"/>
      <c r="H1015" s="60"/>
      <c r="I1015" s="60"/>
      <c r="J1015" s="114"/>
      <c r="K1015" s="60"/>
      <c r="L1015" s="109"/>
      <c r="M1015" s="109"/>
      <c r="N1015" s="109"/>
      <c r="O1015" s="109"/>
      <c r="P1015" s="109"/>
      <c r="Q1015" s="109"/>
      <c r="S1015" s="111"/>
      <c r="T1015" s="60"/>
      <c r="U1015" s="112"/>
    </row>
    <row r="1016" spans="4:21" s="110" customFormat="1" ht="15.75" customHeight="1">
      <c r="D1016" s="113"/>
      <c r="E1016" s="60"/>
      <c r="F1016" s="60"/>
      <c r="G1016" s="60"/>
      <c r="H1016" s="60"/>
      <c r="I1016" s="60"/>
      <c r="J1016" s="114"/>
      <c r="K1016" s="60"/>
      <c r="L1016" s="109"/>
      <c r="M1016" s="109"/>
      <c r="N1016" s="109"/>
      <c r="O1016" s="109"/>
      <c r="P1016" s="109"/>
      <c r="Q1016" s="109"/>
      <c r="S1016" s="111"/>
      <c r="T1016" s="60"/>
      <c r="U1016" s="112"/>
    </row>
    <row r="1017" spans="4:21" s="110" customFormat="1" ht="15.75" customHeight="1">
      <c r="D1017" s="113"/>
      <c r="E1017" s="60"/>
      <c r="F1017" s="60"/>
      <c r="G1017" s="60"/>
      <c r="H1017" s="60"/>
      <c r="I1017" s="60"/>
      <c r="J1017" s="114"/>
      <c r="K1017" s="60"/>
      <c r="L1017" s="109"/>
      <c r="M1017" s="109"/>
      <c r="N1017" s="109"/>
      <c r="O1017" s="109"/>
      <c r="P1017" s="109"/>
      <c r="Q1017" s="109"/>
      <c r="S1017" s="111"/>
      <c r="T1017" s="60"/>
      <c r="U1017" s="112"/>
    </row>
    <row r="1018" spans="4:21" s="110" customFormat="1" ht="15.75" customHeight="1">
      <c r="D1018" s="113"/>
      <c r="E1018" s="60"/>
      <c r="F1018" s="60"/>
      <c r="G1018" s="60"/>
      <c r="H1018" s="60"/>
      <c r="I1018" s="60"/>
      <c r="J1018" s="114"/>
      <c r="K1018" s="60"/>
      <c r="L1018" s="109"/>
      <c r="M1018" s="109"/>
      <c r="N1018" s="109"/>
      <c r="O1018" s="109"/>
      <c r="P1018" s="109"/>
      <c r="Q1018" s="109"/>
      <c r="S1018" s="111"/>
      <c r="T1018" s="60"/>
      <c r="U1018" s="112"/>
    </row>
    <row r="1019" spans="4:21" s="110" customFormat="1" ht="15.75" customHeight="1">
      <c r="D1019" s="113"/>
      <c r="E1019" s="60"/>
      <c r="F1019" s="60"/>
      <c r="G1019" s="60"/>
      <c r="H1019" s="60"/>
      <c r="I1019" s="60"/>
      <c r="J1019" s="114"/>
      <c r="K1019" s="60"/>
      <c r="L1019" s="109"/>
      <c r="M1019" s="109"/>
      <c r="N1019" s="109"/>
      <c r="O1019" s="109"/>
      <c r="P1019" s="109"/>
      <c r="Q1019" s="109"/>
      <c r="S1019" s="111"/>
      <c r="T1019" s="60"/>
      <c r="U1019" s="112"/>
    </row>
    <row r="1020" spans="4:21" s="110" customFormat="1" ht="15.75" customHeight="1">
      <c r="D1020" s="113"/>
      <c r="E1020" s="60"/>
      <c r="F1020" s="60"/>
      <c r="G1020" s="60"/>
      <c r="H1020" s="60"/>
      <c r="I1020" s="60"/>
      <c r="J1020" s="114"/>
      <c r="K1020" s="60"/>
      <c r="L1020" s="109"/>
      <c r="M1020" s="109"/>
      <c r="N1020" s="109"/>
      <c r="O1020" s="109"/>
      <c r="P1020" s="109"/>
      <c r="Q1020" s="109"/>
      <c r="S1020" s="111"/>
      <c r="T1020" s="60"/>
      <c r="U1020" s="112"/>
    </row>
    <row r="1021" spans="4:21" s="110" customFormat="1" ht="15.75" customHeight="1">
      <c r="D1021" s="113"/>
      <c r="E1021" s="60"/>
      <c r="F1021" s="60"/>
      <c r="G1021" s="60"/>
      <c r="H1021" s="60"/>
      <c r="I1021" s="60"/>
      <c r="J1021" s="114"/>
      <c r="K1021" s="60"/>
      <c r="L1021" s="109"/>
      <c r="M1021" s="109"/>
      <c r="N1021" s="109"/>
      <c r="O1021" s="109"/>
      <c r="P1021" s="109"/>
      <c r="Q1021" s="109"/>
      <c r="S1021" s="111"/>
      <c r="T1021" s="60"/>
      <c r="U1021" s="112"/>
    </row>
    <row r="1022" spans="4:21" s="110" customFormat="1" ht="15.75" customHeight="1">
      <c r="D1022" s="113"/>
      <c r="E1022" s="60"/>
      <c r="F1022" s="60"/>
      <c r="G1022" s="60"/>
      <c r="H1022" s="60"/>
      <c r="I1022" s="60"/>
      <c r="J1022" s="114"/>
      <c r="K1022" s="60"/>
      <c r="L1022" s="109"/>
      <c r="M1022" s="109"/>
      <c r="N1022" s="109"/>
      <c r="O1022" s="109"/>
      <c r="P1022" s="109"/>
      <c r="Q1022" s="109"/>
      <c r="S1022" s="111"/>
      <c r="T1022" s="60"/>
      <c r="U1022" s="112"/>
    </row>
    <row r="1023" spans="4:21" s="110" customFormat="1" ht="15.75" customHeight="1">
      <c r="D1023" s="113"/>
      <c r="E1023" s="60"/>
      <c r="F1023" s="60"/>
      <c r="G1023" s="60"/>
      <c r="H1023" s="60"/>
      <c r="I1023" s="60"/>
      <c r="J1023" s="114"/>
      <c r="K1023" s="60"/>
      <c r="L1023" s="109"/>
      <c r="M1023" s="109"/>
      <c r="N1023" s="109"/>
      <c r="O1023" s="109"/>
      <c r="P1023" s="109"/>
      <c r="Q1023" s="109"/>
      <c r="S1023" s="111"/>
      <c r="T1023" s="60"/>
      <c r="U1023" s="112"/>
    </row>
    <row r="1024" spans="4:21" s="110" customFormat="1" ht="15.75" customHeight="1">
      <c r="D1024" s="113"/>
      <c r="E1024" s="60"/>
      <c r="F1024" s="60"/>
      <c r="G1024" s="60"/>
      <c r="H1024" s="60"/>
      <c r="I1024" s="60"/>
      <c r="J1024" s="114"/>
      <c r="K1024" s="60"/>
      <c r="L1024" s="109"/>
      <c r="M1024" s="109"/>
      <c r="N1024" s="109"/>
      <c r="O1024" s="109"/>
      <c r="P1024" s="109"/>
      <c r="Q1024" s="109"/>
      <c r="S1024" s="111"/>
      <c r="T1024" s="60"/>
      <c r="U1024" s="112"/>
    </row>
    <row r="1025" spans="4:21" s="110" customFormat="1" ht="15.75" customHeight="1">
      <c r="D1025" s="113"/>
      <c r="E1025" s="60"/>
      <c r="F1025" s="60"/>
      <c r="G1025" s="60"/>
      <c r="H1025" s="60"/>
      <c r="I1025" s="60"/>
      <c r="J1025" s="114"/>
      <c r="K1025" s="60"/>
      <c r="L1025" s="109"/>
      <c r="M1025" s="109"/>
      <c r="N1025" s="109"/>
      <c r="O1025" s="109"/>
      <c r="P1025" s="109"/>
      <c r="Q1025" s="109"/>
      <c r="S1025" s="111"/>
      <c r="T1025" s="60"/>
      <c r="U1025" s="112"/>
    </row>
    <row r="1026" spans="4:21" s="110" customFormat="1" ht="15.75" customHeight="1">
      <c r="D1026" s="113"/>
      <c r="E1026" s="60"/>
      <c r="F1026" s="60"/>
      <c r="G1026" s="60"/>
      <c r="H1026" s="60"/>
      <c r="I1026" s="60"/>
      <c r="J1026" s="114"/>
      <c r="K1026" s="60"/>
      <c r="L1026" s="109"/>
      <c r="M1026" s="109"/>
      <c r="N1026" s="109"/>
      <c r="O1026" s="109"/>
      <c r="P1026" s="109"/>
      <c r="Q1026" s="109"/>
      <c r="S1026" s="111"/>
      <c r="T1026" s="60"/>
      <c r="U1026" s="112"/>
    </row>
    <row r="1027" spans="4:21" s="110" customFormat="1" ht="15.75" customHeight="1">
      <c r="D1027" s="113"/>
      <c r="E1027" s="60"/>
      <c r="F1027" s="60"/>
      <c r="G1027" s="60"/>
      <c r="H1027" s="60"/>
      <c r="I1027" s="60"/>
      <c r="J1027" s="114"/>
      <c r="K1027" s="60"/>
      <c r="L1027" s="109"/>
      <c r="M1027" s="109"/>
      <c r="N1027" s="109"/>
      <c r="O1027" s="109"/>
      <c r="P1027" s="109"/>
      <c r="Q1027" s="109"/>
      <c r="S1027" s="111"/>
      <c r="T1027" s="60"/>
      <c r="U1027" s="112"/>
    </row>
    <row r="1028" spans="4:21" s="110" customFormat="1" ht="15.75" customHeight="1">
      <c r="D1028" s="113"/>
      <c r="E1028" s="60"/>
      <c r="F1028" s="60"/>
      <c r="G1028" s="60"/>
      <c r="H1028" s="60"/>
      <c r="I1028" s="60"/>
      <c r="J1028" s="114"/>
      <c r="K1028" s="60"/>
      <c r="L1028" s="109"/>
      <c r="M1028" s="109"/>
      <c r="N1028" s="109"/>
      <c r="O1028" s="109"/>
      <c r="P1028" s="109"/>
      <c r="Q1028" s="109"/>
      <c r="S1028" s="111"/>
      <c r="T1028" s="60"/>
      <c r="U1028" s="112"/>
    </row>
    <row r="1029" spans="4:21" s="110" customFormat="1" ht="15.75" customHeight="1">
      <c r="D1029" s="113"/>
      <c r="E1029" s="60"/>
      <c r="F1029" s="60"/>
      <c r="G1029" s="60"/>
      <c r="H1029" s="60"/>
      <c r="I1029" s="60"/>
      <c r="J1029" s="114"/>
      <c r="K1029" s="60"/>
      <c r="L1029" s="109"/>
      <c r="M1029" s="109"/>
      <c r="N1029" s="109"/>
      <c r="O1029" s="109"/>
      <c r="P1029" s="109"/>
      <c r="Q1029" s="109"/>
      <c r="S1029" s="111"/>
      <c r="T1029" s="60"/>
      <c r="U1029" s="112"/>
    </row>
    <row r="1030" spans="4:21" s="110" customFormat="1" ht="15.75" customHeight="1">
      <c r="D1030" s="113"/>
      <c r="E1030" s="60"/>
      <c r="F1030" s="60"/>
      <c r="G1030" s="60"/>
      <c r="H1030" s="60"/>
      <c r="I1030" s="60"/>
      <c r="J1030" s="114"/>
      <c r="K1030" s="60"/>
      <c r="L1030" s="109"/>
      <c r="M1030" s="109"/>
      <c r="N1030" s="109"/>
      <c r="O1030" s="109"/>
      <c r="P1030" s="109"/>
      <c r="Q1030" s="109"/>
      <c r="S1030" s="111"/>
      <c r="T1030" s="60"/>
      <c r="U1030" s="112"/>
    </row>
    <row r="1031" spans="4:21" s="110" customFormat="1" ht="15.75" customHeight="1">
      <c r="D1031" s="113"/>
      <c r="E1031" s="60"/>
      <c r="F1031" s="60"/>
      <c r="G1031" s="60"/>
      <c r="H1031" s="60"/>
      <c r="I1031" s="60"/>
      <c r="J1031" s="114"/>
      <c r="K1031" s="60"/>
      <c r="L1031" s="109"/>
      <c r="M1031" s="109"/>
      <c r="N1031" s="109"/>
      <c r="O1031" s="109"/>
      <c r="P1031" s="109"/>
      <c r="Q1031" s="109"/>
      <c r="S1031" s="111"/>
      <c r="T1031" s="60"/>
      <c r="U1031" s="112"/>
    </row>
    <row r="1032" spans="4:21" s="110" customFormat="1" ht="15.75" customHeight="1">
      <c r="D1032" s="113"/>
      <c r="E1032" s="60"/>
      <c r="F1032" s="60"/>
      <c r="G1032" s="60"/>
      <c r="H1032" s="60"/>
      <c r="I1032" s="60"/>
      <c r="J1032" s="114"/>
      <c r="K1032" s="60"/>
      <c r="L1032" s="109"/>
      <c r="M1032" s="109"/>
      <c r="N1032" s="109"/>
      <c r="O1032" s="109"/>
      <c r="P1032" s="109"/>
      <c r="Q1032" s="109"/>
      <c r="S1032" s="111"/>
      <c r="T1032" s="60"/>
      <c r="U1032" s="112"/>
    </row>
    <row r="1033" spans="4:21" s="110" customFormat="1" ht="15.75" customHeight="1">
      <c r="D1033" s="113"/>
      <c r="E1033" s="60"/>
      <c r="F1033" s="60"/>
      <c r="G1033" s="60"/>
      <c r="H1033" s="60"/>
      <c r="I1033" s="60"/>
      <c r="J1033" s="114"/>
      <c r="K1033" s="60"/>
      <c r="L1033" s="109"/>
      <c r="M1033" s="109"/>
      <c r="N1033" s="109"/>
      <c r="O1033" s="109"/>
      <c r="P1033" s="109"/>
      <c r="Q1033" s="109"/>
      <c r="S1033" s="111"/>
      <c r="T1033" s="60"/>
      <c r="U1033" s="112"/>
    </row>
    <row r="1034" spans="4:21" s="110" customFormat="1" ht="15.75" customHeight="1">
      <c r="D1034" s="113"/>
      <c r="E1034" s="60"/>
      <c r="F1034" s="60"/>
      <c r="G1034" s="60"/>
      <c r="H1034" s="60"/>
      <c r="I1034" s="60"/>
      <c r="J1034" s="114"/>
      <c r="K1034" s="60"/>
      <c r="L1034" s="109"/>
      <c r="M1034" s="109"/>
      <c r="N1034" s="109"/>
      <c r="O1034" s="109"/>
      <c r="P1034" s="109"/>
      <c r="Q1034" s="109"/>
      <c r="S1034" s="111"/>
      <c r="T1034" s="60"/>
      <c r="U1034" s="112"/>
    </row>
    <row r="1035" spans="4:21" s="110" customFormat="1" ht="15.75" customHeight="1">
      <c r="D1035" s="113"/>
      <c r="E1035" s="60"/>
      <c r="F1035" s="60"/>
      <c r="G1035" s="60"/>
      <c r="H1035" s="60"/>
      <c r="I1035" s="60"/>
      <c r="J1035" s="114"/>
      <c r="K1035" s="60"/>
      <c r="L1035" s="109"/>
      <c r="M1035" s="109"/>
      <c r="N1035" s="109"/>
      <c r="O1035" s="109"/>
      <c r="P1035" s="109"/>
      <c r="Q1035" s="109"/>
      <c r="S1035" s="111"/>
      <c r="T1035" s="60"/>
      <c r="U1035" s="112"/>
    </row>
    <row r="1036" spans="4:21" s="110" customFormat="1" ht="15.75" customHeight="1">
      <c r="D1036" s="113"/>
      <c r="E1036" s="60"/>
      <c r="F1036" s="60"/>
      <c r="G1036" s="60"/>
      <c r="H1036" s="60"/>
      <c r="I1036" s="60"/>
      <c r="J1036" s="114"/>
      <c r="K1036" s="60"/>
      <c r="L1036" s="109"/>
      <c r="M1036" s="109"/>
      <c r="N1036" s="109"/>
      <c r="O1036" s="109"/>
      <c r="P1036" s="109"/>
      <c r="Q1036" s="109"/>
      <c r="S1036" s="111"/>
      <c r="T1036" s="60"/>
      <c r="U1036" s="112"/>
    </row>
    <row r="1037" spans="4:21" s="110" customFormat="1" ht="15.75" customHeight="1">
      <c r="D1037" s="113"/>
      <c r="E1037" s="60"/>
      <c r="F1037" s="60"/>
      <c r="G1037" s="60"/>
      <c r="H1037" s="60"/>
      <c r="I1037" s="60"/>
      <c r="J1037" s="114"/>
      <c r="K1037" s="60"/>
      <c r="L1037" s="109"/>
      <c r="M1037" s="109"/>
      <c r="N1037" s="109"/>
      <c r="O1037" s="109"/>
      <c r="P1037" s="109"/>
      <c r="Q1037" s="109"/>
      <c r="S1037" s="111"/>
      <c r="T1037" s="60"/>
      <c r="U1037" s="112"/>
    </row>
    <row r="1038" spans="4:21" s="110" customFormat="1" ht="15.75" customHeight="1">
      <c r="D1038" s="113"/>
      <c r="E1038" s="60"/>
      <c r="F1038" s="60"/>
      <c r="G1038" s="60"/>
      <c r="H1038" s="60"/>
      <c r="I1038" s="60"/>
      <c r="J1038" s="114"/>
      <c r="K1038" s="60"/>
      <c r="L1038" s="109"/>
      <c r="M1038" s="109"/>
      <c r="N1038" s="109"/>
      <c r="O1038" s="109"/>
      <c r="P1038" s="109"/>
      <c r="Q1038" s="109"/>
      <c r="S1038" s="111"/>
      <c r="T1038" s="60"/>
      <c r="U1038" s="112"/>
    </row>
    <row r="1039" spans="4:21" s="110" customFormat="1" ht="15.75" customHeight="1">
      <c r="D1039" s="113"/>
      <c r="E1039" s="60"/>
      <c r="F1039" s="60"/>
      <c r="G1039" s="60"/>
      <c r="H1039" s="60"/>
      <c r="I1039" s="60"/>
      <c r="J1039" s="114"/>
      <c r="K1039" s="60"/>
      <c r="L1039" s="109"/>
      <c r="M1039" s="109"/>
      <c r="N1039" s="109"/>
      <c r="O1039" s="109"/>
      <c r="P1039" s="109"/>
      <c r="Q1039" s="109"/>
      <c r="S1039" s="111"/>
      <c r="T1039" s="60"/>
      <c r="U1039" s="112"/>
    </row>
    <row r="1040" spans="4:21" s="110" customFormat="1" ht="15.75" customHeight="1">
      <c r="D1040" s="113"/>
      <c r="E1040" s="60"/>
      <c r="F1040" s="60"/>
      <c r="G1040" s="60"/>
      <c r="H1040" s="60"/>
      <c r="I1040" s="60"/>
      <c r="J1040" s="114"/>
      <c r="K1040" s="60"/>
      <c r="L1040" s="109"/>
      <c r="M1040" s="109"/>
      <c r="N1040" s="109"/>
      <c r="O1040" s="109"/>
      <c r="P1040" s="109"/>
      <c r="Q1040" s="109"/>
      <c r="S1040" s="111"/>
      <c r="T1040" s="60"/>
      <c r="U1040" s="112"/>
    </row>
    <row r="1041" spans="4:21" s="110" customFormat="1" ht="15.75" customHeight="1">
      <c r="D1041" s="113"/>
      <c r="E1041" s="60"/>
      <c r="F1041" s="60"/>
      <c r="G1041" s="60"/>
      <c r="H1041" s="60"/>
      <c r="I1041" s="60"/>
      <c r="J1041" s="114"/>
      <c r="K1041" s="60"/>
      <c r="L1041" s="109"/>
      <c r="M1041" s="109"/>
      <c r="N1041" s="109"/>
      <c r="O1041" s="109"/>
      <c r="P1041" s="109"/>
      <c r="Q1041" s="109"/>
      <c r="S1041" s="111"/>
      <c r="T1041" s="60"/>
      <c r="U1041" s="112"/>
    </row>
    <row r="1042" spans="4:21" s="110" customFormat="1" ht="15.75" customHeight="1">
      <c r="D1042" s="113"/>
      <c r="E1042" s="60"/>
      <c r="F1042" s="60"/>
      <c r="G1042" s="60"/>
      <c r="H1042" s="60"/>
      <c r="I1042" s="60"/>
      <c r="J1042" s="114"/>
      <c r="K1042" s="60"/>
      <c r="L1042" s="109"/>
      <c r="M1042" s="109"/>
      <c r="N1042" s="109"/>
      <c r="O1042" s="109"/>
      <c r="P1042" s="109"/>
      <c r="Q1042" s="109"/>
      <c r="S1042" s="111"/>
      <c r="T1042" s="60"/>
      <c r="U1042" s="112"/>
    </row>
    <row r="1043" spans="4:21" s="110" customFormat="1" ht="15.75" customHeight="1">
      <c r="D1043" s="113"/>
      <c r="E1043" s="60"/>
      <c r="F1043" s="60"/>
      <c r="G1043" s="60"/>
      <c r="H1043" s="60"/>
      <c r="I1043" s="60"/>
      <c r="J1043" s="114"/>
      <c r="K1043" s="60"/>
      <c r="L1043" s="109"/>
      <c r="M1043" s="109"/>
      <c r="N1043" s="109"/>
      <c r="O1043" s="109"/>
      <c r="P1043" s="109"/>
      <c r="Q1043" s="109"/>
      <c r="S1043" s="111"/>
      <c r="T1043" s="60"/>
      <c r="U1043" s="112"/>
    </row>
    <row r="1044" spans="4:21" s="110" customFormat="1" ht="15.75" customHeight="1">
      <c r="D1044" s="113"/>
      <c r="E1044" s="60"/>
      <c r="F1044" s="60"/>
      <c r="G1044" s="60"/>
      <c r="H1044" s="60"/>
      <c r="I1044" s="60"/>
      <c r="J1044" s="114"/>
      <c r="K1044" s="60"/>
      <c r="L1044" s="109"/>
      <c r="M1044" s="109"/>
      <c r="N1044" s="109"/>
      <c r="O1044" s="109"/>
      <c r="P1044" s="109"/>
      <c r="Q1044" s="109"/>
      <c r="S1044" s="111"/>
      <c r="T1044" s="60"/>
      <c r="U1044" s="112"/>
    </row>
    <row r="1045" spans="4:21" s="110" customFormat="1" ht="15.75" customHeight="1">
      <c r="D1045" s="113"/>
      <c r="E1045" s="60"/>
      <c r="F1045" s="60"/>
      <c r="G1045" s="60"/>
      <c r="H1045" s="60"/>
      <c r="I1045" s="60"/>
      <c r="J1045" s="114"/>
      <c r="K1045" s="60"/>
      <c r="L1045" s="109"/>
      <c r="M1045" s="109"/>
      <c r="N1045" s="109"/>
      <c r="O1045" s="109"/>
      <c r="P1045" s="109"/>
      <c r="Q1045" s="109"/>
      <c r="S1045" s="111"/>
      <c r="T1045" s="60"/>
      <c r="U1045" s="112"/>
    </row>
    <row r="1046" spans="4:21" s="110" customFormat="1" ht="15.75" customHeight="1">
      <c r="D1046" s="113"/>
      <c r="E1046" s="60"/>
      <c r="F1046" s="60"/>
      <c r="G1046" s="60"/>
      <c r="H1046" s="60"/>
      <c r="I1046" s="60"/>
      <c r="J1046" s="114"/>
      <c r="K1046" s="60"/>
      <c r="L1046" s="109"/>
      <c r="M1046" s="109"/>
      <c r="N1046" s="109"/>
      <c r="O1046" s="109"/>
      <c r="P1046" s="109"/>
      <c r="Q1046" s="109"/>
      <c r="S1046" s="111"/>
      <c r="T1046" s="60"/>
      <c r="U1046" s="112"/>
    </row>
    <row r="1047" spans="4:21" s="110" customFormat="1" ht="15.75" customHeight="1">
      <c r="D1047" s="113"/>
      <c r="E1047" s="60"/>
      <c r="F1047" s="60"/>
      <c r="G1047" s="60"/>
      <c r="H1047" s="60"/>
      <c r="I1047" s="60"/>
      <c r="J1047" s="114"/>
      <c r="K1047" s="60"/>
      <c r="L1047" s="109"/>
      <c r="M1047" s="109"/>
      <c r="N1047" s="109"/>
      <c r="O1047" s="109"/>
      <c r="P1047" s="109"/>
      <c r="Q1047" s="109"/>
      <c r="S1047" s="111"/>
      <c r="T1047" s="60"/>
      <c r="U1047" s="112"/>
    </row>
    <row r="1048" spans="4:21" s="110" customFormat="1" ht="15.75" customHeight="1">
      <c r="D1048" s="113"/>
      <c r="E1048" s="60"/>
      <c r="F1048" s="60"/>
      <c r="G1048" s="60"/>
      <c r="H1048" s="60"/>
      <c r="I1048" s="60"/>
      <c r="J1048" s="114"/>
      <c r="K1048" s="60"/>
      <c r="L1048" s="109"/>
      <c r="M1048" s="109"/>
      <c r="N1048" s="109"/>
      <c r="O1048" s="109"/>
      <c r="P1048" s="109"/>
      <c r="Q1048" s="109"/>
      <c r="S1048" s="111"/>
      <c r="T1048" s="60"/>
      <c r="U1048" s="112"/>
    </row>
    <row r="1049" spans="4:21" s="110" customFormat="1" ht="15.75" customHeight="1">
      <c r="D1049" s="113"/>
      <c r="E1049" s="60"/>
      <c r="F1049" s="60"/>
      <c r="G1049" s="60"/>
      <c r="H1049" s="60"/>
      <c r="I1049" s="60"/>
      <c r="J1049" s="114"/>
      <c r="K1049" s="60"/>
      <c r="L1049" s="109"/>
      <c r="M1049" s="109"/>
      <c r="N1049" s="109"/>
      <c r="O1049" s="109"/>
      <c r="P1049" s="109"/>
      <c r="Q1049" s="109"/>
      <c r="S1049" s="111"/>
      <c r="T1049" s="60"/>
      <c r="U1049" s="112"/>
    </row>
    <row r="1050" spans="4:21" s="110" customFormat="1" ht="15.75" customHeight="1">
      <c r="D1050" s="113"/>
      <c r="E1050" s="60"/>
      <c r="F1050" s="60"/>
      <c r="G1050" s="60"/>
      <c r="H1050" s="60"/>
      <c r="I1050" s="60"/>
      <c r="J1050" s="114"/>
      <c r="K1050" s="60"/>
      <c r="L1050" s="109"/>
      <c r="M1050" s="109"/>
      <c r="N1050" s="109"/>
      <c r="O1050" s="109"/>
      <c r="P1050" s="109"/>
      <c r="Q1050" s="109"/>
      <c r="S1050" s="111"/>
      <c r="T1050" s="60"/>
      <c r="U1050" s="112"/>
    </row>
    <row r="1051" spans="4:21" s="110" customFormat="1" ht="15.75" customHeight="1">
      <c r="D1051" s="113"/>
      <c r="E1051" s="60"/>
      <c r="F1051" s="60"/>
      <c r="G1051" s="60"/>
      <c r="H1051" s="60"/>
      <c r="I1051" s="60"/>
      <c r="J1051" s="114"/>
      <c r="K1051" s="60"/>
      <c r="L1051" s="109"/>
      <c r="M1051" s="109"/>
      <c r="N1051" s="109"/>
      <c r="O1051" s="109"/>
      <c r="P1051" s="109"/>
      <c r="Q1051" s="109"/>
      <c r="S1051" s="111"/>
      <c r="T1051" s="60"/>
      <c r="U1051" s="112"/>
    </row>
    <row r="1052" spans="4:21" s="110" customFormat="1" ht="15.75" customHeight="1">
      <c r="D1052" s="113"/>
      <c r="E1052" s="60"/>
      <c r="F1052" s="60"/>
      <c r="G1052" s="60"/>
      <c r="H1052" s="60"/>
      <c r="I1052" s="60"/>
      <c r="J1052" s="114"/>
      <c r="K1052" s="60"/>
      <c r="L1052" s="109"/>
      <c r="M1052" s="109"/>
      <c r="N1052" s="109"/>
      <c r="O1052" s="109"/>
      <c r="P1052" s="109"/>
      <c r="Q1052" s="109"/>
      <c r="S1052" s="111"/>
      <c r="T1052" s="60"/>
      <c r="U1052" s="112"/>
    </row>
    <row r="1053" spans="4:21" s="110" customFormat="1" ht="15.75" customHeight="1">
      <c r="D1053" s="113"/>
      <c r="E1053" s="60"/>
      <c r="F1053" s="60"/>
      <c r="G1053" s="60"/>
      <c r="H1053" s="60"/>
      <c r="I1053" s="60"/>
      <c r="J1053" s="114"/>
      <c r="K1053" s="60"/>
      <c r="L1053" s="109"/>
      <c r="M1053" s="109"/>
      <c r="N1053" s="109"/>
      <c r="O1053" s="109"/>
      <c r="P1053" s="109"/>
      <c r="Q1053" s="109"/>
      <c r="S1053" s="111"/>
      <c r="T1053" s="60"/>
      <c r="U1053" s="112"/>
    </row>
    <row r="1054" spans="4:21" s="110" customFormat="1" ht="15.75" customHeight="1">
      <c r="D1054" s="113"/>
      <c r="E1054" s="60"/>
      <c r="F1054" s="60"/>
      <c r="G1054" s="60"/>
      <c r="H1054" s="60"/>
      <c r="I1054" s="60"/>
      <c r="J1054" s="114"/>
      <c r="K1054" s="60"/>
      <c r="L1054" s="109"/>
      <c r="M1054" s="109"/>
      <c r="N1054" s="109"/>
      <c r="O1054" s="109"/>
      <c r="P1054" s="109"/>
      <c r="Q1054" s="109"/>
      <c r="S1054" s="111"/>
      <c r="T1054" s="60"/>
      <c r="U1054" s="112"/>
    </row>
    <row r="1055" spans="4:21" s="110" customFormat="1" ht="15.75" customHeight="1">
      <c r="D1055" s="113"/>
      <c r="E1055" s="60"/>
      <c r="F1055" s="60"/>
      <c r="G1055" s="60"/>
      <c r="H1055" s="60"/>
      <c r="I1055" s="60"/>
      <c r="J1055" s="114"/>
      <c r="K1055" s="60"/>
      <c r="L1055" s="109"/>
      <c r="M1055" s="109"/>
      <c r="N1055" s="109"/>
      <c r="O1055" s="109"/>
      <c r="P1055" s="109"/>
      <c r="Q1055" s="109"/>
      <c r="S1055" s="111"/>
      <c r="T1055" s="60"/>
      <c r="U1055" s="112"/>
    </row>
    <row r="1056" spans="4:21" s="110" customFormat="1" ht="15.75" customHeight="1">
      <c r="D1056" s="113"/>
      <c r="E1056" s="60"/>
      <c r="F1056" s="60"/>
      <c r="G1056" s="60"/>
      <c r="H1056" s="60"/>
      <c r="I1056" s="60"/>
      <c r="J1056" s="114"/>
      <c r="K1056" s="60"/>
      <c r="L1056" s="109"/>
      <c r="M1056" s="109"/>
      <c r="N1056" s="109"/>
      <c r="O1056" s="109"/>
      <c r="P1056" s="109"/>
      <c r="Q1056" s="109"/>
      <c r="S1056" s="111"/>
      <c r="T1056" s="60"/>
      <c r="U1056" s="112"/>
    </row>
    <row r="1057" spans="4:21" s="110" customFormat="1" ht="15.75" customHeight="1">
      <c r="D1057" s="113"/>
      <c r="E1057" s="60"/>
      <c r="F1057" s="60"/>
      <c r="G1057" s="60"/>
      <c r="H1057" s="60"/>
      <c r="I1057" s="60"/>
      <c r="J1057" s="114"/>
      <c r="K1057" s="60"/>
      <c r="L1057" s="109"/>
      <c r="M1057" s="109"/>
      <c r="N1057" s="109"/>
      <c r="O1057" s="109"/>
      <c r="P1057" s="109"/>
      <c r="Q1057" s="109"/>
      <c r="S1057" s="111"/>
      <c r="T1057" s="60"/>
      <c r="U1057" s="112"/>
    </row>
    <row r="1058" spans="4:21" s="110" customFormat="1" ht="15.75" customHeight="1">
      <c r="D1058" s="113"/>
      <c r="E1058" s="60"/>
      <c r="F1058" s="60"/>
      <c r="G1058" s="60"/>
      <c r="H1058" s="60"/>
      <c r="I1058" s="60"/>
      <c r="J1058" s="114"/>
      <c r="K1058" s="60"/>
      <c r="L1058" s="109"/>
      <c r="M1058" s="109"/>
      <c r="N1058" s="109"/>
      <c r="O1058" s="109"/>
      <c r="P1058" s="109"/>
      <c r="Q1058" s="109"/>
      <c r="S1058" s="111"/>
      <c r="T1058" s="60"/>
      <c r="U1058" s="112"/>
    </row>
    <row r="1059" spans="4:21" s="110" customFormat="1" ht="15.75" customHeight="1">
      <c r="D1059" s="113"/>
      <c r="E1059" s="60"/>
      <c r="F1059" s="60"/>
      <c r="G1059" s="60"/>
      <c r="H1059" s="60"/>
      <c r="I1059" s="60"/>
      <c r="J1059" s="114"/>
      <c r="K1059" s="60"/>
      <c r="L1059" s="109"/>
      <c r="M1059" s="109"/>
      <c r="N1059" s="109"/>
      <c r="O1059" s="109"/>
      <c r="P1059" s="109"/>
      <c r="Q1059" s="109"/>
      <c r="S1059" s="111"/>
      <c r="T1059" s="60"/>
      <c r="U1059" s="112"/>
    </row>
    <row r="1060" spans="4:21" s="110" customFormat="1" ht="15.75" customHeight="1">
      <c r="D1060" s="113"/>
      <c r="E1060" s="60"/>
      <c r="F1060" s="60"/>
      <c r="G1060" s="60"/>
      <c r="H1060" s="60"/>
      <c r="I1060" s="60"/>
      <c r="J1060" s="114"/>
      <c r="K1060" s="60"/>
      <c r="L1060" s="109"/>
      <c r="M1060" s="109"/>
      <c r="N1060" s="109"/>
      <c r="O1060" s="109"/>
      <c r="P1060" s="109"/>
      <c r="Q1060" s="109"/>
      <c r="S1060" s="111"/>
      <c r="T1060" s="60"/>
      <c r="U1060" s="112"/>
    </row>
    <row r="1061" spans="4:21" s="110" customFormat="1" ht="15.75" customHeight="1">
      <c r="D1061" s="113"/>
      <c r="E1061" s="60"/>
      <c r="F1061" s="60"/>
      <c r="G1061" s="60"/>
      <c r="H1061" s="60"/>
      <c r="I1061" s="60"/>
      <c r="J1061" s="114"/>
      <c r="K1061" s="60"/>
      <c r="L1061" s="109"/>
      <c r="M1061" s="109"/>
      <c r="N1061" s="109"/>
      <c r="O1061" s="109"/>
      <c r="P1061" s="109"/>
      <c r="Q1061" s="109"/>
      <c r="S1061" s="111"/>
      <c r="T1061" s="60"/>
      <c r="U1061" s="112"/>
    </row>
    <row r="1062" spans="4:21" s="110" customFormat="1" ht="15.75" customHeight="1">
      <c r="D1062" s="113"/>
      <c r="E1062" s="60"/>
      <c r="F1062" s="60"/>
      <c r="G1062" s="60"/>
      <c r="H1062" s="60"/>
      <c r="I1062" s="60"/>
      <c r="J1062" s="114"/>
      <c r="K1062" s="60"/>
      <c r="L1062" s="109"/>
      <c r="M1062" s="109"/>
      <c r="N1062" s="109"/>
      <c r="O1062" s="109"/>
      <c r="P1062" s="109"/>
      <c r="Q1062" s="109"/>
      <c r="S1062" s="111"/>
      <c r="T1062" s="60"/>
      <c r="U1062" s="112"/>
    </row>
    <row r="1063" spans="4:21" s="110" customFormat="1" ht="15.75" customHeight="1">
      <c r="D1063" s="113"/>
      <c r="E1063" s="60"/>
      <c r="F1063" s="60"/>
      <c r="G1063" s="60"/>
      <c r="H1063" s="60"/>
      <c r="I1063" s="60"/>
      <c r="J1063" s="114"/>
      <c r="K1063" s="60"/>
      <c r="L1063" s="109"/>
      <c r="M1063" s="109"/>
      <c r="N1063" s="109"/>
      <c r="O1063" s="109"/>
      <c r="P1063" s="109"/>
      <c r="Q1063" s="109"/>
      <c r="S1063" s="111"/>
      <c r="T1063" s="60"/>
      <c r="U1063" s="112"/>
    </row>
    <row r="1064" spans="4:21" s="110" customFormat="1" ht="15.75" customHeight="1">
      <c r="D1064" s="113"/>
      <c r="E1064" s="60"/>
      <c r="F1064" s="60"/>
      <c r="G1064" s="60"/>
      <c r="H1064" s="60"/>
      <c r="I1064" s="60"/>
      <c r="J1064" s="114"/>
      <c r="K1064" s="60"/>
      <c r="L1064" s="109"/>
      <c r="M1064" s="109"/>
      <c r="N1064" s="109"/>
      <c r="O1064" s="109"/>
      <c r="P1064" s="109"/>
      <c r="Q1064" s="109"/>
      <c r="S1064" s="111"/>
      <c r="T1064" s="60"/>
      <c r="U1064" s="112"/>
    </row>
    <row r="1065" spans="4:21" s="110" customFormat="1" ht="15.75" customHeight="1">
      <c r="D1065" s="113"/>
      <c r="E1065" s="60"/>
      <c r="F1065" s="60"/>
      <c r="G1065" s="60"/>
      <c r="H1065" s="60"/>
      <c r="I1065" s="60"/>
      <c r="J1065" s="114"/>
      <c r="K1065" s="60"/>
      <c r="L1065" s="109"/>
      <c r="M1065" s="109"/>
      <c r="N1065" s="109"/>
      <c r="O1065" s="109"/>
      <c r="P1065" s="109"/>
      <c r="Q1065" s="109"/>
      <c r="S1065" s="111"/>
      <c r="T1065" s="60"/>
      <c r="U1065" s="112"/>
    </row>
    <row r="1066" spans="4:21" s="110" customFormat="1" ht="15.75" customHeight="1">
      <c r="D1066" s="113"/>
      <c r="E1066" s="60"/>
      <c r="F1066" s="60"/>
      <c r="G1066" s="60"/>
      <c r="H1066" s="60"/>
      <c r="I1066" s="60"/>
      <c r="J1066" s="114"/>
      <c r="K1066" s="60"/>
      <c r="L1066" s="109"/>
      <c r="M1066" s="109"/>
      <c r="N1066" s="109"/>
      <c r="O1066" s="109"/>
      <c r="P1066" s="109"/>
      <c r="Q1066" s="109"/>
      <c r="S1066" s="111"/>
      <c r="T1066" s="60"/>
      <c r="U1066" s="112"/>
    </row>
    <row r="1067" spans="4:21" s="110" customFormat="1" ht="15.75" customHeight="1">
      <c r="D1067" s="113"/>
      <c r="E1067" s="60"/>
      <c r="F1067" s="60"/>
      <c r="G1067" s="60"/>
      <c r="H1067" s="60"/>
      <c r="I1067" s="60"/>
      <c r="J1067" s="114"/>
      <c r="K1067" s="60"/>
      <c r="L1067" s="109"/>
      <c r="M1067" s="109"/>
      <c r="N1067" s="109"/>
      <c r="O1067" s="109"/>
      <c r="P1067" s="109"/>
      <c r="Q1067" s="109"/>
      <c r="S1067" s="111"/>
      <c r="T1067" s="60"/>
      <c r="U1067" s="112"/>
    </row>
    <row r="1068" spans="4:21" s="110" customFormat="1" ht="15.75" customHeight="1">
      <c r="D1068" s="113"/>
      <c r="E1068" s="60"/>
      <c r="F1068" s="60"/>
      <c r="G1068" s="60"/>
      <c r="H1068" s="60"/>
      <c r="I1068" s="60"/>
      <c r="J1068" s="114"/>
      <c r="K1068" s="60"/>
      <c r="L1068" s="109"/>
      <c r="M1068" s="109"/>
      <c r="N1068" s="109"/>
      <c r="O1068" s="109"/>
      <c r="P1068" s="109"/>
      <c r="Q1068" s="109"/>
      <c r="S1068" s="111"/>
      <c r="T1068" s="60"/>
      <c r="U1068" s="112"/>
    </row>
    <row r="1069" spans="4:21" s="110" customFormat="1" ht="15.75" customHeight="1">
      <c r="D1069" s="113"/>
      <c r="E1069" s="60"/>
      <c r="F1069" s="60"/>
      <c r="G1069" s="60"/>
      <c r="H1069" s="60"/>
      <c r="I1069" s="60"/>
      <c r="J1069" s="114"/>
      <c r="K1069" s="60"/>
      <c r="L1069" s="109"/>
      <c r="M1069" s="109"/>
      <c r="N1069" s="109"/>
      <c r="O1069" s="109"/>
      <c r="P1069" s="109"/>
      <c r="Q1069" s="109"/>
      <c r="S1069" s="111"/>
      <c r="T1069" s="60"/>
      <c r="U1069" s="112"/>
    </row>
    <row r="1070" spans="4:21" s="110" customFormat="1" ht="15.75" customHeight="1">
      <c r="D1070" s="113"/>
      <c r="E1070" s="60"/>
      <c r="F1070" s="60"/>
      <c r="G1070" s="60"/>
      <c r="H1070" s="60"/>
      <c r="I1070" s="60"/>
      <c r="J1070" s="114"/>
      <c r="K1070" s="60"/>
      <c r="L1070" s="109"/>
      <c r="M1070" s="109"/>
      <c r="N1070" s="109"/>
      <c r="O1070" s="109"/>
      <c r="P1070" s="109"/>
      <c r="Q1070" s="109"/>
      <c r="S1070" s="111"/>
      <c r="T1070" s="60"/>
      <c r="U1070" s="112"/>
    </row>
    <row r="1071" spans="4:21" s="110" customFormat="1" ht="15.75" customHeight="1">
      <c r="D1071" s="113"/>
      <c r="E1071" s="60"/>
      <c r="F1071" s="60"/>
      <c r="G1071" s="60"/>
      <c r="H1071" s="60"/>
      <c r="I1071" s="60"/>
      <c r="J1071" s="114"/>
      <c r="K1071" s="60"/>
      <c r="L1071" s="109"/>
      <c r="M1071" s="109"/>
      <c r="N1071" s="109"/>
      <c r="O1071" s="109"/>
      <c r="P1071" s="109"/>
      <c r="Q1071" s="109"/>
      <c r="S1071" s="111"/>
      <c r="T1071" s="60"/>
      <c r="U1071" s="112"/>
    </row>
    <row r="1072" spans="4:21" s="110" customFormat="1" ht="15.75" customHeight="1">
      <c r="D1072" s="113"/>
      <c r="E1072" s="60"/>
      <c r="F1072" s="60"/>
      <c r="G1072" s="60"/>
      <c r="H1072" s="60"/>
      <c r="I1072" s="60"/>
      <c r="J1072" s="114"/>
      <c r="K1072" s="60"/>
      <c r="L1072" s="109"/>
      <c r="M1072" s="109"/>
      <c r="N1072" s="109"/>
      <c r="O1072" s="109"/>
      <c r="P1072" s="109"/>
      <c r="Q1072" s="109"/>
      <c r="S1072" s="111"/>
      <c r="T1072" s="60"/>
      <c r="U1072" s="112"/>
    </row>
    <row r="1073" spans="4:21" s="110" customFormat="1" ht="15.75" customHeight="1">
      <c r="D1073" s="113"/>
      <c r="E1073" s="60"/>
      <c r="F1073" s="60"/>
      <c r="G1073" s="60"/>
      <c r="H1073" s="60"/>
      <c r="I1073" s="60"/>
      <c r="J1073" s="114"/>
      <c r="K1073" s="60"/>
      <c r="L1073" s="109"/>
      <c r="M1073" s="109"/>
      <c r="N1073" s="109"/>
      <c r="O1073" s="109"/>
      <c r="P1073" s="109"/>
      <c r="Q1073" s="109"/>
      <c r="S1073" s="111"/>
      <c r="T1073" s="60"/>
      <c r="U1073" s="112"/>
    </row>
    <row r="1074" spans="4:21" s="110" customFormat="1" ht="15.75" customHeight="1">
      <c r="D1074" s="113"/>
      <c r="E1074" s="60"/>
      <c r="F1074" s="60"/>
      <c r="G1074" s="60"/>
      <c r="H1074" s="60"/>
      <c r="I1074" s="60"/>
      <c r="J1074" s="114"/>
      <c r="K1074" s="60"/>
      <c r="L1074" s="109"/>
      <c r="M1074" s="109"/>
      <c r="N1074" s="109"/>
      <c r="O1074" s="109"/>
      <c r="P1074" s="109"/>
      <c r="Q1074" s="109"/>
      <c r="S1074" s="111"/>
      <c r="T1074" s="60"/>
      <c r="U1074" s="112"/>
    </row>
    <row r="1075" spans="4:21" s="110" customFormat="1" ht="15.75" customHeight="1">
      <c r="D1075" s="113"/>
      <c r="E1075" s="60"/>
      <c r="F1075" s="60"/>
      <c r="G1075" s="60"/>
      <c r="H1075" s="60"/>
      <c r="I1075" s="60"/>
      <c r="J1075" s="114"/>
      <c r="K1075" s="60"/>
      <c r="L1075" s="109"/>
      <c r="M1075" s="109"/>
      <c r="N1075" s="109"/>
      <c r="O1075" s="109"/>
      <c r="P1075" s="109"/>
      <c r="Q1075" s="109"/>
      <c r="S1075" s="111"/>
      <c r="T1075" s="60"/>
      <c r="U1075" s="112"/>
    </row>
    <row r="1076" spans="4:21" s="110" customFormat="1" ht="15.75" customHeight="1">
      <c r="D1076" s="113"/>
      <c r="E1076" s="60"/>
      <c r="F1076" s="60"/>
      <c r="G1076" s="60"/>
      <c r="H1076" s="60"/>
      <c r="I1076" s="60"/>
      <c r="J1076" s="114"/>
      <c r="K1076" s="60"/>
      <c r="L1076" s="109"/>
      <c r="M1076" s="109"/>
      <c r="N1076" s="109"/>
      <c r="O1076" s="109"/>
      <c r="P1076" s="109"/>
      <c r="Q1076" s="109"/>
      <c r="S1076" s="111"/>
      <c r="T1076" s="60"/>
      <c r="U1076" s="112"/>
    </row>
    <row r="1077" spans="4:21" s="110" customFormat="1" ht="15.75" customHeight="1">
      <c r="D1077" s="113"/>
      <c r="E1077" s="60"/>
      <c r="F1077" s="60"/>
      <c r="G1077" s="60"/>
      <c r="H1077" s="60"/>
      <c r="I1077" s="60"/>
      <c r="J1077" s="114"/>
      <c r="K1077" s="60"/>
      <c r="L1077" s="109"/>
      <c r="M1077" s="109"/>
      <c r="N1077" s="109"/>
      <c r="O1077" s="109"/>
      <c r="P1077" s="109"/>
      <c r="Q1077" s="109"/>
      <c r="S1077" s="111"/>
      <c r="T1077" s="60"/>
      <c r="U1077" s="112"/>
    </row>
    <row r="1078" spans="4:21" s="110" customFormat="1" ht="15.75" customHeight="1">
      <c r="D1078" s="113"/>
      <c r="E1078" s="60"/>
      <c r="F1078" s="60"/>
      <c r="G1078" s="60"/>
      <c r="H1078" s="60"/>
      <c r="I1078" s="60"/>
      <c r="J1078" s="114"/>
      <c r="K1078" s="60"/>
      <c r="L1078" s="109"/>
      <c r="M1078" s="109"/>
      <c r="N1078" s="109"/>
      <c r="O1078" s="109"/>
      <c r="P1078" s="109"/>
      <c r="Q1078" s="109"/>
      <c r="S1078" s="111"/>
      <c r="T1078" s="60"/>
      <c r="U1078" s="112"/>
    </row>
    <row r="1079" spans="4:21" s="110" customFormat="1" ht="15.75" customHeight="1">
      <c r="D1079" s="113"/>
      <c r="E1079" s="60"/>
      <c r="F1079" s="60"/>
      <c r="G1079" s="60"/>
      <c r="H1079" s="60"/>
      <c r="I1079" s="60"/>
      <c r="J1079" s="114"/>
      <c r="K1079" s="60"/>
      <c r="L1079" s="109"/>
      <c r="M1079" s="109"/>
      <c r="N1079" s="109"/>
      <c r="O1079" s="109"/>
      <c r="P1079" s="109"/>
      <c r="Q1079" s="109"/>
      <c r="S1079" s="111"/>
      <c r="T1079" s="60"/>
      <c r="U1079" s="112"/>
    </row>
    <row r="1080" spans="4:21" s="110" customFormat="1" ht="15.75" customHeight="1">
      <c r="D1080" s="113"/>
      <c r="E1080" s="60"/>
      <c r="F1080" s="60"/>
      <c r="G1080" s="60"/>
      <c r="H1080" s="60"/>
      <c r="I1080" s="60"/>
      <c r="J1080" s="114"/>
      <c r="K1080" s="60"/>
      <c r="L1080" s="109"/>
      <c r="M1080" s="109"/>
      <c r="N1080" s="109"/>
      <c r="O1080" s="109"/>
      <c r="P1080" s="109"/>
      <c r="Q1080" s="109"/>
      <c r="S1080" s="111"/>
      <c r="T1080" s="60"/>
      <c r="U1080" s="112"/>
    </row>
    <row r="1081" spans="4:21" s="110" customFormat="1" ht="15.75" customHeight="1">
      <c r="D1081" s="113"/>
      <c r="E1081" s="60"/>
      <c r="F1081" s="60"/>
      <c r="G1081" s="60"/>
      <c r="H1081" s="60"/>
      <c r="I1081" s="60"/>
      <c r="J1081" s="114"/>
      <c r="K1081" s="60"/>
      <c r="L1081" s="109"/>
      <c r="M1081" s="109"/>
      <c r="N1081" s="109"/>
      <c r="O1081" s="109"/>
      <c r="P1081" s="109"/>
      <c r="Q1081" s="109"/>
      <c r="S1081" s="111"/>
      <c r="T1081" s="60"/>
      <c r="U1081" s="112"/>
    </row>
    <row r="1082" spans="4:21" s="110" customFormat="1" ht="15.75" customHeight="1">
      <c r="D1082" s="113"/>
      <c r="E1082" s="60"/>
      <c r="F1082" s="60"/>
      <c r="G1082" s="60"/>
      <c r="H1082" s="60"/>
      <c r="I1082" s="60"/>
      <c r="J1082" s="114"/>
      <c r="K1082" s="60"/>
      <c r="L1082" s="109"/>
      <c r="M1082" s="109"/>
      <c r="N1082" s="109"/>
      <c r="O1082" s="109"/>
      <c r="P1082" s="109"/>
      <c r="Q1082" s="109"/>
      <c r="S1082" s="111"/>
      <c r="T1082" s="60"/>
      <c r="U1082" s="112"/>
    </row>
    <row r="1083" spans="4:21" s="110" customFormat="1" ht="15.75" customHeight="1">
      <c r="D1083" s="113"/>
      <c r="E1083" s="60"/>
      <c r="F1083" s="60"/>
      <c r="G1083" s="60"/>
      <c r="H1083" s="60"/>
      <c r="I1083" s="60"/>
      <c r="J1083" s="114"/>
      <c r="K1083" s="60"/>
      <c r="L1083" s="109"/>
      <c r="M1083" s="109"/>
      <c r="N1083" s="109"/>
      <c r="O1083" s="109"/>
      <c r="P1083" s="109"/>
      <c r="Q1083" s="109"/>
      <c r="S1083" s="111"/>
      <c r="T1083" s="60"/>
      <c r="U1083" s="112"/>
    </row>
    <row r="1084" spans="4:21" s="110" customFormat="1" ht="15.75" customHeight="1">
      <c r="D1084" s="113"/>
      <c r="E1084" s="60"/>
      <c r="F1084" s="60"/>
      <c r="G1084" s="60"/>
      <c r="H1084" s="60"/>
      <c r="I1084" s="60"/>
      <c r="J1084" s="114"/>
      <c r="K1084" s="60"/>
      <c r="L1084" s="109"/>
      <c r="M1084" s="109"/>
      <c r="N1084" s="109"/>
      <c r="O1084" s="109"/>
      <c r="P1084" s="109"/>
      <c r="Q1084" s="109"/>
      <c r="S1084" s="111"/>
      <c r="T1084" s="60"/>
      <c r="U1084" s="112"/>
    </row>
    <row r="1085" spans="4:21" s="110" customFormat="1" ht="15.75" customHeight="1">
      <c r="D1085" s="113"/>
      <c r="E1085" s="60"/>
      <c r="F1085" s="60"/>
      <c r="G1085" s="60"/>
      <c r="H1085" s="60"/>
      <c r="I1085" s="60"/>
      <c r="J1085" s="114"/>
      <c r="K1085" s="60"/>
      <c r="L1085" s="109"/>
      <c r="M1085" s="109"/>
      <c r="N1085" s="109"/>
      <c r="O1085" s="109"/>
      <c r="P1085" s="109"/>
      <c r="Q1085" s="109"/>
      <c r="S1085" s="111"/>
      <c r="T1085" s="60"/>
      <c r="U1085" s="112"/>
    </row>
    <row r="1086" spans="4:21" s="110" customFormat="1" ht="15.75" customHeight="1">
      <c r="D1086" s="113"/>
      <c r="E1086" s="60"/>
      <c r="F1086" s="60"/>
      <c r="G1086" s="60"/>
      <c r="H1086" s="60"/>
      <c r="I1086" s="60"/>
      <c r="J1086" s="114"/>
      <c r="K1086" s="60"/>
      <c r="L1086" s="109"/>
      <c r="M1086" s="109"/>
      <c r="N1086" s="109"/>
      <c r="O1086" s="109"/>
      <c r="P1086" s="109"/>
      <c r="Q1086" s="109"/>
      <c r="S1086" s="111"/>
      <c r="T1086" s="60"/>
      <c r="U1086" s="112"/>
    </row>
    <row r="1087" spans="4:21" s="110" customFormat="1" ht="15.75" customHeight="1">
      <c r="D1087" s="113"/>
      <c r="E1087" s="60"/>
      <c r="F1087" s="60"/>
      <c r="G1087" s="60"/>
      <c r="H1087" s="60"/>
      <c r="I1087" s="60"/>
      <c r="J1087" s="114"/>
      <c r="K1087" s="60"/>
      <c r="L1087" s="109"/>
      <c r="M1087" s="109"/>
      <c r="N1087" s="109"/>
      <c r="O1087" s="109"/>
      <c r="P1087" s="109"/>
      <c r="Q1087" s="109"/>
      <c r="S1087" s="111"/>
      <c r="T1087" s="60"/>
      <c r="U1087" s="112"/>
    </row>
    <row r="1088" spans="4:21" s="110" customFormat="1" ht="15.75" customHeight="1">
      <c r="D1088" s="113"/>
      <c r="E1088" s="60"/>
      <c r="F1088" s="60"/>
      <c r="G1088" s="60"/>
      <c r="H1088" s="60"/>
      <c r="I1088" s="60"/>
      <c r="J1088" s="114"/>
      <c r="K1088" s="60"/>
      <c r="L1088" s="109"/>
      <c r="M1088" s="109"/>
      <c r="N1088" s="109"/>
      <c r="O1088" s="109"/>
      <c r="P1088" s="109"/>
      <c r="Q1088" s="109"/>
      <c r="S1088" s="111"/>
      <c r="T1088" s="60"/>
      <c r="U1088" s="112"/>
    </row>
    <row r="1089" spans="4:21" s="110" customFormat="1" ht="15.75" customHeight="1">
      <c r="D1089" s="113"/>
      <c r="E1089" s="60"/>
      <c r="F1089" s="60"/>
      <c r="G1089" s="60"/>
      <c r="H1089" s="60"/>
      <c r="I1089" s="60"/>
      <c r="J1089" s="114"/>
      <c r="K1089" s="60"/>
      <c r="L1089" s="109"/>
      <c r="M1089" s="109"/>
      <c r="N1089" s="109"/>
      <c r="O1089" s="109"/>
      <c r="P1089" s="109"/>
      <c r="Q1089" s="109"/>
      <c r="S1089" s="111"/>
      <c r="T1089" s="60"/>
      <c r="U1089" s="112"/>
    </row>
    <row r="1090" spans="4:21" s="110" customFormat="1" ht="15.75" customHeight="1">
      <c r="D1090" s="113"/>
      <c r="E1090" s="60"/>
      <c r="F1090" s="60"/>
      <c r="G1090" s="60"/>
      <c r="H1090" s="60"/>
      <c r="I1090" s="60"/>
      <c r="J1090" s="114"/>
      <c r="K1090" s="60"/>
      <c r="L1090" s="109"/>
      <c r="M1090" s="109"/>
      <c r="N1090" s="109"/>
      <c r="O1090" s="109"/>
      <c r="P1090" s="109"/>
      <c r="Q1090" s="109"/>
      <c r="S1090" s="111"/>
      <c r="T1090" s="60"/>
      <c r="U1090" s="112"/>
    </row>
    <row r="1091" spans="4:21" s="110" customFormat="1" ht="15.75" customHeight="1">
      <c r="D1091" s="113"/>
      <c r="E1091" s="60"/>
      <c r="F1091" s="60"/>
      <c r="G1091" s="60"/>
      <c r="H1091" s="60"/>
      <c r="I1091" s="60"/>
      <c r="J1091" s="114"/>
      <c r="K1091" s="60"/>
      <c r="L1091" s="109"/>
      <c r="M1091" s="109"/>
      <c r="N1091" s="109"/>
      <c r="O1091" s="109"/>
      <c r="P1091" s="109"/>
      <c r="Q1091" s="109"/>
      <c r="S1091" s="111"/>
      <c r="T1091" s="60"/>
      <c r="U1091" s="112"/>
    </row>
    <row r="1092" spans="4:21" s="110" customFormat="1" ht="15.75" customHeight="1">
      <c r="D1092" s="113"/>
      <c r="E1092" s="60"/>
      <c r="F1092" s="60"/>
      <c r="G1092" s="60"/>
      <c r="H1092" s="60"/>
      <c r="I1092" s="60"/>
      <c r="J1092" s="114"/>
      <c r="K1092" s="60"/>
      <c r="L1092" s="109"/>
      <c r="M1092" s="109"/>
      <c r="N1092" s="109"/>
      <c r="O1092" s="109"/>
      <c r="P1092" s="109"/>
      <c r="Q1092" s="109"/>
      <c r="S1092" s="111"/>
      <c r="T1092" s="60"/>
      <c r="U1092" s="112"/>
    </row>
    <row r="1093" spans="4:21" s="110" customFormat="1" ht="15.75" customHeight="1">
      <c r="D1093" s="113"/>
      <c r="E1093" s="60"/>
      <c r="F1093" s="60"/>
      <c r="G1093" s="60"/>
      <c r="H1093" s="60"/>
      <c r="I1093" s="60"/>
      <c r="J1093" s="114"/>
      <c r="K1093" s="60"/>
      <c r="L1093" s="109"/>
      <c r="M1093" s="109"/>
      <c r="N1093" s="109"/>
      <c r="O1093" s="109"/>
      <c r="P1093" s="109"/>
      <c r="Q1093" s="109"/>
      <c r="S1093" s="111"/>
      <c r="T1093" s="60"/>
      <c r="U1093" s="112"/>
    </row>
    <row r="1094" spans="4:21" s="110" customFormat="1" ht="15.75" customHeight="1">
      <c r="D1094" s="113"/>
      <c r="E1094" s="60"/>
      <c r="F1094" s="60"/>
      <c r="G1094" s="60"/>
      <c r="H1094" s="60"/>
      <c r="I1094" s="60"/>
      <c r="J1094" s="114"/>
      <c r="K1094" s="60"/>
      <c r="L1094" s="109"/>
      <c r="M1094" s="109"/>
      <c r="N1094" s="109"/>
      <c r="O1094" s="109"/>
      <c r="P1094" s="109"/>
      <c r="Q1094" s="109"/>
      <c r="S1094" s="111"/>
      <c r="T1094" s="60"/>
      <c r="U1094" s="112"/>
    </row>
    <row r="1095" spans="4:21" s="110" customFormat="1" ht="15.75" customHeight="1">
      <c r="D1095" s="113"/>
      <c r="E1095" s="60"/>
      <c r="F1095" s="60"/>
      <c r="G1095" s="60"/>
      <c r="H1095" s="60"/>
      <c r="I1095" s="60"/>
      <c r="J1095" s="114"/>
      <c r="K1095" s="60"/>
      <c r="L1095" s="109"/>
      <c r="M1095" s="109"/>
      <c r="N1095" s="109"/>
      <c r="O1095" s="109"/>
      <c r="P1095" s="109"/>
      <c r="Q1095" s="109"/>
      <c r="S1095" s="111"/>
      <c r="T1095" s="60"/>
      <c r="U1095" s="112"/>
    </row>
    <row r="1096" spans="4:21" s="110" customFormat="1" ht="15.75" customHeight="1">
      <c r="D1096" s="113"/>
      <c r="E1096" s="60"/>
      <c r="F1096" s="60"/>
      <c r="G1096" s="60"/>
      <c r="H1096" s="60"/>
      <c r="I1096" s="60"/>
      <c r="J1096" s="114"/>
      <c r="K1096" s="60"/>
      <c r="L1096" s="109"/>
      <c r="M1096" s="109"/>
      <c r="N1096" s="109"/>
      <c r="O1096" s="109"/>
      <c r="P1096" s="109"/>
      <c r="Q1096" s="109"/>
      <c r="S1096" s="111"/>
      <c r="T1096" s="60"/>
      <c r="U1096" s="112"/>
    </row>
    <row r="1097" spans="4:21" s="110" customFormat="1" ht="15.75" customHeight="1">
      <c r="D1097" s="113"/>
      <c r="E1097" s="60"/>
      <c r="F1097" s="60"/>
      <c r="G1097" s="60"/>
      <c r="H1097" s="60"/>
      <c r="I1097" s="60"/>
      <c r="J1097" s="114"/>
      <c r="K1097" s="60"/>
      <c r="L1097" s="109"/>
      <c r="M1097" s="109"/>
      <c r="N1097" s="109"/>
      <c r="O1097" s="109"/>
      <c r="P1097" s="109"/>
      <c r="Q1097" s="109"/>
      <c r="S1097" s="111"/>
      <c r="T1097" s="60"/>
      <c r="U1097" s="112"/>
    </row>
    <row r="1098" spans="4:21" s="110" customFormat="1" ht="15.75" customHeight="1">
      <c r="D1098" s="113"/>
      <c r="E1098" s="60"/>
      <c r="F1098" s="60"/>
      <c r="G1098" s="60"/>
      <c r="H1098" s="60"/>
      <c r="I1098" s="60"/>
      <c r="J1098" s="114"/>
      <c r="K1098" s="60"/>
      <c r="L1098" s="109"/>
      <c r="M1098" s="109"/>
      <c r="N1098" s="109"/>
      <c r="O1098" s="109"/>
      <c r="P1098" s="109"/>
      <c r="Q1098" s="109"/>
      <c r="S1098" s="111"/>
      <c r="T1098" s="60"/>
      <c r="U1098" s="112"/>
    </row>
    <row r="1099" spans="4:21" s="110" customFormat="1" ht="15.75" customHeight="1">
      <c r="D1099" s="113"/>
      <c r="E1099" s="60"/>
      <c r="F1099" s="60"/>
      <c r="G1099" s="60"/>
      <c r="H1099" s="60"/>
      <c r="I1099" s="60"/>
      <c r="J1099" s="114"/>
      <c r="K1099" s="60"/>
      <c r="L1099" s="109"/>
      <c r="M1099" s="109"/>
      <c r="N1099" s="109"/>
      <c r="O1099" s="109"/>
      <c r="P1099" s="109"/>
      <c r="Q1099" s="109"/>
      <c r="S1099" s="111"/>
      <c r="T1099" s="60"/>
      <c r="U1099" s="112"/>
    </row>
    <row r="1100" spans="4:21" s="110" customFormat="1" ht="15.75" customHeight="1">
      <c r="D1100" s="113"/>
      <c r="E1100" s="60"/>
      <c r="F1100" s="60"/>
      <c r="G1100" s="60"/>
      <c r="H1100" s="60"/>
      <c r="I1100" s="60"/>
      <c r="J1100" s="114"/>
      <c r="K1100" s="60"/>
      <c r="L1100" s="109"/>
      <c r="M1100" s="109"/>
      <c r="N1100" s="109"/>
      <c r="O1100" s="109"/>
      <c r="P1100" s="109"/>
      <c r="Q1100" s="109"/>
      <c r="S1100" s="111"/>
      <c r="T1100" s="60"/>
      <c r="U1100" s="112"/>
    </row>
    <row r="1101" spans="4:21" s="110" customFormat="1" ht="15.75" customHeight="1">
      <c r="D1101" s="113"/>
      <c r="E1101" s="60"/>
      <c r="F1101" s="60"/>
      <c r="G1101" s="60"/>
      <c r="H1101" s="60"/>
      <c r="I1101" s="60"/>
      <c r="J1101" s="114"/>
      <c r="K1101" s="60"/>
      <c r="L1101" s="109"/>
      <c r="M1101" s="109"/>
      <c r="N1101" s="109"/>
      <c r="O1101" s="109"/>
      <c r="P1101" s="109"/>
      <c r="Q1101" s="109"/>
      <c r="S1101" s="111"/>
      <c r="T1101" s="60"/>
      <c r="U1101" s="112"/>
    </row>
    <row r="1102" spans="4:21" s="110" customFormat="1" ht="15.75" customHeight="1">
      <c r="D1102" s="113"/>
      <c r="E1102" s="60"/>
      <c r="F1102" s="60"/>
      <c r="G1102" s="60"/>
      <c r="H1102" s="60"/>
      <c r="I1102" s="60"/>
      <c r="J1102" s="114"/>
      <c r="K1102" s="60"/>
      <c r="L1102" s="109"/>
      <c r="M1102" s="109"/>
      <c r="N1102" s="109"/>
      <c r="O1102" s="109"/>
      <c r="P1102" s="109"/>
      <c r="Q1102" s="109"/>
      <c r="S1102" s="111"/>
      <c r="T1102" s="60"/>
      <c r="U1102" s="112"/>
    </row>
    <row r="1103" spans="4:21" s="110" customFormat="1" ht="15.75" customHeight="1">
      <c r="D1103" s="113"/>
      <c r="E1103" s="60"/>
      <c r="F1103" s="60"/>
      <c r="G1103" s="60"/>
      <c r="H1103" s="60"/>
      <c r="I1103" s="60"/>
      <c r="J1103" s="114"/>
      <c r="K1103" s="60"/>
      <c r="L1103" s="109"/>
      <c r="M1103" s="109"/>
      <c r="N1103" s="109"/>
      <c r="O1103" s="109"/>
      <c r="P1103" s="109"/>
      <c r="Q1103" s="109"/>
      <c r="S1103" s="111"/>
      <c r="T1103" s="60"/>
      <c r="U1103" s="112"/>
    </row>
    <row r="1104" spans="4:21" s="110" customFormat="1" ht="15.75" customHeight="1">
      <c r="D1104" s="113"/>
      <c r="E1104" s="60"/>
      <c r="F1104" s="60"/>
      <c r="G1104" s="60"/>
      <c r="H1104" s="60"/>
      <c r="I1104" s="60"/>
      <c r="J1104" s="114"/>
      <c r="K1104" s="60"/>
      <c r="L1104" s="109"/>
      <c r="M1104" s="109"/>
      <c r="N1104" s="109"/>
      <c r="O1104" s="109"/>
      <c r="P1104" s="109"/>
      <c r="Q1104" s="109"/>
      <c r="S1104" s="111"/>
      <c r="T1104" s="60"/>
      <c r="U1104" s="112"/>
    </row>
    <row r="1105" spans="4:21" s="110" customFormat="1" ht="15.75" customHeight="1">
      <c r="D1105" s="113"/>
      <c r="E1105" s="60"/>
      <c r="F1105" s="60"/>
      <c r="G1105" s="60"/>
      <c r="H1105" s="60"/>
      <c r="I1105" s="60"/>
      <c r="J1105" s="114"/>
      <c r="K1105" s="60"/>
      <c r="L1105" s="109"/>
      <c r="M1105" s="109"/>
      <c r="N1105" s="109"/>
      <c r="O1105" s="109"/>
      <c r="P1105" s="109"/>
      <c r="Q1105" s="109"/>
      <c r="S1105" s="111"/>
      <c r="T1105" s="60"/>
      <c r="U1105" s="112"/>
    </row>
    <row r="1106" spans="4:21" s="110" customFormat="1" ht="15.75" customHeight="1">
      <c r="D1106" s="113"/>
      <c r="E1106" s="60"/>
      <c r="F1106" s="60"/>
      <c r="G1106" s="60"/>
      <c r="H1106" s="60"/>
      <c r="I1106" s="60"/>
      <c r="J1106" s="114"/>
      <c r="K1106" s="60"/>
      <c r="L1106" s="109"/>
      <c r="M1106" s="109"/>
      <c r="N1106" s="109"/>
      <c r="O1106" s="109"/>
      <c r="P1106" s="109"/>
      <c r="Q1106" s="109"/>
      <c r="S1106" s="111"/>
      <c r="T1106" s="60"/>
      <c r="U1106" s="112"/>
    </row>
    <row r="1107" spans="4:21" s="110" customFormat="1" ht="15.75" customHeight="1">
      <c r="D1107" s="113"/>
      <c r="E1107" s="60"/>
      <c r="F1107" s="60"/>
      <c r="G1107" s="60"/>
      <c r="H1107" s="60"/>
      <c r="I1107" s="60"/>
      <c r="J1107" s="114"/>
      <c r="K1107" s="60"/>
      <c r="L1107" s="109"/>
      <c r="M1107" s="109"/>
      <c r="N1107" s="109"/>
      <c r="O1107" s="109"/>
      <c r="P1107" s="109"/>
      <c r="Q1107" s="109"/>
      <c r="S1107" s="111"/>
      <c r="T1107" s="60"/>
      <c r="U1107" s="112"/>
    </row>
    <row r="1108" spans="4:21" s="110" customFormat="1" ht="15.75" customHeight="1">
      <c r="D1108" s="113"/>
      <c r="E1108" s="60"/>
      <c r="F1108" s="60"/>
      <c r="G1108" s="60"/>
      <c r="H1108" s="60"/>
      <c r="I1108" s="60"/>
      <c r="J1108" s="114"/>
      <c r="K1108" s="60"/>
      <c r="L1108" s="109"/>
      <c r="M1108" s="109"/>
      <c r="N1108" s="109"/>
      <c r="O1108" s="109"/>
      <c r="P1108" s="109"/>
      <c r="Q1108" s="109"/>
      <c r="S1108" s="111"/>
      <c r="T1108" s="60"/>
      <c r="U1108" s="112"/>
    </row>
    <row r="1109" spans="4:21" s="110" customFormat="1" ht="15.75" customHeight="1">
      <c r="D1109" s="113"/>
      <c r="E1109" s="60"/>
      <c r="F1109" s="60"/>
      <c r="G1109" s="60"/>
      <c r="H1109" s="60"/>
      <c r="I1109" s="60"/>
      <c r="J1109" s="114"/>
      <c r="K1109" s="60"/>
      <c r="L1109" s="109"/>
      <c r="M1109" s="109"/>
      <c r="N1109" s="109"/>
      <c r="O1109" s="109"/>
      <c r="P1109" s="109"/>
      <c r="Q1109" s="109"/>
      <c r="S1109" s="111"/>
      <c r="T1109" s="60"/>
      <c r="U1109" s="112"/>
    </row>
    <row r="1110" spans="4:21" s="110" customFormat="1" ht="15.75" customHeight="1">
      <c r="D1110" s="113"/>
      <c r="E1110" s="60"/>
      <c r="F1110" s="60"/>
      <c r="G1110" s="60"/>
      <c r="H1110" s="60"/>
      <c r="I1110" s="60"/>
      <c r="J1110" s="114"/>
      <c r="K1110" s="60"/>
      <c r="L1110" s="109"/>
      <c r="M1110" s="109"/>
      <c r="N1110" s="109"/>
      <c r="O1110" s="109"/>
      <c r="P1110" s="109"/>
      <c r="Q1110" s="109"/>
      <c r="S1110" s="111"/>
      <c r="T1110" s="60"/>
      <c r="U1110" s="112"/>
    </row>
    <row r="1111" spans="4:21" s="110" customFormat="1" ht="15.75" customHeight="1">
      <c r="D1111" s="113"/>
      <c r="E1111" s="60"/>
      <c r="F1111" s="60"/>
      <c r="G1111" s="60"/>
      <c r="H1111" s="60"/>
      <c r="I1111" s="60"/>
      <c r="J1111" s="114"/>
      <c r="K1111" s="60"/>
      <c r="L1111" s="109"/>
      <c r="M1111" s="109"/>
      <c r="N1111" s="109"/>
      <c r="O1111" s="109"/>
      <c r="P1111" s="109"/>
      <c r="Q1111" s="109"/>
      <c r="S1111" s="111"/>
      <c r="T1111" s="60"/>
      <c r="U1111" s="112"/>
    </row>
    <row r="1112" spans="4:21" s="110" customFormat="1" ht="15.75" customHeight="1">
      <c r="D1112" s="113"/>
      <c r="E1112" s="60"/>
      <c r="F1112" s="60"/>
      <c r="G1112" s="60"/>
      <c r="H1112" s="60"/>
      <c r="I1112" s="60"/>
      <c r="J1112" s="114"/>
      <c r="K1112" s="60"/>
      <c r="L1112" s="109"/>
      <c r="M1112" s="109"/>
      <c r="N1112" s="109"/>
      <c r="O1112" s="109"/>
      <c r="P1112" s="109"/>
      <c r="Q1112" s="109"/>
      <c r="S1112" s="111"/>
      <c r="T1112" s="60"/>
      <c r="U1112" s="112"/>
    </row>
    <row r="1113" spans="4:21" s="110" customFormat="1" ht="15.75" customHeight="1">
      <c r="D1113" s="113"/>
      <c r="E1113" s="60"/>
      <c r="F1113" s="60"/>
      <c r="G1113" s="60"/>
      <c r="H1113" s="60"/>
      <c r="I1113" s="60"/>
      <c r="J1113" s="114"/>
      <c r="K1113" s="60"/>
      <c r="L1113" s="109"/>
      <c r="M1113" s="109"/>
      <c r="N1113" s="109"/>
      <c r="O1113" s="109"/>
      <c r="P1113" s="109"/>
      <c r="Q1113" s="109"/>
      <c r="S1113" s="111"/>
      <c r="T1113" s="60"/>
      <c r="U1113" s="112"/>
    </row>
    <row r="1114" spans="4:21" s="110" customFormat="1" ht="15.75" customHeight="1">
      <c r="D1114" s="113"/>
      <c r="E1114" s="60"/>
      <c r="F1114" s="60"/>
      <c r="G1114" s="60"/>
      <c r="H1114" s="60"/>
      <c r="I1114" s="60"/>
      <c r="J1114" s="114"/>
      <c r="K1114" s="60"/>
      <c r="L1114" s="109"/>
      <c r="M1114" s="109"/>
      <c r="N1114" s="109"/>
      <c r="O1114" s="109"/>
      <c r="P1114" s="109"/>
      <c r="Q1114" s="109"/>
      <c r="S1114" s="111"/>
      <c r="T1114" s="60"/>
      <c r="U1114" s="112"/>
    </row>
    <row r="1115" spans="4:21" s="110" customFormat="1" ht="15.75" customHeight="1">
      <c r="D1115" s="113"/>
      <c r="E1115" s="60"/>
      <c r="F1115" s="60"/>
      <c r="G1115" s="60"/>
      <c r="H1115" s="60"/>
      <c r="I1115" s="60"/>
      <c r="J1115" s="114"/>
      <c r="K1115" s="60"/>
      <c r="L1115" s="109"/>
      <c r="M1115" s="109"/>
      <c r="N1115" s="109"/>
      <c r="O1115" s="109"/>
      <c r="P1115" s="109"/>
      <c r="Q1115" s="109"/>
      <c r="S1115" s="111"/>
      <c r="T1115" s="60"/>
      <c r="U1115" s="112"/>
    </row>
    <row r="1116" spans="4:21" s="110" customFormat="1" ht="15.75" customHeight="1">
      <c r="D1116" s="113"/>
      <c r="E1116" s="60"/>
      <c r="F1116" s="60"/>
      <c r="G1116" s="60"/>
      <c r="H1116" s="60"/>
      <c r="I1116" s="60"/>
      <c r="J1116" s="114"/>
      <c r="K1116" s="60"/>
      <c r="L1116" s="109"/>
      <c r="M1116" s="109"/>
      <c r="N1116" s="109"/>
      <c r="O1116" s="109"/>
      <c r="P1116" s="109"/>
      <c r="Q1116" s="109"/>
      <c r="S1116" s="111"/>
      <c r="T1116" s="60"/>
      <c r="U1116" s="112"/>
    </row>
    <row r="1117" spans="4:21" s="110" customFormat="1" ht="15.75" customHeight="1">
      <c r="D1117" s="113"/>
      <c r="E1117" s="60"/>
      <c r="F1117" s="60"/>
      <c r="G1117" s="60"/>
      <c r="H1117" s="60"/>
      <c r="I1117" s="60"/>
      <c r="J1117" s="114"/>
      <c r="K1117" s="60"/>
      <c r="L1117" s="109"/>
      <c r="M1117" s="109"/>
      <c r="N1117" s="109"/>
      <c r="O1117" s="109"/>
      <c r="P1117" s="109"/>
      <c r="Q1117" s="109"/>
      <c r="S1117" s="111"/>
      <c r="T1117" s="60"/>
      <c r="U1117" s="112"/>
    </row>
    <row r="1118" spans="4:21" s="110" customFormat="1" ht="15.75" customHeight="1">
      <c r="D1118" s="113"/>
      <c r="E1118" s="60"/>
      <c r="F1118" s="60"/>
      <c r="G1118" s="60"/>
      <c r="H1118" s="60"/>
      <c r="I1118" s="60"/>
      <c r="J1118" s="114"/>
      <c r="K1118" s="60"/>
      <c r="L1118" s="109"/>
      <c r="M1118" s="109"/>
      <c r="N1118" s="109"/>
      <c r="O1118" s="109"/>
      <c r="P1118" s="109"/>
      <c r="Q1118" s="109"/>
      <c r="S1118" s="111"/>
      <c r="T1118" s="60"/>
      <c r="U1118" s="112"/>
    </row>
    <row r="1119" spans="4:21" s="110" customFormat="1" ht="15.75" customHeight="1">
      <c r="D1119" s="113"/>
      <c r="E1119" s="60"/>
      <c r="F1119" s="60"/>
      <c r="G1119" s="60"/>
      <c r="H1119" s="60"/>
      <c r="I1119" s="60"/>
      <c r="J1119" s="114"/>
      <c r="K1119" s="60"/>
      <c r="L1119" s="109"/>
      <c r="M1119" s="109"/>
      <c r="N1119" s="109"/>
      <c r="O1119" s="109"/>
      <c r="P1119" s="109"/>
      <c r="Q1119" s="109"/>
      <c r="S1119" s="111"/>
      <c r="T1119" s="60"/>
      <c r="U1119" s="112"/>
    </row>
    <row r="1120" spans="4:21" s="110" customFormat="1" ht="15.75" customHeight="1">
      <c r="D1120" s="113"/>
      <c r="E1120" s="60"/>
      <c r="F1120" s="60"/>
      <c r="G1120" s="60"/>
      <c r="H1120" s="60"/>
      <c r="I1120" s="60"/>
      <c r="J1120" s="114"/>
      <c r="K1120" s="60"/>
      <c r="L1120" s="109"/>
      <c r="M1120" s="109"/>
      <c r="N1120" s="109"/>
      <c r="O1120" s="109"/>
      <c r="P1120" s="109"/>
      <c r="Q1120" s="109"/>
      <c r="S1120" s="111"/>
      <c r="T1120" s="60"/>
      <c r="U1120" s="112"/>
    </row>
    <row r="1121" spans="4:21" s="110" customFormat="1" ht="15.75" customHeight="1">
      <c r="D1121" s="113"/>
      <c r="E1121" s="60"/>
      <c r="F1121" s="60"/>
      <c r="G1121" s="60"/>
      <c r="H1121" s="60"/>
      <c r="I1121" s="60"/>
      <c r="J1121" s="114"/>
      <c r="K1121" s="60"/>
      <c r="L1121" s="109"/>
      <c r="M1121" s="109"/>
      <c r="N1121" s="109"/>
      <c r="O1121" s="109"/>
      <c r="P1121" s="109"/>
      <c r="Q1121" s="109"/>
      <c r="S1121" s="111"/>
      <c r="T1121" s="60"/>
      <c r="U1121" s="112"/>
    </row>
    <row r="1122" spans="4:21" s="110" customFormat="1" ht="15.75" customHeight="1">
      <c r="D1122" s="113"/>
      <c r="E1122" s="60"/>
      <c r="F1122" s="60"/>
      <c r="G1122" s="60"/>
      <c r="H1122" s="60"/>
      <c r="I1122" s="60"/>
      <c r="J1122" s="114"/>
      <c r="K1122" s="60"/>
      <c r="L1122" s="109"/>
      <c r="M1122" s="109"/>
      <c r="N1122" s="109"/>
      <c r="O1122" s="109"/>
      <c r="P1122" s="109"/>
      <c r="Q1122" s="109"/>
      <c r="S1122" s="111"/>
      <c r="T1122" s="60"/>
      <c r="U1122" s="112"/>
    </row>
    <row r="1123" spans="4:21" s="110" customFormat="1" ht="15.75" customHeight="1">
      <c r="D1123" s="113"/>
      <c r="E1123" s="60"/>
      <c r="F1123" s="60"/>
      <c r="G1123" s="60"/>
      <c r="H1123" s="60"/>
      <c r="I1123" s="60"/>
      <c r="J1123" s="114"/>
      <c r="K1123" s="60"/>
      <c r="L1123" s="109"/>
      <c r="M1123" s="109"/>
      <c r="N1123" s="109"/>
      <c r="O1123" s="109"/>
      <c r="P1123" s="109"/>
      <c r="Q1123" s="109"/>
      <c r="S1123" s="111"/>
      <c r="T1123" s="60"/>
      <c r="U1123" s="112"/>
    </row>
    <row r="1124" spans="4:21" s="110" customFormat="1" ht="15.75" customHeight="1">
      <c r="D1124" s="113"/>
      <c r="E1124" s="60"/>
      <c r="F1124" s="60"/>
      <c r="G1124" s="60"/>
      <c r="H1124" s="60"/>
      <c r="I1124" s="60"/>
      <c r="J1124" s="114"/>
      <c r="K1124" s="60"/>
      <c r="L1124" s="109"/>
      <c r="M1124" s="109"/>
      <c r="N1124" s="109"/>
      <c r="O1124" s="109"/>
      <c r="P1124" s="109"/>
      <c r="Q1124" s="109"/>
      <c r="S1124" s="111"/>
      <c r="T1124" s="60"/>
      <c r="U1124" s="112"/>
    </row>
    <row r="1125" spans="4:21" s="110" customFormat="1" ht="15.75" customHeight="1">
      <c r="D1125" s="113"/>
      <c r="E1125" s="60"/>
      <c r="F1125" s="60"/>
      <c r="G1125" s="60"/>
      <c r="H1125" s="60"/>
      <c r="I1125" s="60"/>
      <c r="J1125" s="114"/>
      <c r="K1125" s="60"/>
      <c r="L1125" s="109"/>
      <c r="M1125" s="109"/>
      <c r="N1125" s="109"/>
      <c r="O1125" s="109"/>
      <c r="P1125" s="109"/>
      <c r="Q1125" s="109"/>
      <c r="S1125" s="111"/>
      <c r="T1125" s="60"/>
      <c r="U1125" s="112"/>
    </row>
    <row r="1126" spans="4:21" s="110" customFormat="1" ht="15.75" customHeight="1">
      <c r="D1126" s="113"/>
      <c r="E1126" s="60"/>
      <c r="F1126" s="60"/>
      <c r="G1126" s="60"/>
      <c r="H1126" s="60"/>
      <c r="I1126" s="60"/>
      <c r="J1126" s="114"/>
      <c r="K1126" s="60"/>
      <c r="L1126" s="109"/>
      <c r="M1126" s="109"/>
      <c r="N1126" s="109"/>
      <c r="O1126" s="109"/>
      <c r="P1126" s="109"/>
      <c r="Q1126" s="109"/>
      <c r="S1126" s="111"/>
      <c r="T1126" s="60"/>
      <c r="U1126" s="112"/>
    </row>
    <row r="1127" spans="4:21" s="110" customFormat="1" ht="15.75" customHeight="1">
      <c r="D1127" s="113"/>
      <c r="E1127" s="60"/>
      <c r="F1127" s="60"/>
      <c r="G1127" s="60"/>
      <c r="H1127" s="60"/>
      <c r="I1127" s="60"/>
      <c r="J1127" s="114"/>
      <c r="K1127" s="60"/>
      <c r="L1127" s="109"/>
      <c r="M1127" s="109"/>
      <c r="N1127" s="109"/>
      <c r="O1127" s="109"/>
      <c r="P1127" s="109"/>
      <c r="Q1127" s="109"/>
      <c r="S1127" s="111"/>
      <c r="T1127" s="60"/>
      <c r="U1127" s="112"/>
    </row>
    <row r="1128" spans="4:21" s="110" customFormat="1" ht="15.75" customHeight="1">
      <c r="D1128" s="113"/>
      <c r="E1128" s="60"/>
      <c r="F1128" s="60"/>
      <c r="G1128" s="60"/>
      <c r="H1128" s="60"/>
      <c r="I1128" s="60"/>
      <c r="J1128" s="114"/>
      <c r="K1128" s="60"/>
      <c r="L1128" s="109"/>
      <c r="M1128" s="109"/>
      <c r="N1128" s="109"/>
      <c r="O1128" s="109"/>
      <c r="P1128" s="109"/>
      <c r="Q1128" s="109"/>
      <c r="S1128" s="111"/>
      <c r="T1128" s="60"/>
      <c r="U1128" s="112"/>
    </row>
    <row r="1129" spans="4:21" s="110" customFormat="1" ht="15.75" customHeight="1">
      <c r="D1129" s="113"/>
      <c r="E1129" s="60"/>
      <c r="F1129" s="60"/>
      <c r="G1129" s="60"/>
      <c r="H1129" s="60"/>
      <c r="I1129" s="60"/>
      <c r="J1129" s="114"/>
      <c r="K1129" s="60"/>
      <c r="L1129" s="109"/>
      <c r="M1129" s="109"/>
      <c r="N1129" s="109"/>
      <c r="O1129" s="109"/>
      <c r="P1129" s="109"/>
      <c r="Q1129" s="109"/>
      <c r="S1129" s="111"/>
      <c r="T1129" s="60"/>
      <c r="U1129" s="112"/>
    </row>
    <row r="1130" spans="4:21" s="110" customFormat="1" ht="15.75" customHeight="1">
      <c r="D1130" s="113"/>
      <c r="E1130" s="60"/>
      <c r="F1130" s="60"/>
      <c r="G1130" s="60"/>
      <c r="H1130" s="60"/>
      <c r="I1130" s="60"/>
      <c r="J1130" s="114"/>
      <c r="K1130" s="60"/>
      <c r="L1130" s="109"/>
      <c r="M1130" s="109"/>
      <c r="N1130" s="109"/>
      <c r="O1130" s="109"/>
      <c r="P1130" s="109"/>
      <c r="Q1130" s="109"/>
      <c r="S1130" s="111"/>
      <c r="T1130" s="60"/>
      <c r="U1130" s="112"/>
    </row>
    <row r="1131" spans="4:21" s="110" customFormat="1" ht="15.75" customHeight="1">
      <c r="D1131" s="113"/>
      <c r="E1131" s="60"/>
      <c r="F1131" s="60"/>
      <c r="G1131" s="60"/>
      <c r="H1131" s="60"/>
      <c r="I1131" s="60"/>
      <c r="J1131" s="114"/>
      <c r="K1131" s="60"/>
      <c r="L1131" s="109"/>
      <c r="M1131" s="109"/>
      <c r="N1131" s="109"/>
      <c r="O1131" s="109"/>
      <c r="P1131" s="109"/>
      <c r="Q1131" s="109"/>
      <c r="S1131" s="111"/>
      <c r="T1131" s="60"/>
      <c r="U1131" s="112"/>
    </row>
    <row r="1132" spans="4:21" s="110" customFormat="1" ht="15.75" customHeight="1">
      <c r="D1132" s="113"/>
      <c r="E1132" s="60"/>
      <c r="F1132" s="60"/>
      <c r="G1132" s="60"/>
      <c r="H1132" s="60"/>
      <c r="I1132" s="60"/>
      <c r="J1132" s="114"/>
      <c r="K1132" s="60"/>
      <c r="L1132" s="109"/>
      <c r="M1132" s="109"/>
      <c r="N1132" s="109"/>
      <c r="O1132" s="109"/>
      <c r="P1132" s="109"/>
      <c r="Q1132" s="109"/>
      <c r="S1132" s="111"/>
      <c r="T1132" s="60"/>
      <c r="U1132" s="112"/>
    </row>
    <row r="1133" spans="4:21" s="110" customFormat="1" ht="15.75" customHeight="1">
      <c r="D1133" s="113"/>
      <c r="E1133" s="60"/>
      <c r="F1133" s="60"/>
      <c r="G1133" s="60"/>
      <c r="H1133" s="60"/>
      <c r="I1133" s="60"/>
      <c r="J1133" s="114"/>
      <c r="K1133" s="60"/>
      <c r="L1133" s="109"/>
      <c r="M1133" s="109"/>
      <c r="N1133" s="109"/>
      <c r="O1133" s="109"/>
      <c r="P1133" s="109"/>
      <c r="Q1133" s="109"/>
      <c r="S1133" s="111"/>
      <c r="T1133" s="60"/>
      <c r="U1133" s="112"/>
    </row>
    <row r="1134" spans="4:21" s="110" customFormat="1" ht="15.75" customHeight="1">
      <c r="D1134" s="113"/>
      <c r="E1134" s="60"/>
      <c r="F1134" s="60"/>
      <c r="G1134" s="60"/>
      <c r="H1134" s="60"/>
      <c r="I1134" s="60"/>
      <c r="J1134" s="114"/>
      <c r="K1134" s="60"/>
      <c r="L1134" s="109"/>
      <c r="M1134" s="109"/>
      <c r="N1134" s="109"/>
      <c r="O1134" s="109"/>
      <c r="P1134" s="109"/>
      <c r="Q1134" s="109"/>
      <c r="S1134" s="111"/>
      <c r="T1134" s="60"/>
      <c r="U1134" s="112"/>
    </row>
    <row r="1135" spans="4:21" s="110" customFormat="1" ht="15.75" customHeight="1">
      <c r="D1135" s="113"/>
      <c r="E1135" s="60"/>
      <c r="F1135" s="60"/>
      <c r="G1135" s="60"/>
      <c r="H1135" s="60"/>
      <c r="I1135" s="60"/>
      <c r="J1135" s="114"/>
      <c r="K1135" s="60"/>
      <c r="L1135" s="109"/>
      <c r="M1135" s="109"/>
      <c r="N1135" s="109"/>
      <c r="O1135" s="109"/>
      <c r="P1135" s="109"/>
      <c r="Q1135" s="109"/>
      <c r="S1135" s="111"/>
      <c r="T1135" s="60"/>
      <c r="U1135" s="112"/>
    </row>
    <row r="1136" spans="4:21" s="110" customFormat="1" ht="15.75" customHeight="1">
      <c r="D1136" s="113"/>
      <c r="E1136" s="60"/>
      <c r="F1136" s="60"/>
      <c r="G1136" s="60"/>
      <c r="H1136" s="60"/>
      <c r="I1136" s="60"/>
      <c r="J1136" s="114"/>
      <c r="K1136" s="60"/>
      <c r="L1136" s="109"/>
      <c r="M1136" s="109"/>
      <c r="N1136" s="109"/>
      <c r="O1136" s="109"/>
      <c r="P1136" s="109"/>
      <c r="Q1136" s="109"/>
      <c r="S1136" s="111"/>
      <c r="T1136" s="60"/>
      <c r="U1136" s="112"/>
    </row>
    <row r="1137" spans="4:21" s="110" customFormat="1" ht="15.75" customHeight="1">
      <c r="D1137" s="113"/>
      <c r="E1137" s="60"/>
      <c r="F1137" s="60"/>
      <c r="G1137" s="60"/>
      <c r="H1137" s="60"/>
      <c r="I1137" s="60"/>
      <c r="J1137" s="114"/>
      <c r="K1137" s="60"/>
      <c r="L1137" s="109"/>
      <c r="M1137" s="109"/>
      <c r="N1137" s="109"/>
      <c r="O1137" s="109"/>
      <c r="P1137" s="109"/>
      <c r="Q1137" s="109"/>
      <c r="S1137" s="111"/>
      <c r="T1137" s="60"/>
      <c r="U1137" s="112"/>
    </row>
    <row r="1138" spans="4:21" s="110" customFormat="1" ht="15.75" customHeight="1">
      <c r="D1138" s="113"/>
      <c r="E1138" s="60"/>
      <c r="F1138" s="60"/>
      <c r="G1138" s="60"/>
      <c r="H1138" s="60"/>
      <c r="I1138" s="60"/>
      <c r="J1138" s="114"/>
      <c r="K1138" s="60"/>
      <c r="L1138" s="109"/>
      <c r="M1138" s="109"/>
      <c r="N1138" s="109"/>
      <c r="O1138" s="109"/>
      <c r="P1138" s="109"/>
      <c r="Q1138" s="109"/>
      <c r="S1138" s="111"/>
      <c r="T1138" s="60"/>
      <c r="U1138" s="112"/>
    </row>
    <row r="1139" spans="4:21" s="110" customFormat="1" ht="15.75" customHeight="1">
      <c r="D1139" s="113"/>
      <c r="E1139" s="60"/>
      <c r="F1139" s="60"/>
      <c r="G1139" s="60"/>
      <c r="H1139" s="60"/>
      <c r="I1139" s="60"/>
      <c r="J1139" s="114"/>
      <c r="K1139" s="60"/>
      <c r="L1139" s="109"/>
      <c r="M1139" s="109"/>
      <c r="N1139" s="109"/>
      <c r="O1139" s="109"/>
      <c r="P1139" s="109"/>
      <c r="Q1139" s="109"/>
      <c r="S1139" s="111"/>
      <c r="T1139" s="60"/>
      <c r="U1139" s="112"/>
    </row>
    <row r="1140" spans="4:21" s="110" customFormat="1" ht="15.75" customHeight="1">
      <c r="D1140" s="113"/>
      <c r="E1140" s="60"/>
      <c r="F1140" s="60"/>
      <c r="G1140" s="60"/>
      <c r="H1140" s="60"/>
      <c r="I1140" s="60"/>
      <c r="J1140" s="114"/>
      <c r="K1140" s="60"/>
      <c r="L1140" s="109"/>
      <c r="M1140" s="109"/>
      <c r="N1140" s="109"/>
      <c r="O1140" s="109"/>
      <c r="P1140" s="109"/>
      <c r="Q1140" s="109"/>
      <c r="S1140" s="111"/>
      <c r="T1140" s="60"/>
      <c r="U1140" s="112"/>
    </row>
    <row r="1141" spans="4:21" s="110" customFormat="1" ht="15.75" customHeight="1">
      <c r="D1141" s="113"/>
      <c r="E1141" s="60"/>
      <c r="F1141" s="60"/>
      <c r="G1141" s="60"/>
      <c r="H1141" s="60"/>
      <c r="I1141" s="60"/>
      <c r="J1141" s="114"/>
      <c r="K1141" s="60"/>
      <c r="L1141" s="109"/>
      <c r="M1141" s="109"/>
      <c r="N1141" s="109"/>
      <c r="O1141" s="109"/>
      <c r="P1141" s="109"/>
      <c r="Q1141" s="109"/>
      <c r="S1141" s="111"/>
      <c r="T1141" s="60"/>
      <c r="U1141" s="112"/>
    </row>
    <row r="1142" spans="4:21" s="110" customFormat="1" ht="15.75" customHeight="1">
      <c r="D1142" s="113"/>
      <c r="E1142" s="60"/>
      <c r="F1142" s="60"/>
      <c r="G1142" s="60"/>
      <c r="H1142" s="60"/>
      <c r="I1142" s="60"/>
      <c r="J1142" s="114"/>
      <c r="K1142" s="60"/>
      <c r="L1142" s="109"/>
      <c r="M1142" s="109"/>
      <c r="N1142" s="109"/>
      <c r="O1142" s="109"/>
      <c r="P1142" s="109"/>
      <c r="Q1142" s="109"/>
      <c r="S1142" s="111"/>
      <c r="T1142" s="60"/>
      <c r="U1142" s="112"/>
    </row>
    <row r="1143" spans="4:21" s="110" customFormat="1" ht="15.75" customHeight="1">
      <c r="D1143" s="113"/>
      <c r="E1143" s="60"/>
      <c r="F1143" s="60"/>
      <c r="G1143" s="60"/>
      <c r="H1143" s="60"/>
      <c r="I1143" s="60"/>
      <c r="J1143" s="114"/>
      <c r="K1143" s="60"/>
      <c r="L1143" s="109"/>
      <c r="M1143" s="109"/>
      <c r="N1143" s="109"/>
      <c r="O1143" s="109"/>
      <c r="P1143" s="109"/>
      <c r="Q1143" s="109"/>
      <c r="S1143" s="111"/>
      <c r="T1143" s="60"/>
      <c r="U1143" s="112"/>
    </row>
    <row r="1144" spans="4:21" s="110" customFormat="1" ht="15.75" customHeight="1">
      <c r="D1144" s="113"/>
      <c r="E1144" s="60"/>
      <c r="F1144" s="60"/>
      <c r="G1144" s="60"/>
      <c r="H1144" s="60"/>
      <c r="I1144" s="60"/>
      <c r="J1144" s="114"/>
      <c r="K1144" s="60"/>
      <c r="L1144" s="109"/>
      <c r="M1144" s="109"/>
      <c r="N1144" s="109"/>
      <c r="O1144" s="109"/>
      <c r="P1144" s="109"/>
      <c r="Q1144" s="109"/>
      <c r="S1144" s="111"/>
      <c r="T1144" s="60"/>
      <c r="U1144" s="112"/>
    </row>
    <row r="1145" spans="4:21" s="110" customFormat="1" ht="15.75" customHeight="1">
      <c r="D1145" s="113"/>
      <c r="E1145" s="60"/>
      <c r="F1145" s="60"/>
      <c r="G1145" s="60"/>
      <c r="H1145" s="60"/>
      <c r="I1145" s="60"/>
      <c r="J1145" s="114"/>
      <c r="K1145" s="60"/>
      <c r="L1145" s="109"/>
      <c r="M1145" s="109"/>
      <c r="N1145" s="109"/>
      <c r="O1145" s="109"/>
      <c r="P1145" s="109"/>
      <c r="Q1145" s="109"/>
      <c r="S1145" s="111"/>
      <c r="T1145" s="60"/>
      <c r="U1145" s="112"/>
    </row>
    <row r="1146" spans="4:21" s="110" customFormat="1" ht="15.75" customHeight="1">
      <c r="D1146" s="113"/>
      <c r="E1146" s="60"/>
      <c r="F1146" s="60"/>
      <c r="G1146" s="60"/>
      <c r="H1146" s="60"/>
      <c r="I1146" s="60"/>
      <c r="J1146" s="114"/>
      <c r="K1146" s="60"/>
      <c r="L1146" s="109"/>
      <c r="M1146" s="109"/>
      <c r="N1146" s="109"/>
      <c r="O1146" s="109"/>
      <c r="P1146" s="109"/>
      <c r="Q1146" s="109"/>
      <c r="S1146" s="111"/>
      <c r="T1146" s="60"/>
      <c r="U1146" s="112"/>
    </row>
    <row r="1147" spans="4:21" s="110" customFormat="1" ht="15.75" customHeight="1">
      <c r="D1147" s="113"/>
      <c r="E1147" s="60"/>
      <c r="F1147" s="60"/>
      <c r="G1147" s="60"/>
      <c r="H1147" s="60"/>
      <c r="I1147" s="60"/>
      <c r="J1147" s="114"/>
      <c r="K1147" s="60"/>
      <c r="L1147" s="109"/>
      <c r="M1147" s="109"/>
      <c r="N1147" s="109"/>
      <c r="O1147" s="109"/>
      <c r="P1147" s="109"/>
      <c r="Q1147" s="109"/>
      <c r="S1147" s="111"/>
      <c r="T1147" s="60"/>
      <c r="U1147" s="112"/>
    </row>
    <row r="1148" spans="4:21" s="110" customFormat="1" ht="15.75" customHeight="1">
      <c r="D1148" s="113"/>
      <c r="E1148" s="60"/>
      <c r="F1148" s="60"/>
      <c r="G1148" s="60"/>
      <c r="H1148" s="60"/>
      <c r="I1148" s="60"/>
      <c r="J1148" s="114"/>
      <c r="K1148" s="60"/>
      <c r="L1148" s="109"/>
      <c r="M1148" s="109"/>
      <c r="N1148" s="109"/>
      <c r="O1148" s="109"/>
      <c r="P1148" s="109"/>
      <c r="Q1148" s="109"/>
      <c r="S1148" s="111"/>
      <c r="T1148" s="60"/>
      <c r="U1148" s="112"/>
    </row>
    <row r="1149" spans="4:21" s="110" customFormat="1" ht="15.75" customHeight="1">
      <c r="D1149" s="113"/>
      <c r="E1149" s="60"/>
      <c r="F1149" s="60"/>
      <c r="G1149" s="60"/>
      <c r="H1149" s="60"/>
      <c r="I1149" s="60"/>
      <c r="J1149" s="114"/>
      <c r="K1149" s="60"/>
      <c r="L1149" s="109"/>
      <c r="M1149" s="109"/>
      <c r="N1149" s="109"/>
      <c r="O1149" s="109"/>
      <c r="P1149" s="109"/>
      <c r="Q1149" s="109"/>
      <c r="S1149" s="111"/>
      <c r="T1149" s="60"/>
      <c r="U1149" s="112"/>
    </row>
    <row r="1150" spans="4:21" s="110" customFormat="1" ht="15.75" customHeight="1">
      <c r="D1150" s="113"/>
      <c r="E1150" s="60"/>
      <c r="F1150" s="60"/>
      <c r="G1150" s="60"/>
      <c r="H1150" s="60"/>
      <c r="I1150" s="60"/>
      <c r="J1150" s="114"/>
      <c r="K1150" s="60"/>
      <c r="L1150" s="109"/>
      <c r="M1150" s="109"/>
      <c r="N1150" s="109"/>
      <c r="O1150" s="109"/>
      <c r="P1150" s="109"/>
      <c r="Q1150" s="109"/>
      <c r="S1150" s="111"/>
      <c r="T1150" s="60"/>
      <c r="U1150" s="112"/>
    </row>
    <row r="1151" spans="4:21" s="110" customFormat="1" ht="15.75" customHeight="1">
      <c r="D1151" s="113"/>
      <c r="E1151" s="60"/>
      <c r="F1151" s="60"/>
      <c r="G1151" s="60"/>
      <c r="H1151" s="60"/>
      <c r="I1151" s="60"/>
      <c r="J1151" s="114"/>
      <c r="K1151" s="60"/>
      <c r="L1151" s="109"/>
      <c r="M1151" s="109"/>
      <c r="N1151" s="109"/>
      <c r="O1151" s="109"/>
      <c r="P1151" s="109"/>
      <c r="Q1151" s="109"/>
      <c r="S1151" s="111"/>
      <c r="T1151" s="60"/>
      <c r="U1151" s="112"/>
    </row>
    <row r="1152" spans="4:21" s="110" customFormat="1" ht="15.75" customHeight="1">
      <c r="D1152" s="113"/>
      <c r="E1152" s="60"/>
      <c r="F1152" s="60"/>
      <c r="G1152" s="60"/>
      <c r="H1152" s="60"/>
      <c r="I1152" s="60"/>
      <c r="J1152" s="114"/>
      <c r="K1152" s="60"/>
      <c r="L1152" s="109"/>
      <c r="M1152" s="109"/>
      <c r="N1152" s="109"/>
      <c r="O1152" s="109"/>
      <c r="P1152" s="109"/>
      <c r="Q1152" s="109"/>
      <c r="S1152" s="111"/>
      <c r="T1152" s="60"/>
      <c r="U1152" s="112"/>
    </row>
    <row r="1153" spans="4:21" s="110" customFormat="1" ht="15.75" customHeight="1">
      <c r="D1153" s="113"/>
      <c r="E1153" s="60"/>
      <c r="F1153" s="60"/>
      <c r="G1153" s="60"/>
      <c r="H1153" s="60"/>
      <c r="I1153" s="60"/>
      <c r="J1153" s="114"/>
      <c r="K1153" s="60"/>
      <c r="L1153" s="109"/>
      <c r="M1153" s="109"/>
      <c r="N1153" s="109"/>
      <c r="O1153" s="109"/>
      <c r="P1153" s="109"/>
      <c r="Q1153" s="109"/>
      <c r="S1153" s="111"/>
      <c r="T1153" s="60"/>
      <c r="U1153" s="112"/>
    </row>
    <row r="1154" spans="4:21" s="110" customFormat="1" ht="15.75" customHeight="1">
      <c r="D1154" s="113"/>
      <c r="E1154" s="60"/>
      <c r="F1154" s="60"/>
      <c r="G1154" s="60"/>
      <c r="H1154" s="60"/>
      <c r="I1154" s="60"/>
      <c r="J1154" s="114"/>
      <c r="K1154" s="60"/>
      <c r="L1154" s="109"/>
      <c r="M1154" s="109"/>
      <c r="N1154" s="109"/>
      <c r="O1154" s="109"/>
      <c r="P1154" s="109"/>
      <c r="Q1154" s="109"/>
      <c r="S1154" s="111"/>
      <c r="T1154" s="60"/>
      <c r="U1154" s="112"/>
    </row>
    <row r="1155" spans="4:21" s="110" customFormat="1" ht="15.75" customHeight="1">
      <c r="D1155" s="113"/>
      <c r="E1155" s="60"/>
      <c r="F1155" s="60"/>
      <c r="G1155" s="60"/>
      <c r="H1155" s="60"/>
      <c r="I1155" s="60"/>
      <c r="J1155" s="114"/>
      <c r="K1155" s="60"/>
      <c r="L1155" s="109"/>
      <c r="M1155" s="109"/>
      <c r="N1155" s="109"/>
      <c r="O1155" s="109"/>
      <c r="P1155" s="109"/>
      <c r="Q1155" s="109"/>
      <c r="S1155" s="111"/>
      <c r="T1155" s="60"/>
      <c r="U1155" s="112"/>
    </row>
    <row r="1156" spans="4:21" s="110" customFormat="1" ht="15.75" customHeight="1">
      <c r="D1156" s="113"/>
      <c r="E1156" s="60"/>
      <c r="F1156" s="60"/>
      <c r="G1156" s="60"/>
      <c r="H1156" s="60"/>
      <c r="I1156" s="60"/>
      <c r="J1156" s="114"/>
      <c r="K1156" s="60"/>
      <c r="L1156" s="109"/>
      <c r="M1156" s="109"/>
      <c r="N1156" s="109"/>
      <c r="O1156" s="109"/>
      <c r="P1156" s="109"/>
      <c r="Q1156" s="109"/>
      <c r="S1156" s="111"/>
      <c r="T1156" s="60"/>
      <c r="U1156" s="112"/>
    </row>
    <row r="1157" spans="4:21" s="110" customFormat="1" ht="15.75" customHeight="1">
      <c r="D1157" s="113"/>
      <c r="E1157" s="60"/>
      <c r="F1157" s="60"/>
      <c r="G1157" s="60"/>
      <c r="H1157" s="60"/>
      <c r="I1157" s="60"/>
      <c r="J1157" s="114"/>
      <c r="K1157" s="60"/>
      <c r="L1157" s="109"/>
      <c r="M1157" s="109"/>
      <c r="N1157" s="109"/>
      <c r="O1157" s="109"/>
      <c r="P1157" s="109"/>
      <c r="Q1157" s="109"/>
      <c r="S1157" s="111"/>
      <c r="T1157" s="60"/>
      <c r="U1157" s="112"/>
    </row>
    <row r="1158" spans="4:21" s="110" customFormat="1" ht="15.75" customHeight="1">
      <c r="D1158" s="113"/>
      <c r="E1158" s="60"/>
      <c r="F1158" s="60"/>
      <c r="G1158" s="60"/>
      <c r="H1158" s="60"/>
      <c r="I1158" s="60"/>
      <c r="J1158" s="114"/>
      <c r="K1158" s="60"/>
      <c r="L1158" s="109"/>
      <c r="M1158" s="109"/>
      <c r="N1158" s="109"/>
      <c r="O1158" s="109"/>
      <c r="P1158" s="109"/>
      <c r="Q1158" s="109"/>
      <c r="S1158" s="111"/>
      <c r="T1158" s="60"/>
      <c r="U1158" s="112"/>
    </row>
    <row r="1159" spans="4:21" s="110" customFormat="1" ht="15.75" customHeight="1">
      <c r="D1159" s="113"/>
      <c r="E1159" s="60"/>
      <c r="F1159" s="60"/>
      <c r="G1159" s="60"/>
      <c r="H1159" s="60"/>
      <c r="I1159" s="60"/>
      <c r="J1159" s="114"/>
      <c r="K1159" s="60"/>
      <c r="L1159" s="109"/>
      <c r="M1159" s="109"/>
      <c r="N1159" s="109"/>
      <c r="O1159" s="109"/>
      <c r="P1159" s="109"/>
      <c r="Q1159" s="109"/>
      <c r="S1159" s="111"/>
      <c r="T1159" s="60"/>
      <c r="U1159" s="112"/>
    </row>
    <row r="1160" spans="4:21" s="110" customFormat="1" ht="15.75" customHeight="1">
      <c r="D1160" s="113"/>
      <c r="E1160" s="60"/>
      <c r="F1160" s="60"/>
      <c r="G1160" s="60"/>
      <c r="H1160" s="60"/>
      <c r="I1160" s="60"/>
      <c r="J1160" s="114"/>
      <c r="K1160" s="60"/>
      <c r="L1160" s="109"/>
      <c r="M1160" s="109"/>
      <c r="N1160" s="109"/>
      <c r="O1160" s="109"/>
      <c r="P1160" s="109"/>
      <c r="Q1160" s="109"/>
      <c r="S1160" s="111"/>
      <c r="T1160" s="60"/>
      <c r="U1160" s="112"/>
    </row>
    <row r="1161" spans="4:21" s="110" customFormat="1" ht="15.75" customHeight="1">
      <c r="D1161" s="113"/>
      <c r="E1161" s="60"/>
      <c r="F1161" s="60"/>
      <c r="G1161" s="60"/>
      <c r="H1161" s="60"/>
      <c r="I1161" s="60"/>
      <c r="J1161" s="114"/>
      <c r="K1161" s="60"/>
      <c r="L1161" s="109"/>
      <c r="M1161" s="109"/>
      <c r="N1161" s="109"/>
      <c r="O1161" s="109"/>
      <c r="P1161" s="109"/>
      <c r="Q1161" s="109"/>
      <c r="S1161" s="111"/>
      <c r="T1161" s="60"/>
      <c r="U1161" s="112"/>
    </row>
    <row r="1162" spans="4:21" s="110" customFormat="1" ht="15.75" customHeight="1">
      <c r="D1162" s="113"/>
      <c r="E1162" s="60"/>
      <c r="F1162" s="60"/>
      <c r="G1162" s="60"/>
      <c r="H1162" s="60"/>
      <c r="I1162" s="60"/>
      <c r="J1162" s="114"/>
      <c r="K1162" s="60"/>
      <c r="L1162" s="109"/>
      <c r="M1162" s="109"/>
      <c r="N1162" s="109"/>
      <c r="O1162" s="109"/>
      <c r="P1162" s="109"/>
      <c r="Q1162" s="109"/>
      <c r="S1162" s="111"/>
      <c r="T1162" s="60"/>
      <c r="U1162" s="112"/>
    </row>
    <row r="1163" spans="4:21" s="110" customFormat="1" ht="15.75" customHeight="1">
      <c r="D1163" s="113"/>
      <c r="E1163" s="60"/>
      <c r="F1163" s="60"/>
      <c r="G1163" s="60"/>
      <c r="H1163" s="60"/>
      <c r="I1163" s="60"/>
      <c r="J1163" s="114"/>
      <c r="K1163" s="60"/>
      <c r="L1163" s="109"/>
      <c r="M1163" s="109"/>
      <c r="N1163" s="109"/>
      <c r="O1163" s="109"/>
      <c r="P1163" s="109"/>
      <c r="Q1163" s="109"/>
      <c r="S1163" s="111"/>
      <c r="T1163" s="60"/>
      <c r="U1163" s="112"/>
    </row>
    <row r="1164" spans="4:21" s="110" customFormat="1" ht="15.75" customHeight="1">
      <c r="D1164" s="113"/>
      <c r="E1164" s="60"/>
      <c r="F1164" s="60"/>
      <c r="G1164" s="60"/>
      <c r="H1164" s="60"/>
      <c r="I1164" s="60"/>
      <c r="J1164" s="114"/>
      <c r="K1164" s="60"/>
      <c r="L1164" s="109"/>
      <c r="M1164" s="109"/>
      <c r="N1164" s="109"/>
      <c r="O1164" s="109"/>
      <c r="P1164" s="109"/>
      <c r="Q1164" s="109"/>
      <c r="S1164" s="111"/>
      <c r="T1164" s="60"/>
      <c r="U1164" s="112"/>
    </row>
    <row r="1165" spans="4:21" s="110" customFormat="1" ht="15.75" customHeight="1">
      <c r="D1165" s="113"/>
      <c r="E1165" s="60"/>
      <c r="F1165" s="60"/>
      <c r="G1165" s="60"/>
      <c r="H1165" s="60"/>
      <c r="I1165" s="60"/>
      <c r="J1165" s="114"/>
      <c r="K1165" s="60"/>
      <c r="L1165" s="109"/>
      <c r="M1165" s="109"/>
      <c r="N1165" s="109"/>
      <c r="O1165" s="109"/>
      <c r="P1165" s="109"/>
      <c r="Q1165" s="109"/>
      <c r="S1165" s="111"/>
      <c r="T1165" s="60"/>
      <c r="U1165" s="112"/>
    </row>
    <row r="1166" spans="4:21" s="110" customFormat="1" ht="15.75" customHeight="1">
      <c r="D1166" s="113"/>
      <c r="E1166" s="60"/>
      <c r="F1166" s="60"/>
      <c r="G1166" s="60"/>
      <c r="H1166" s="60"/>
      <c r="I1166" s="60"/>
      <c r="J1166" s="114"/>
      <c r="K1166" s="60"/>
      <c r="L1166" s="109"/>
      <c r="M1166" s="109"/>
      <c r="N1166" s="109"/>
      <c r="O1166" s="109"/>
      <c r="P1166" s="109"/>
      <c r="Q1166" s="109"/>
      <c r="S1166" s="111"/>
      <c r="T1166" s="60"/>
      <c r="U1166" s="112"/>
    </row>
    <row r="1167" spans="4:21" s="110" customFormat="1" ht="15.75" customHeight="1">
      <c r="D1167" s="113"/>
      <c r="E1167" s="60"/>
      <c r="F1167" s="60"/>
      <c r="G1167" s="60"/>
      <c r="H1167" s="60"/>
      <c r="I1167" s="60"/>
      <c r="J1167" s="114"/>
      <c r="K1167" s="60"/>
      <c r="L1167" s="109"/>
      <c r="M1167" s="109"/>
      <c r="N1167" s="109"/>
      <c r="O1167" s="109"/>
      <c r="P1167" s="109"/>
      <c r="Q1167" s="109"/>
      <c r="S1167" s="111"/>
      <c r="T1167" s="60"/>
      <c r="U1167" s="112"/>
    </row>
    <row r="1168" spans="4:21" s="110" customFormat="1" ht="15.75" customHeight="1">
      <c r="D1168" s="113"/>
      <c r="E1168" s="60"/>
      <c r="F1168" s="60"/>
      <c r="G1168" s="60"/>
      <c r="H1168" s="60"/>
      <c r="I1168" s="60"/>
      <c r="J1168" s="114"/>
      <c r="K1168" s="60"/>
      <c r="L1168" s="109"/>
      <c r="M1168" s="109"/>
      <c r="N1168" s="109"/>
      <c r="O1168" s="109"/>
      <c r="P1168" s="109"/>
      <c r="Q1168" s="109"/>
      <c r="S1168" s="111"/>
      <c r="T1168" s="60"/>
      <c r="U1168" s="112"/>
    </row>
    <row r="1169" spans="4:21" s="110" customFormat="1" ht="15.75" customHeight="1">
      <c r="D1169" s="113"/>
      <c r="E1169" s="60"/>
      <c r="F1169" s="60"/>
      <c r="G1169" s="60"/>
      <c r="H1169" s="60"/>
      <c r="I1169" s="60"/>
      <c r="J1169" s="114"/>
      <c r="K1169" s="60"/>
      <c r="L1169" s="109"/>
      <c r="M1169" s="109"/>
      <c r="N1169" s="109"/>
      <c r="O1169" s="109"/>
      <c r="P1169" s="109"/>
      <c r="Q1169" s="109"/>
      <c r="S1169" s="111"/>
      <c r="T1169" s="60"/>
      <c r="U1169" s="112"/>
    </row>
    <row r="1170" spans="4:21" s="110" customFormat="1" ht="15.75" customHeight="1">
      <c r="D1170" s="113"/>
      <c r="E1170" s="60"/>
      <c r="F1170" s="60"/>
      <c r="G1170" s="60"/>
      <c r="H1170" s="60"/>
      <c r="I1170" s="60"/>
      <c r="J1170" s="114"/>
      <c r="K1170" s="60"/>
      <c r="L1170" s="109"/>
      <c r="M1170" s="109"/>
      <c r="N1170" s="109"/>
      <c r="O1170" s="109"/>
      <c r="P1170" s="109"/>
      <c r="Q1170" s="109"/>
      <c r="S1170" s="111"/>
      <c r="T1170" s="60"/>
      <c r="U1170" s="112"/>
    </row>
    <row r="1171" spans="4:21" s="110" customFormat="1" ht="15.75" customHeight="1">
      <c r="D1171" s="113"/>
      <c r="E1171" s="60"/>
      <c r="F1171" s="60"/>
      <c r="G1171" s="60"/>
      <c r="H1171" s="60"/>
      <c r="I1171" s="60"/>
      <c r="J1171" s="114"/>
      <c r="K1171" s="60"/>
      <c r="L1171" s="109"/>
      <c r="M1171" s="109"/>
      <c r="N1171" s="109"/>
      <c r="O1171" s="109"/>
      <c r="P1171" s="109"/>
      <c r="Q1171" s="109"/>
      <c r="S1171" s="111"/>
      <c r="T1171" s="60"/>
      <c r="U1171" s="112"/>
    </row>
    <row r="1172" spans="4:21" s="110" customFormat="1" ht="15.75" customHeight="1">
      <c r="D1172" s="113"/>
      <c r="E1172" s="60"/>
      <c r="F1172" s="60"/>
      <c r="G1172" s="60"/>
      <c r="H1172" s="60"/>
      <c r="I1172" s="60"/>
      <c r="J1172" s="114"/>
      <c r="K1172" s="60"/>
      <c r="L1172" s="109"/>
      <c r="M1172" s="109"/>
      <c r="N1172" s="109"/>
      <c r="O1172" s="109"/>
      <c r="P1172" s="109"/>
      <c r="Q1172" s="109"/>
      <c r="S1172" s="111"/>
      <c r="T1172" s="60"/>
      <c r="U1172" s="112"/>
    </row>
    <row r="1173" spans="4:21" s="110" customFormat="1" ht="15.75" customHeight="1">
      <c r="D1173" s="113"/>
      <c r="E1173" s="60"/>
      <c r="F1173" s="60"/>
      <c r="G1173" s="60"/>
      <c r="H1173" s="60"/>
      <c r="I1173" s="60"/>
      <c r="J1173" s="114"/>
      <c r="K1173" s="60"/>
      <c r="L1173" s="109"/>
      <c r="M1173" s="109"/>
      <c r="N1173" s="109"/>
      <c r="O1173" s="109"/>
      <c r="P1173" s="109"/>
      <c r="Q1173" s="109"/>
      <c r="S1173" s="111"/>
      <c r="T1173" s="60"/>
      <c r="U1173" s="112"/>
    </row>
    <row r="1174" spans="4:21" s="110" customFormat="1" ht="15.75" customHeight="1">
      <c r="D1174" s="113"/>
      <c r="E1174" s="60"/>
      <c r="F1174" s="60"/>
      <c r="G1174" s="60"/>
      <c r="H1174" s="60"/>
      <c r="I1174" s="60"/>
      <c r="J1174" s="114"/>
      <c r="K1174" s="60"/>
      <c r="L1174" s="109"/>
      <c r="M1174" s="109"/>
      <c r="N1174" s="109"/>
      <c r="O1174" s="109"/>
      <c r="P1174" s="109"/>
      <c r="Q1174" s="109"/>
      <c r="S1174" s="111"/>
      <c r="T1174" s="60"/>
      <c r="U1174" s="112"/>
    </row>
    <row r="1175" spans="4:21" s="110" customFormat="1" ht="15.75" customHeight="1">
      <c r="D1175" s="113"/>
      <c r="E1175" s="60"/>
      <c r="F1175" s="60"/>
      <c r="G1175" s="60"/>
      <c r="H1175" s="60"/>
      <c r="I1175" s="60"/>
      <c r="J1175" s="114"/>
      <c r="K1175" s="60"/>
      <c r="L1175" s="109"/>
      <c r="M1175" s="109"/>
      <c r="N1175" s="109"/>
      <c r="O1175" s="109"/>
      <c r="P1175" s="109"/>
      <c r="Q1175" s="109"/>
      <c r="S1175" s="111"/>
      <c r="T1175" s="60"/>
      <c r="U1175" s="112"/>
    </row>
    <row r="1176" spans="4:21" s="110" customFormat="1" ht="15.75" customHeight="1">
      <c r="D1176" s="113"/>
      <c r="E1176" s="60"/>
      <c r="F1176" s="60"/>
      <c r="G1176" s="60"/>
      <c r="H1176" s="60"/>
      <c r="I1176" s="60"/>
      <c r="J1176" s="114"/>
      <c r="K1176" s="60"/>
      <c r="L1176" s="109"/>
      <c r="M1176" s="109"/>
      <c r="N1176" s="109"/>
      <c r="O1176" s="109"/>
      <c r="P1176" s="109"/>
      <c r="Q1176" s="109"/>
      <c r="S1176" s="111"/>
      <c r="T1176" s="60"/>
      <c r="U1176" s="112"/>
    </row>
    <row r="1177" spans="4:21" s="110" customFormat="1" ht="15.75" customHeight="1">
      <c r="D1177" s="113"/>
      <c r="E1177" s="60"/>
      <c r="F1177" s="60"/>
      <c r="G1177" s="60"/>
      <c r="H1177" s="60"/>
      <c r="I1177" s="60"/>
      <c r="J1177" s="114"/>
      <c r="K1177" s="60"/>
      <c r="L1177" s="109"/>
      <c r="M1177" s="109"/>
      <c r="N1177" s="109"/>
      <c r="O1177" s="109"/>
      <c r="P1177" s="109"/>
      <c r="Q1177" s="109"/>
      <c r="S1177" s="111"/>
      <c r="T1177" s="60"/>
      <c r="U1177" s="112"/>
    </row>
    <row r="1178" spans="4:21" s="110" customFormat="1" ht="15.75" customHeight="1">
      <c r="D1178" s="113"/>
      <c r="E1178" s="60"/>
      <c r="F1178" s="60"/>
      <c r="G1178" s="60"/>
      <c r="H1178" s="60"/>
      <c r="I1178" s="60"/>
      <c r="J1178" s="114"/>
      <c r="K1178" s="60"/>
      <c r="L1178" s="109"/>
      <c r="M1178" s="109"/>
      <c r="N1178" s="109"/>
      <c r="O1178" s="109"/>
      <c r="P1178" s="109"/>
      <c r="Q1178" s="109"/>
      <c r="S1178" s="111"/>
      <c r="T1178" s="60"/>
      <c r="U1178" s="112"/>
    </row>
    <row r="1179" spans="4:21" s="110" customFormat="1" ht="15.75" customHeight="1">
      <c r="D1179" s="113"/>
      <c r="E1179" s="60"/>
      <c r="F1179" s="60"/>
      <c r="G1179" s="60"/>
      <c r="H1179" s="60"/>
      <c r="I1179" s="60"/>
      <c r="J1179" s="114"/>
      <c r="K1179" s="60"/>
      <c r="L1179" s="109"/>
      <c r="M1179" s="109"/>
      <c r="N1179" s="109"/>
      <c r="O1179" s="109"/>
      <c r="P1179" s="109"/>
      <c r="Q1179" s="109"/>
      <c r="S1179" s="111"/>
      <c r="T1179" s="60"/>
      <c r="U1179" s="112"/>
    </row>
    <row r="1180" spans="4:21" s="110" customFormat="1" ht="15.75" customHeight="1">
      <c r="D1180" s="113"/>
      <c r="E1180" s="60"/>
      <c r="F1180" s="60"/>
      <c r="G1180" s="60"/>
      <c r="H1180" s="60"/>
      <c r="I1180" s="60"/>
      <c r="J1180" s="114"/>
      <c r="K1180" s="60"/>
      <c r="L1180" s="109"/>
      <c r="M1180" s="109"/>
      <c r="N1180" s="109"/>
      <c r="O1180" s="109"/>
      <c r="P1180" s="109"/>
      <c r="Q1180" s="109"/>
      <c r="S1180" s="111"/>
      <c r="T1180" s="60"/>
      <c r="U1180" s="112"/>
    </row>
    <row r="1181" spans="4:21" s="110" customFormat="1" ht="15.75" customHeight="1">
      <c r="D1181" s="113"/>
      <c r="E1181" s="60"/>
      <c r="F1181" s="60"/>
      <c r="G1181" s="60"/>
      <c r="H1181" s="60"/>
      <c r="I1181" s="60"/>
      <c r="J1181" s="114"/>
      <c r="K1181" s="60"/>
      <c r="L1181" s="109"/>
      <c r="M1181" s="109"/>
      <c r="N1181" s="109"/>
      <c r="O1181" s="109"/>
      <c r="P1181" s="109"/>
      <c r="Q1181" s="109"/>
      <c r="S1181" s="111"/>
      <c r="T1181" s="60"/>
      <c r="U1181" s="112"/>
    </row>
    <row r="1182" spans="4:21" s="110" customFormat="1" ht="15.75" customHeight="1">
      <c r="D1182" s="113"/>
      <c r="E1182" s="60"/>
      <c r="F1182" s="60"/>
      <c r="G1182" s="60"/>
      <c r="H1182" s="60"/>
      <c r="I1182" s="60"/>
      <c r="J1182" s="114"/>
      <c r="K1182" s="60"/>
      <c r="L1182" s="109"/>
      <c r="M1182" s="109"/>
      <c r="N1182" s="109"/>
      <c r="O1182" s="109"/>
      <c r="P1182" s="109"/>
      <c r="Q1182" s="109"/>
      <c r="S1182" s="111"/>
      <c r="T1182" s="60"/>
      <c r="U1182" s="112"/>
    </row>
    <row r="1183" spans="4:21" s="110" customFormat="1" ht="15.75" customHeight="1">
      <c r="D1183" s="113"/>
      <c r="E1183" s="60"/>
      <c r="F1183" s="60"/>
      <c r="G1183" s="60"/>
      <c r="H1183" s="60"/>
      <c r="I1183" s="60"/>
      <c r="J1183" s="114"/>
      <c r="K1183" s="60"/>
      <c r="L1183" s="109"/>
      <c r="M1183" s="109"/>
      <c r="N1183" s="109"/>
      <c r="O1183" s="109"/>
      <c r="P1183" s="109"/>
      <c r="Q1183" s="109"/>
      <c r="S1183" s="111"/>
      <c r="T1183" s="60"/>
      <c r="U1183" s="112"/>
    </row>
    <row r="1184" spans="4:21" s="110" customFormat="1" ht="15.75" customHeight="1">
      <c r="D1184" s="113"/>
      <c r="E1184" s="60"/>
      <c r="F1184" s="60"/>
      <c r="G1184" s="60"/>
      <c r="H1184" s="60"/>
      <c r="I1184" s="60"/>
      <c r="J1184" s="114"/>
      <c r="K1184" s="60"/>
      <c r="L1184" s="109"/>
      <c r="M1184" s="109"/>
      <c r="N1184" s="109"/>
      <c r="O1184" s="109"/>
      <c r="P1184" s="109"/>
      <c r="Q1184" s="109"/>
      <c r="S1184" s="111"/>
      <c r="T1184" s="60"/>
      <c r="U1184" s="112"/>
    </row>
    <row r="1185" spans="4:21" s="110" customFormat="1" ht="15.75" customHeight="1">
      <c r="D1185" s="113"/>
      <c r="E1185" s="60"/>
      <c r="F1185" s="60"/>
      <c r="G1185" s="60"/>
      <c r="H1185" s="60"/>
      <c r="I1185" s="60"/>
      <c r="J1185" s="114"/>
      <c r="K1185" s="60"/>
      <c r="L1185" s="109"/>
      <c r="M1185" s="109"/>
      <c r="N1185" s="109"/>
      <c r="O1185" s="109"/>
      <c r="P1185" s="109"/>
      <c r="Q1185" s="109"/>
      <c r="S1185" s="111"/>
      <c r="T1185" s="60"/>
      <c r="U1185" s="112"/>
    </row>
    <row r="1186" spans="4:21" s="110" customFormat="1" ht="15.75" customHeight="1">
      <c r="D1186" s="113"/>
      <c r="E1186" s="60"/>
      <c r="F1186" s="60"/>
      <c r="G1186" s="60"/>
      <c r="H1186" s="60"/>
      <c r="I1186" s="60"/>
      <c r="J1186" s="114"/>
      <c r="K1186" s="60"/>
      <c r="L1186" s="109"/>
      <c r="M1186" s="109"/>
      <c r="N1186" s="109"/>
      <c r="O1186" s="109"/>
      <c r="P1186" s="109"/>
      <c r="Q1186" s="109"/>
      <c r="S1186" s="111"/>
      <c r="T1186" s="60"/>
      <c r="U1186" s="112"/>
    </row>
    <row r="1187" spans="4:21" s="110" customFormat="1" ht="15.75" customHeight="1">
      <c r="D1187" s="113"/>
      <c r="E1187" s="60"/>
      <c r="F1187" s="60"/>
      <c r="G1187" s="60"/>
      <c r="H1187" s="60"/>
      <c r="I1187" s="60"/>
      <c r="J1187" s="114"/>
      <c r="K1187" s="60"/>
      <c r="L1187" s="109"/>
      <c r="M1187" s="109"/>
      <c r="N1187" s="109"/>
      <c r="O1187" s="109"/>
      <c r="P1187" s="109"/>
      <c r="Q1187" s="109"/>
      <c r="S1187" s="111"/>
      <c r="T1187" s="60"/>
      <c r="U1187" s="112"/>
    </row>
    <row r="1188" spans="4:21" s="110" customFormat="1" ht="15.75" customHeight="1">
      <c r="D1188" s="113"/>
      <c r="E1188" s="60"/>
      <c r="F1188" s="60"/>
      <c r="G1188" s="60"/>
      <c r="H1188" s="60"/>
      <c r="I1188" s="60"/>
      <c r="J1188" s="114"/>
      <c r="K1188" s="60"/>
      <c r="L1188" s="109"/>
      <c r="M1188" s="109"/>
      <c r="N1188" s="109"/>
      <c r="O1188" s="109"/>
      <c r="P1188" s="109"/>
      <c r="Q1188" s="109"/>
      <c r="S1188" s="111"/>
      <c r="T1188" s="60"/>
      <c r="U1188" s="112"/>
    </row>
    <row r="1189" spans="4:21" s="110" customFormat="1" ht="15.75" customHeight="1">
      <c r="D1189" s="113"/>
      <c r="E1189" s="60"/>
      <c r="F1189" s="60"/>
      <c r="G1189" s="60"/>
      <c r="H1189" s="60"/>
      <c r="I1189" s="60"/>
      <c r="J1189" s="114"/>
      <c r="K1189" s="60"/>
      <c r="L1189" s="109"/>
      <c r="M1189" s="109"/>
      <c r="N1189" s="109"/>
      <c r="O1189" s="109"/>
      <c r="P1189" s="109"/>
      <c r="Q1189" s="109"/>
      <c r="S1189" s="111"/>
      <c r="T1189" s="60"/>
      <c r="U1189" s="112"/>
    </row>
    <row r="1190" spans="4:21" s="110" customFormat="1" ht="15.75" customHeight="1">
      <c r="D1190" s="113"/>
      <c r="E1190" s="60"/>
      <c r="F1190" s="60"/>
      <c r="G1190" s="60"/>
      <c r="H1190" s="60"/>
      <c r="I1190" s="60"/>
      <c r="J1190" s="114"/>
      <c r="K1190" s="60"/>
      <c r="L1190" s="109"/>
      <c r="M1190" s="109"/>
      <c r="N1190" s="109"/>
      <c r="O1190" s="109"/>
      <c r="P1190" s="109"/>
      <c r="Q1190" s="109"/>
      <c r="S1190" s="111"/>
      <c r="T1190" s="60"/>
      <c r="U1190" s="112"/>
    </row>
    <row r="1191" spans="4:21" s="110" customFormat="1" ht="15.75" customHeight="1">
      <c r="D1191" s="113"/>
      <c r="E1191" s="60"/>
      <c r="F1191" s="60"/>
      <c r="G1191" s="60"/>
      <c r="H1191" s="60"/>
      <c r="I1191" s="60"/>
      <c r="J1191" s="114"/>
      <c r="K1191" s="60"/>
      <c r="L1191" s="109"/>
      <c r="M1191" s="109"/>
      <c r="N1191" s="109"/>
      <c r="O1191" s="109"/>
      <c r="P1191" s="109"/>
      <c r="Q1191" s="109"/>
      <c r="S1191" s="111"/>
      <c r="T1191" s="60"/>
      <c r="U1191" s="112"/>
    </row>
    <row r="1192" spans="4:21" s="110" customFormat="1" ht="15.75" customHeight="1">
      <c r="D1192" s="113"/>
      <c r="E1192" s="60"/>
      <c r="F1192" s="60"/>
      <c r="G1192" s="60"/>
      <c r="H1192" s="60"/>
      <c r="I1192" s="60"/>
      <c r="J1192" s="114"/>
      <c r="K1192" s="60"/>
      <c r="L1192" s="109"/>
      <c r="M1192" s="109"/>
      <c r="N1192" s="109"/>
      <c r="O1192" s="109"/>
      <c r="P1192" s="109"/>
      <c r="Q1192" s="109"/>
      <c r="S1192" s="111"/>
      <c r="T1192" s="60"/>
      <c r="U1192" s="112"/>
    </row>
    <row r="1193" spans="4:21" s="110" customFormat="1" ht="15.75" customHeight="1">
      <c r="D1193" s="113"/>
      <c r="E1193" s="60"/>
      <c r="F1193" s="60"/>
      <c r="G1193" s="60"/>
      <c r="H1193" s="60"/>
      <c r="I1193" s="60"/>
      <c r="J1193" s="114"/>
      <c r="K1193" s="60"/>
      <c r="L1193" s="109"/>
      <c r="M1193" s="109"/>
      <c r="N1193" s="109"/>
      <c r="O1193" s="109"/>
      <c r="P1193" s="109"/>
      <c r="Q1193" s="109"/>
      <c r="S1193" s="111"/>
      <c r="T1193" s="60"/>
      <c r="U1193" s="112"/>
    </row>
    <row r="1194" spans="4:21" s="110" customFormat="1" ht="15.75" customHeight="1">
      <c r="D1194" s="113"/>
      <c r="E1194" s="60"/>
      <c r="F1194" s="60"/>
      <c r="G1194" s="60"/>
      <c r="H1194" s="60"/>
      <c r="I1194" s="60"/>
      <c r="J1194" s="114"/>
      <c r="K1194" s="60"/>
      <c r="L1194" s="109"/>
      <c r="M1194" s="109"/>
      <c r="N1194" s="109"/>
      <c r="O1194" s="109"/>
      <c r="P1194" s="109"/>
      <c r="Q1194" s="109"/>
      <c r="S1194" s="111"/>
      <c r="T1194" s="60"/>
      <c r="U1194" s="112"/>
    </row>
    <row r="1195" spans="4:21" s="110" customFormat="1" ht="15.75" customHeight="1">
      <c r="D1195" s="113"/>
      <c r="E1195" s="60"/>
      <c r="F1195" s="60"/>
      <c r="G1195" s="60"/>
      <c r="H1195" s="60"/>
      <c r="I1195" s="60"/>
      <c r="J1195" s="114"/>
      <c r="K1195" s="60"/>
      <c r="L1195" s="109"/>
      <c r="M1195" s="109"/>
      <c r="N1195" s="109"/>
      <c r="O1195" s="109"/>
      <c r="P1195" s="109"/>
      <c r="Q1195" s="109"/>
      <c r="S1195" s="111"/>
      <c r="T1195" s="60"/>
      <c r="U1195" s="112"/>
    </row>
    <row r="1196" spans="4:21" s="110" customFormat="1" ht="15.75" customHeight="1">
      <c r="D1196" s="113"/>
      <c r="E1196" s="60"/>
      <c r="F1196" s="60"/>
      <c r="G1196" s="60"/>
      <c r="H1196" s="60"/>
      <c r="I1196" s="60"/>
      <c r="J1196" s="114"/>
      <c r="K1196" s="60"/>
      <c r="L1196" s="109"/>
      <c r="M1196" s="109"/>
      <c r="N1196" s="109"/>
      <c r="O1196" s="109"/>
      <c r="P1196" s="109"/>
      <c r="Q1196" s="109"/>
      <c r="S1196" s="111"/>
      <c r="T1196" s="60"/>
      <c r="U1196" s="112"/>
    </row>
    <row r="1197" spans="4:21" s="110" customFormat="1" ht="15.75" customHeight="1">
      <c r="D1197" s="113"/>
      <c r="E1197" s="60"/>
      <c r="F1197" s="60"/>
      <c r="G1197" s="60"/>
      <c r="H1197" s="60"/>
      <c r="I1197" s="60"/>
      <c r="J1197" s="114"/>
      <c r="K1197" s="60"/>
      <c r="L1197" s="109"/>
      <c r="M1197" s="109"/>
      <c r="N1197" s="109"/>
      <c r="O1197" s="109"/>
      <c r="P1197" s="109"/>
      <c r="Q1197" s="109"/>
      <c r="S1197" s="111"/>
      <c r="T1197" s="60"/>
      <c r="U1197" s="112"/>
    </row>
    <row r="1198" spans="4:21" s="110" customFormat="1" ht="15.75" customHeight="1">
      <c r="D1198" s="113"/>
      <c r="E1198" s="60"/>
      <c r="F1198" s="60"/>
      <c r="G1198" s="60"/>
      <c r="H1198" s="60"/>
      <c r="I1198" s="60"/>
      <c r="J1198" s="114"/>
      <c r="K1198" s="60"/>
      <c r="L1198" s="109"/>
      <c r="M1198" s="109"/>
      <c r="N1198" s="109"/>
      <c r="O1198" s="109"/>
      <c r="P1198" s="109"/>
      <c r="Q1198" s="109"/>
      <c r="S1198" s="111"/>
      <c r="T1198" s="60"/>
      <c r="U1198" s="112"/>
    </row>
    <row r="1199" spans="4:21" s="110" customFormat="1" ht="15.75" customHeight="1">
      <c r="D1199" s="113"/>
      <c r="E1199" s="60"/>
      <c r="F1199" s="60"/>
      <c r="G1199" s="60"/>
      <c r="H1199" s="60"/>
      <c r="I1199" s="60"/>
      <c r="J1199" s="114"/>
      <c r="K1199" s="60"/>
      <c r="L1199" s="109"/>
      <c r="M1199" s="109"/>
      <c r="N1199" s="109"/>
      <c r="O1199" s="109"/>
      <c r="P1199" s="109"/>
      <c r="Q1199" s="109"/>
      <c r="S1199" s="111"/>
      <c r="T1199" s="60"/>
      <c r="U1199" s="112"/>
    </row>
    <row r="1200" spans="4:21" s="110" customFormat="1" ht="15.75" customHeight="1">
      <c r="D1200" s="113"/>
      <c r="E1200" s="60"/>
      <c r="F1200" s="60"/>
      <c r="G1200" s="60"/>
      <c r="H1200" s="60"/>
      <c r="I1200" s="60"/>
      <c r="J1200" s="114"/>
      <c r="K1200" s="60"/>
      <c r="L1200" s="109"/>
      <c r="M1200" s="109"/>
      <c r="N1200" s="109"/>
      <c r="O1200" s="109"/>
      <c r="P1200" s="109"/>
      <c r="Q1200" s="109"/>
      <c r="S1200" s="111"/>
      <c r="T1200" s="60"/>
      <c r="U1200" s="112"/>
    </row>
    <row r="1201" spans="4:21" s="110" customFormat="1" ht="15.75" customHeight="1">
      <c r="D1201" s="113"/>
      <c r="E1201" s="60"/>
      <c r="F1201" s="60"/>
      <c r="G1201" s="60"/>
      <c r="H1201" s="60"/>
      <c r="I1201" s="60"/>
      <c r="J1201" s="114"/>
      <c r="K1201" s="60"/>
      <c r="L1201" s="109"/>
      <c r="M1201" s="109"/>
      <c r="N1201" s="109"/>
      <c r="O1201" s="109"/>
      <c r="P1201" s="109"/>
      <c r="Q1201" s="109"/>
      <c r="S1201" s="111"/>
      <c r="T1201" s="60"/>
      <c r="U1201" s="112"/>
    </row>
    <row r="1202" spans="4:21" s="110" customFormat="1" ht="15.75" customHeight="1">
      <c r="D1202" s="113"/>
      <c r="E1202" s="60"/>
      <c r="F1202" s="60"/>
      <c r="G1202" s="60"/>
      <c r="H1202" s="60"/>
      <c r="I1202" s="60"/>
      <c r="J1202" s="114"/>
      <c r="K1202" s="60"/>
      <c r="L1202" s="109"/>
      <c r="M1202" s="109"/>
      <c r="N1202" s="109"/>
      <c r="O1202" s="109"/>
      <c r="P1202" s="109"/>
      <c r="Q1202" s="109"/>
      <c r="S1202" s="111"/>
      <c r="T1202" s="60"/>
      <c r="U1202" s="112"/>
    </row>
    <row r="1203" spans="4:21" s="110" customFormat="1" ht="15.75" customHeight="1">
      <c r="D1203" s="113"/>
      <c r="E1203" s="60"/>
      <c r="F1203" s="60"/>
      <c r="G1203" s="60"/>
      <c r="H1203" s="60"/>
      <c r="I1203" s="60"/>
      <c r="J1203" s="114"/>
      <c r="K1203" s="60"/>
      <c r="L1203" s="109"/>
      <c r="M1203" s="109"/>
      <c r="N1203" s="109"/>
      <c r="O1203" s="109"/>
      <c r="P1203" s="109"/>
      <c r="Q1203" s="109"/>
      <c r="S1203" s="111"/>
      <c r="T1203" s="60"/>
      <c r="U1203" s="112"/>
    </row>
    <row r="1204" spans="4:21" s="110" customFormat="1" ht="15.75" customHeight="1">
      <c r="D1204" s="113"/>
      <c r="E1204" s="60"/>
      <c r="F1204" s="60"/>
      <c r="G1204" s="60"/>
      <c r="H1204" s="60"/>
      <c r="I1204" s="60"/>
      <c r="J1204" s="114"/>
      <c r="K1204" s="60"/>
      <c r="L1204" s="109"/>
      <c r="M1204" s="109"/>
      <c r="N1204" s="109"/>
      <c r="O1204" s="109"/>
      <c r="P1204" s="109"/>
      <c r="Q1204" s="109"/>
      <c r="S1204" s="111"/>
      <c r="T1204" s="60"/>
      <c r="U1204" s="112"/>
    </row>
    <row r="1205" spans="4:21" s="110" customFormat="1" ht="15.75" customHeight="1">
      <c r="D1205" s="113"/>
      <c r="E1205" s="60"/>
      <c r="F1205" s="60"/>
      <c r="G1205" s="60"/>
      <c r="H1205" s="60"/>
      <c r="I1205" s="60"/>
      <c r="J1205" s="114"/>
      <c r="K1205" s="60"/>
      <c r="L1205" s="109"/>
      <c r="M1205" s="109"/>
      <c r="N1205" s="109"/>
      <c r="O1205" s="109"/>
      <c r="P1205" s="109"/>
      <c r="Q1205" s="109"/>
      <c r="S1205" s="111"/>
      <c r="T1205" s="60"/>
      <c r="U1205" s="112"/>
    </row>
    <row r="1206" spans="4:21" s="110" customFormat="1" ht="15.75" customHeight="1">
      <c r="D1206" s="113"/>
      <c r="E1206" s="60"/>
      <c r="F1206" s="60"/>
      <c r="G1206" s="60"/>
      <c r="H1206" s="60"/>
      <c r="I1206" s="60"/>
      <c r="J1206" s="114"/>
      <c r="K1206" s="60"/>
      <c r="L1206" s="109"/>
      <c r="M1206" s="109"/>
      <c r="N1206" s="109"/>
      <c r="O1206" s="109"/>
      <c r="P1206" s="109"/>
      <c r="Q1206" s="109"/>
      <c r="S1206" s="111"/>
      <c r="T1206" s="60"/>
      <c r="U1206" s="112"/>
    </row>
    <row r="1207" spans="4:21" s="110" customFormat="1" ht="15.75" customHeight="1">
      <c r="D1207" s="113"/>
      <c r="E1207" s="60"/>
      <c r="F1207" s="60"/>
      <c r="G1207" s="60"/>
      <c r="H1207" s="60"/>
      <c r="I1207" s="60"/>
      <c r="J1207" s="114"/>
      <c r="K1207" s="60"/>
      <c r="L1207" s="109"/>
      <c r="M1207" s="109"/>
      <c r="N1207" s="109"/>
      <c r="O1207" s="109"/>
      <c r="P1207" s="109"/>
      <c r="Q1207" s="109"/>
      <c r="S1207" s="111"/>
      <c r="T1207" s="60"/>
      <c r="U1207" s="112"/>
    </row>
    <row r="1208" spans="4:21" s="110" customFormat="1" ht="15.75" customHeight="1">
      <c r="D1208" s="113"/>
      <c r="E1208" s="60"/>
      <c r="F1208" s="60"/>
      <c r="G1208" s="60"/>
      <c r="H1208" s="60"/>
      <c r="I1208" s="60"/>
      <c r="J1208" s="114"/>
      <c r="K1208" s="60"/>
      <c r="L1208" s="109"/>
      <c r="M1208" s="109"/>
      <c r="N1208" s="109"/>
      <c r="O1208" s="109"/>
      <c r="P1208" s="109"/>
      <c r="Q1208" s="109"/>
      <c r="S1208" s="111"/>
      <c r="T1208" s="60"/>
      <c r="U1208" s="112"/>
    </row>
    <row r="1209" spans="4:21" s="110" customFormat="1" ht="15.75" customHeight="1">
      <c r="D1209" s="113"/>
      <c r="E1209" s="60"/>
      <c r="F1209" s="60"/>
      <c r="G1209" s="60"/>
      <c r="H1209" s="60"/>
      <c r="I1209" s="60"/>
      <c r="J1209" s="114"/>
      <c r="K1209" s="60"/>
      <c r="L1209" s="109"/>
      <c r="M1209" s="109"/>
      <c r="N1209" s="109"/>
      <c r="O1209" s="109"/>
      <c r="P1209" s="109"/>
      <c r="Q1209" s="109"/>
      <c r="S1209" s="111"/>
      <c r="T1209" s="60"/>
      <c r="U1209" s="112"/>
    </row>
    <row r="1210" spans="4:21" s="110" customFormat="1" ht="15.75" customHeight="1">
      <c r="D1210" s="113"/>
      <c r="E1210" s="60"/>
      <c r="F1210" s="60"/>
      <c r="G1210" s="60"/>
      <c r="H1210" s="60"/>
      <c r="I1210" s="60"/>
      <c r="J1210" s="114"/>
      <c r="K1210" s="60"/>
      <c r="L1210" s="109"/>
      <c r="M1210" s="109"/>
      <c r="N1210" s="109"/>
      <c r="O1210" s="109"/>
      <c r="P1210" s="109"/>
      <c r="Q1210" s="109"/>
      <c r="S1210" s="111"/>
      <c r="T1210" s="60"/>
      <c r="U1210" s="112"/>
    </row>
    <row r="1211" spans="4:21" s="110" customFormat="1" ht="15.75" customHeight="1">
      <c r="D1211" s="113"/>
      <c r="E1211" s="60"/>
      <c r="F1211" s="60"/>
      <c r="G1211" s="60"/>
      <c r="H1211" s="60"/>
      <c r="I1211" s="60"/>
      <c r="J1211" s="114"/>
      <c r="K1211" s="60"/>
      <c r="L1211" s="109"/>
      <c r="M1211" s="109"/>
      <c r="N1211" s="109"/>
      <c r="O1211" s="109"/>
      <c r="P1211" s="109"/>
      <c r="Q1211" s="109"/>
      <c r="S1211" s="111"/>
      <c r="T1211" s="60"/>
      <c r="U1211" s="112"/>
    </row>
    <row r="1212" spans="4:21" s="110" customFormat="1" ht="15.75" customHeight="1">
      <c r="D1212" s="113"/>
      <c r="E1212" s="60"/>
      <c r="F1212" s="60"/>
      <c r="G1212" s="60"/>
      <c r="H1212" s="60"/>
      <c r="I1212" s="60"/>
      <c r="J1212" s="114"/>
      <c r="K1212" s="60"/>
      <c r="L1212" s="109"/>
      <c r="M1212" s="109"/>
      <c r="N1212" s="109"/>
      <c r="O1212" s="109"/>
      <c r="P1212" s="109"/>
      <c r="Q1212" s="109"/>
      <c r="S1212" s="111"/>
      <c r="T1212" s="60"/>
      <c r="U1212" s="112"/>
    </row>
    <row r="1213" spans="4:21" s="110" customFormat="1" ht="15.75" customHeight="1">
      <c r="D1213" s="113"/>
      <c r="E1213" s="60"/>
      <c r="F1213" s="60"/>
      <c r="G1213" s="60"/>
      <c r="H1213" s="60"/>
      <c r="I1213" s="60"/>
      <c r="J1213" s="114"/>
      <c r="K1213" s="60"/>
      <c r="L1213" s="109"/>
      <c r="M1213" s="109"/>
      <c r="N1213" s="109"/>
      <c r="O1213" s="109"/>
      <c r="P1213" s="109"/>
      <c r="Q1213" s="109"/>
      <c r="S1213" s="111"/>
      <c r="T1213" s="60"/>
      <c r="U1213" s="112"/>
    </row>
    <row r="1214" spans="4:21" s="110" customFormat="1" ht="15.75" customHeight="1">
      <c r="D1214" s="113"/>
      <c r="E1214" s="60"/>
      <c r="F1214" s="60"/>
      <c r="G1214" s="60"/>
      <c r="H1214" s="60"/>
      <c r="I1214" s="60"/>
      <c r="J1214" s="114"/>
      <c r="K1214" s="60"/>
      <c r="L1214" s="109"/>
      <c r="M1214" s="109"/>
      <c r="N1214" s="109"/>
      <c r="O1214" s="109"/>
      <c r="P1214" s="109"/>
      <c r="Q1214" s="109"/>
      <c r="S1214" s="111"/>
      <c r="T1214" s="60"/>
      <c r="U1214" s="112"/>
    </row>
    <row r="1215" spans="4:21" s="110" customFormat="1" ht="15.75" customHeight="1">
      <c r="D1215" s="113"/>
      <c r="E1215" s="60"/>
      <c r="F1215" s="60"/>
      <c r="G1215" s="60"/>
      <c r="H1215" s="60"/>
      <c r="I1215" s="60"/>
      <c r="J1215" s="114"/>
      <c r="K1215" s="60"/>
      <c r="L1215" s="109"/>
      <c r="M1215" s="109"/>
      <c r="N1215" s="109"/>
      <c r="O1215" s="109"/>
      <c r="P1215" s="109"/>
      <c r="Q1215" s="109"/>
      <c r="S1215" s="111"/>
      <c r="T1215" s="60"/>
      <c r="U1215" s="112"/>
    </row>
    <row r="1216" spans="4:21" s="110" customFormat="1" ht="15.75" customHeight="1">
      <c r="D1216" s="113"/>
      <c r="E1216" s="60"/>
      <c r="F1216" s="60"/>
      <c r="G1216" s="60"/>
      <c r="H1216" s="60"/>
      <c r="I1216" s="60"/>
      <c r="J1216" s="114"/>
      <c r="K1216" s="60"/>
      <c r="L1216" s="109"/>
      <c r="M1216" s="109"/>
      <c r="N1216" s="109"/>
      <c r="O1216" s="109"/>
      <c r="P1216" s="109"/>
      <c r="Q1216" s="109"/>
      <c r="S1216" s="111"/>
      <c r="T1216" s="60"/>
      <c r="U1216" s="112"/>
    </row>
    <row r="1217" spans="4:21" s="110" customFormat="1" ht="15.75" customHeight="1">
      <c r="D1217" s="113"/>
      <c r="E1217" s="60"/>
      <c r="F1217" s="60"/>
      <c r="G1217" s="60"/>
      <c r="H1217" s="60"/>
      <c r="I1217" s="60"/>
      <c r="J1217" s="114"/>
      <c r="K1217" s="60"/>
      <c r="L1217" s="109"/>
      <c r="M1217" s="109"/>
      <c r="N1217" s="109"/>
      <c r="O1217" s="109"/>
      <c r="P1217" s="109"/>
      <c r="Q1217" s="109"/>
      <c r="S1217" s="111"/>
      <c r="T1217" s="60"/>
      <c r="U1217" s="112"/>
    </row>
    <row r="1218" spans="4:21" s="110" customFormat="1" ht="15.75" customHeight="1">
      <c r="D1218" s="113"/>
      <c r="E1218" s="60"/>
      <c r="F1218" s="60"/>
      <c r="G1218" s="60"/>
      <c r="H1218" s="60"/>
      <c r="I1218" s="60"/>
      <c r="J1218" s="114"/>
      <c r="K1218" s="60"/>
      <c r="L1218" s="109"/>
      <c r="M1218" s="109"/>
      <c r="N1218" s="109"/>
      <c r="O1218" s="109"/>
      <c r="P1218" s="109"/>
      <c r="Q1218" s="109"/>
      <c r="S1218" s="111"/>
      <c r="T1218" s="60"/>
      <c r="U1218" s="112"/>
    </row>
    <row r="1219" spans="4:21" s="110" customFormat="1" ht="15.75" customHeight="1">
      <c r="D1219" s="113"/>
      <c r="E1219" s="60"/>
      <c r="F1219" s="60"/>
      <c r="G1219" s="60"/>
      <c r="H1219" s="60"/>
      <c r="I1219" s="60"/>
      <c r="J1219" s="114"/>
      <c r="K1219" s="60"/>
      <c r="L1219" s="109"/>
      <c r="M1219" s="109"/>
      <c r="N1219" s="109"/>
      <c r="O1219" s="109"/>
      <c r="P1219" s="109"/>
      <c r="Q1219" s="109"/>
      <c r="S1219" s="111"/>
      <c r="T1219" s="60"/>
      <c r="U1219" s="112"/>
    </row>
    <row r="1220" spans="4:21" s="110" customFormat="1" ht="15.75" customHeight="1">
      <c r="D1220" s="113"/>
      <c r="E1220" s="60"/>
      <c r="F1220" s="60"/>
      <c r="G1220" s="60"/>
      <c r="H1220" s="60"/>
      <c r="I1220" s="60"/>
      <c r="J1220" s="114"/>
      <c r="K1220" s="60"/>
      <c r="L1220" s="109"/>
      <c r="M1220" s="109"/>
      <c r="N1220" s="109"/>
      <c r="O1220" s="109"/>
      <c r="P1220" s="109"/>
      <c r="Q1220" s="109"/>
      <c r="S1220" s="111"/>
      <c r="T1220" s="60"/>
      <c r="U1220" s="112"/>
    </row>
    <row r="1221" spans="4:21" s="110" customFormat="1" ht="15.75" customHeight="1">
      <c r="D1221" s="113"/>
      <c r="E1221" s="60"/>
      <c r="F1221" s="60"/>
      <c r="G1221" s="60"/>
      <c r="H1221" s="60"/>
      <c r="I1221" s="60"/>
      <c r="J1221" s="114"/>
      <c r="K1221" s="60"/>
      <c r="L1221" s="109"/>
      <c r="M1221" s="109"/>
      <c r="N1221" s="109"/>
      <c r="O1221" s="109"/>
      <c r="P1221" s="109"/>
      <c r="Q1221" s="109"/>
      <c r="S1221" s="111"/>
      <c r="T1221" s="60"/>
      <c r="U1221" s="112"/>
    </row>
    <row r="1222" spans="4:21" s="110" customFormat="1" ht="15.75" customHeight="1">
      <c r="D1222" s="113"/>
      <c r="E1222" s="60"/>
      <c r="F1222" s="60"/>
      <c r="G1222" s="60"/>
      <c r="H1222" s="60"/>
      <c r="I1222" s="60"/>
      <c r="J1222" s="114"/>
      <c r="K1222" s="60"/>
      <c r="L1222" s="109"/>
      <c r="M1222" s="109"/>
      <c r="N1222" s="109"/>
      <c r="O1222" s="109"/>
      <c r="P1222" s="109"/>
      <c r="Q1222" s="109"/>
      <c r="S1222" s="111"/>
      <c r="T1222" s="60"/>
      <c r="U1222" s="112"/>
    </row>
    <row r="1223" spans="4:21" s="110" customFormat="1" ht="15.75" customHeight="1">
      <c r="D1223" s="113"/>
      <c r="E1223" s="60"/>
      <c r="F1223" s="60"/>
      <c r="G1223" s="60"/>
      <c r="H1223" s="60"/>
      <c r="I1223" s="60"/>
      <c r="J1223" s="114"/>
      <c r="K1223" s="60"/>
      <c r="L1223" s="109"/>
      <c r="M1223" s="109"/>
      <c r="N1223" s="109"/>
      <c r="O1223" s="109"/>
      <c r="P1223" s="109"/>
      <c r="Q1223" s="109"/>
      <c r="S1223" s="111"/>
      <c r="T1223" s="60"/>
      <c r="U1223" s="112"/>
    </row>
    <row r="1224" spans="4:21" s="110" customFormat="1" ht="15.75" customHeight="1">
      <c r="D1224" s="113"/>
      <c r="E1224" s="60"/>
      <c r="F1224" s="60"/>
      <c r="G1224" s="60"/>
      <c r="H1224" s="60"/>
      <c r="I1224" s="60"/>
      <c r="J1224" s="114"/>
      <c r="K1224" s="60"/>
      <c r="L1224" s="109"/>
      <c r="M1224" s="109"/>
      <c r="N1224" s="109"/>
      <c r="O1224" s="109"/>
      <c r="P1224" s="109"/>
      <c r="Q1224" s="109"/>
      <c r="S1224" s="111"/>
      <c r="T1224" s="60"/>
      <c r="U1224" s="112"/>
    </row>
    <row r="1225" spans="4:21" s="110" customFormat="1" ht="15.75" customHeight="1">
      <c r="D1225" s="113"/>
      <c r="E1225" s="60"/>
      <c r="F1225" s="60"/>
      <c r="G1225" s="60"/>
      <c r="H1225" s="60"/>
      <c r="I1225" s="60"/>
      <c r="J1225" s="114"/>
      <c r="K1225" s="60"/>
      <c r="L1225" s="109"/>
      <c r="M1225" s="109"/>
      <c r="N1225" s="109"/>
      <c r="O1225" s="109"/>
      <c r="P1225" s="109"/>
      <c r="Q1225" s="109"/>
      <c r="S1225" s="111"/>
      <c r="T1225" s="60"/>
      <c r="U1225" s="112"/>
    </row>
    <row r="1226" spans="4:21" s="110" customFormat="1" ht="15.75" customHeight="1">
      <c r="D1226" s="113"/>
      <c r="E1226" s="60"/>
      <c r="F1226" s="60"/>
      <c r="G1226" s="60"/>
      <c r="H1226" s="60"/>
      <c r="I1226" s="60"/>
      <c r="J1226" s="114"/>
      <c r="K1226" s="60"/>
      <c r="L1226" s="109"/>
      <c r="M1226" s="109"/>
      <c r="N1226" s="109"/>
      <c r="O1226" s="109"/>
      <c r="P1226" s="109"/>
      <c r="Q1226" s="109"/>
      <c r="S1226" s="111"/>
      <c r="T1226" s="60"/>
      <c r="U1226" s="112"/>
    </row>
    <row r="1227" spans="4:21" s="110" customFormat="1" ht="15.75" customHeight="1">
      <c r="D1227" s="113"/>
      <c r="E1227" s="60"/>
      <c r="F1227" s="60"/>
      <c r="G1227" s="60"/>
      <c r="H1227" s="60"/>
      <c r="I1227" s="60"/>
      <c r="J1227" s="114"/>
      <c r="K1227" s="60"/>
      <c r="L1227" s="109"/>
      <c r="M1227" s="109"/>
      <c r="N1227" s="109"/>
      <c r="O1227" s="109"/>
      <c r="P1227" s="109"/>
      <c r="Q1227" s="109"/>
      <c r="S1227" s="111"/>
      <c r="T1227" s="60"/>
      <c r="U1227" s="112"/>
    </row>
    <row r="1228" spans="4:21" s="110" customFormat="1" ht="15.75" customHeight="1">
      <c r="D1228" s="113"/>
      <c r="E1228" s="60"/>
      <c r="F1228" s="60"/>
      <c r="G1228" s="60"/>
      <c r="H1228" s="60"/>
      <c r="I1228" s="60"/>
      <c r="J1228" s="114"/>
      <c r="K1228" s="60"/>
      <c r="L1228" s="109"/>
      <c r="M1228" s="109"/>
      <c r="N1228" s="109"/>
      <c r="O1228" s="109"/>
      <c r="P1228" s="109"/>
      <c r="Q1228" s="109"/>
      <c r="S1228" s="111"/>
      <c r="T1228" s="60"/>
      <c r="U1228" s="112"/>
    </row>
    <row r="1229" spans="4:21" s="110" customFormat="1" ht="15.75" customHeight="1">
      <c r="D1229" s="113"/>
      <c r="E1229" s="60"/>
      <c r="F1229" s="60"/>
      <c r="G1229" s="60"/>
      <c r="H1229" s="60"/>
      <c r="I1229" s="60"/>
      <c r="J1229" s="114"/>
      <c r="K1229" s="60"/>
      <c r="L1229" s="109"/>
      <c r="M1229" s="109"/>
      <c r="N1229" s="109"/>
      <c r="O1229" s="109"/>
      <c r="P1229" s="109"/>
      <c r="Q1229" s="109"/>
      <c r="S1229" s="111"/>
      <c r="T1229" s="60"/>
      <c r="U1229" s="112"/>
    </row>
    <row r="1230" spans="4:21" s="110" customFormat="1" ht="15.75" customHeight="1">
      <c r="D1230" s="113"/>
      <c r="E1230" s="60"/>
      <c r="F1230" s="60"/>
      <c r="G1230" s="60"/>
      <c r="H1230" s="60"/>
      <c r="I1230" s="60"/>
      <c r="J1230" s="114"/>
      <c r="K1230" s="60"/>
      <c r="L1230" s="109"/>
      <c r="M1230" s="109"/>
      <c r="N1230" s="109"/>
      <c r="O1230" s="109"/>
      <c r="P1230" s="109"/>
      <c r="Q1230" s="109"/>
      <c r="S1230" s="111"/>
      <c r="T1230" s="60"/>
      <c r="U1230" s="112"/>
    </row>
    <row r="1231" spans="4:21" s="110" customFormat="1" ht="15.75" customHeight="1">
      <c r="D1231" s="113"/>
      <c r="E1231" s="60"/>
      <c r="F1231" s="60"/>
      <c r="G1231" s="60"/>
      <c r="H1231" s="60"/>
      <c r="I1231" s="60"/>
      <c r="J1231" s="114"/>
      <c r="K1231" s="60"/>
      <c r="L1231" s="109"/>
      <c r="M1231" s="109"/>
      <c r="N1231" s="109"/>
      <c r="O1231" s="109"/>
      <c r="P1231" s="109"/>
      <c r="Q1231" s="109"/>
      <c r="S1231" s="111"/>
      <c r="T1231" s="60"/>
      <c r="U1231" s="112"/>
    </row>
    <row r="1232" spans="4:21" s="110" customFormat="1" ht="15.75" customHeight="1">
      <c r="D1232" s="113"/>
      <c r="E1232" s="60"/>
      <c r="F1232" s="60"/>
      <c r="G1232" s="60"/>
      <c r="H1232" s="60"/>
      <c r="I1232" s="60"/>
      <c r="J1232" s="114"/>
      <c r="K1232" s="60"/>
      <c r="L1232" s="109"/>
      <c r="M1232" s="109"/>
      <c r="N1232" s="109"/>
      <c r="O1232" s="109"/>
      <c r="P1232" s="109"/>
      <c r="Q1232" s="109"/>
      <c r="S1232" s="111"/>
      <c r="T1232" s="60"/>
      <c r="U1232" s="112"/>
    </row>
    <row r="1233" spans="4:21" s="110" customFormat="1" ht="15.75" customHeight="1">
      <c r="D1233" s="113"/>
      <c r="E1233" s="60"/>
      <c r="F1233" s="60"/>
      <c r="G1233" s="60"/>
      <c r="H1233" s="60"/>
      <c r="I1233" s="60"/>
      <c r="J1233" s="114"/>
      <c r="K1233" s="60"/>
      <c r="L1233" s="109"/>
      <c r="M1233" s="109"/>
      <c r="N1233" s="109"/>
      <c r="O1233" s="109"/>
      <c r="P1233" s="109"/>
      <c r="Q1233" s="109"/>
      <c r="S1233" s="111"/>
      <c r="T1233" s="60"/>
      <c r="U1233" s="112"/>
    </row>
    <row r="1234" spans="4:21" s="110" customFormat="1" ht="15.75" customHeight="1">
      <c r="D1234" s="113"/>
      <c r="E1234" s="60"/>
      <c r="F1234" s="60"/>
      <c r="G1234" s="60"/>
      <c r="H1234" s="60"/>
      <c r="I1234" s="60"/>
      <c r="J1234" s="114"/>
      <c r="K1234" s="60"/>
      <c r="L1234" s="109"/>
      <c r="M1234" s="109"/>
      <c r="N1234" s="109"/>
      <c r="O1234" s="109"/>
      <c r="P1234" s="109"/>
      <c r="Q1234" s="109"/>
      <c r="S1234" s="111"/>
      <c r="T1234" s="60"/>
      <c r="U1234" s="112"/>
    </row>
    <row r="1235" spans="4:21" s="110" customFormat="1" ht="15.75" customHeight="1">
      <c r="D1235" s="113"/>
      <c r="E1235" s="60"/>
      <c r="F1235" s="60"/>
      <c r="G1235" s="60"/>
      <c r="H1235" s="60"/>
      <c r="I1235" s="60"/>
      <c r="J1235" s="114"/>
      <c r="K1235" s="60"/>
      <c r="L1235" s="109"/>
      <c r="M1235" s="109"/>
      <c r="N1235" s="109"/>
      <c r="O1235" s="109"/>
      <c r="P1235" s="109"/>
      <c r="Q1235" s="109"/>
      <c r="S1235" s="111"/>
      <c r="T1235" s="60"/>
      <c r="U1235" s="112"/>
    </row>
    <row r="1236" spans="4:21" s="110" customFormat="1" ht="15.75" customHeight="1">
      <c r="D1236" s="113"/>
      <c r="E1236" s="60"/>
      <c r="F1236" s="60"/>
      <c r="G1236" s="60"/>
      <c r="H1236" s="60"/>
      <c r="I1236" s="60"/>
      <c r="J1236" s="114"/>
      <c r="K1236" s="60"/>
      <c r="L1236" s="109"/>
      <c r="M1236" s="109"/>
      <c r="N1236" s="109"/>
      <c r="O1236" s="109"/>
      <c r="P1236" s="109"/>
      <c r="Q1236" s="109"/>
      <c r="S1236" s="111"/>
      <c r="T1236" s="60"/>
      <c r="U1236" s="112"/>
    </row>
    <row r="1237" spans="4:21" s="110" customFormat="1" ht="15.75" customHeight="1">
      <c r="D1237" s="113"/>
      <c r="E1237" s="60"/>
      <c r="F1237" s="60"/>
      <c r="G1237" s="60"/>
      <c r="H1237" s="60"/>
      <c r="I1237" s="60"/>
      <c r="J1237" s="114"/>
      <c r="K1237" s="60"/>
      <c r="L1237" s="109"/>
      <c r="M1237" s="109"/>
      <c r="N1237" s="109"/>
      <c r="O1237" s="109"/>
      <c r="P1237" s="109"/>
      <c r="Q1237" s="109"/>
      <c r="S1237" s="111"/>
      <c r="T1237" s="60"/>
      <c r="U1237" s="112"/>
    </row>
    <row r="1238" spans="4:21" s="110" customFormat="1" ht="15.75" customHeight="1">
      <c r="D1238" s="113"/>
      <c r="E1238" s="60"/>
      <c r="F1238" s="60"/>
      <c r="G1238" s="60"/>
      <c r="H1238" s="60"/>
      <c r="I1238" s="60"/>
      <c r="J1238" s="114"/>
      <c r="K1238" s="60"/>
      <c r="L1238" s="109"/>
      <c r="M1238" s="109"/>
      <c r="N1238" s="109"/>
      <c r="O1238" s="109"/>
      <c r="P1238" s="109"/>
      <c r="Q1238" s="109"/>
      <c r="S1238" s="111"/>
      <c r="T1238" s="60"/>
      <c r="U1238" s="112"/>
    </row>
    <row r="1239" spans="4:21" s="110" customFormat="1" ht="15.75" customHeight="1">
      <c r="D1239" s="113"/>
      <c r="E1239" s="60"/>
      <c r="F1239" s="60"/>
      <c r="G1239" s="60"/>
      <c r="H1239" s="60"/>
      <c r="I1239" s="60"/>
      <c r="J1239" s="114"/>
      <c r="K1239" s="60"/>
      <c r="L1239" s="109"/>
      <c r="M1239" s="109"/>
      <c r="N1239" s="109"/>
      <c r="O1239" s="109"/>
      <c r="P1239" s="109"/>
      <c r="Q1239" s="109"/>
      <c r="S1239" s="111"/>
      <c r="T1239" s="60"/>
      <c r="U1239" s="112"/>
    </row>
    <row r="1240" spans="4:21" s="110" customFormat="1" ht="15.75" customHeight="1">
      <c r="D1240" s="113"/>
      <c r="E1240" s="60"/>
      <c r="F1240" s="60"/>
      <c r="G1240" s="60"/>
      <c r="H1240" s="60"/>
      <c r="I1240" s="60"/>
      <c r="J1240" s="114"/>
      <c r="K1240" s="60"/>
      <c r="L1240" s="109"/>
      <c r="M1240" s="109"/>
      <c r="N1240" s="109"/>
      <c r="O1240" s="109"/>
      <c r="P1240" s="109"/>
      <c r="Q1240" s="109"/>
      <c r="S1240" s="111"/>
      <c r="T1240" s="60"/>
      <c r="U1240" s="112"/>
    </row>
    <row r="1241" spans="4:21" s="110" customFormat="1" ht="15.75" customHeight="1">
      <c r="D1241" s="113"/>
      <c r="E1241" s="60"/>
      <c r="F1241" s="60"/>
      <c r="G1241" s="60"/>
      <c r="H1241" s="60"/>
      <c r="I1241" s="60"/>
      <c r="J1241" s="114"/>
      <c r="K1241" s="60"/>
      <c r="L1241" s="109"/>
      <c r="M1241" s="109"/>
      <c r="N1241" s="109"/>
      <c r="O1241" s="109"/>
      <c r="P1241" s="109"/>
      <c r="Q1241" s="109"/>
      <c r="S1241" s="111"/>
      <c r="T1241" s="60"/>
      <c r="U1241" s="112"/>
    </row>
    <row r="1242" spans="4:21" s="110" customFormat="1" ht="15.75" customHeight="1">
      <c r="D1242" s="113"/>
      <c r="E1242" s="60"/>
      <c r="F1242" s="60"/>
      <c r="G1242" s="60"/>
      <c r="H1242" s="60"/>
      <c r="I1242" s="60"/>
      <c r="J1242" s="114"/>
      <c r="K1242" s="60"/>
      <c r="L1242" s="109"/>
      <c r="M1242" s="109"/>
      <c r="N1242" s="109"/>
      <c r="O1242" s="109"/>
      <c r="P1242" s="109"/>
      <c r="Q1242" s="109"/>
      <c r="S1242" s="111"/>
      <c r="T1242" s="60"/>
      <c r="U1242" s="112"/>
    </row>
    <row r="1243" spans="4:21" s="110" customFormat="1" ht="15.75" customHeight="1">
      <c r="D1243" s="113"/>
      <c r="E1243" s="60"/>
      <c r="F1243" s="60"/>
      <c r="G1243" s="60"/>
      <c r="H1243" s="60"/>
      <c r="I1243" s="60"/>
      <c r="J1243" s="114"/>
      <c r="K1243" s="60"/>
      <c r="L1243" s="109"/>
      <c r="M1243" s="109"/>
      <c r="N1243" s="109"/>
      <c r="O1243" s="109"/>
      <c r="P1243" s="109"/>
      <c r="Q1243" s="109"/>
      <c r="S1243" s="111"/>
      <c r="T1243" s="60"/>
      <c r="U1243" s="112"/>
    </row>
    <row r="1244" spans="4:21" s="110" customFormat="1" ht="15.75" customHeight="1">
      <c r="D1244" s="113"/>
      <c r="E1244" s="60"/>
      <c r="F1244" s="60"/>
      <c r="G1244" s="60"/>
      <c r="H1244" s="60"/>
      <c r="I1244" s="60"/>
      <c r="J1244" s="114"/>
      <c r="K1244" s="60"/>
      <c r="L1244" s="109"/>
      <c r="M1244" s="109"/>
      <c r="N1244" s="109"/>
      <c r="O1244" s="109"/>
      <c r="P1244" s="109"/>
      <c r="Q1244" s="109"/>
      <c r="S1244" s="111"/>
      <c r="T1244" s="60"/>
      <c r="U1244" s="112"/>
    </row>
    <row r="1245" spans="4:21" s="110" customFormat="1" ht="15.75" customHeight="1">
      <c r="D1245" s="113"/>
      <c r="E1245" s="60"/>
      <c r="F1245" s="60"/>
      <c r="G1245" s="60"/>
      <c r="H1245" s="60"/>
      <c r="I1245" s="60"/>
      <c r="J1245" s="114"/>
      <c r="K1245" s="60"/>
      <c r="L1245" s="109"/>
      <c r="M1245" s="109"/>
      <c r="N1245" s="109"/>
      <c r="O1245" s="109"/>
      <c r="P1245" s="109"/>
      <c r="Q1245" s="109"/>
      <c r="S1245" s="111"/>
      <c r="T1245" s="60"/>
      <c r="U1245" s="112"/>
    </row>
    <row r="1246" spans="4:21" s="110" customFormat="1" ht="15.75" customHeight="1">
      <c r="D1246" s="113"/>
      <c r="E1246" s="60"/>
      <c r="F1246" s="60"/>
      <c r="G1246" s="60"/>
      <c r="H1246" s="60"/>
      <c r="I1246" s="60"/>
      <c r="J1246" s="114"/>
      <c r="K1246" s="60"/>
      <c r="L1246" s="109"/>
      <c r="M1246" s="109"/>
      <c r="N1246" s="109"/>
      <c r="O1246" s="109"/>
      <c r="P1246" s="109"/>
      <c r="Q1246" s="109"/>
      <c r="S1246" s="111"/>
      <c r="T1246" s="60"/>
      <c r="U1246" s="112"/>
    </row>
    <row r="1247" spans="4:21" s="110" customFormat="1" ht="15.75" customHeight="1">
      <c r="D1247" s="113"/>
      <c r="E1247" s="60"/>
      <c r="F1247" s="60"/>
      <c r="G1247" s="60"/>
      <c r="H1247" s="60"/>
      <c r="I1247" s="60"/>
      <c r="J1247" s="114"/>
      <c r="K1247" s="60"/>
      <c r="L1247" s="109"/>
      <c r="M1247" s="109"/>
      <c r="N1247" s="109"/>
      <c r="O1247" s="109"/>
      <c r="P1247" s="109"/>
      <c r="Q1247" s="109"/>
      <c r="S1247" s="111"/>
      <c r="T1247" s="60"/>
      <c r="U1247" s="112"/>
    </row>
    <row r="1248" spans="4:21" s="110" customFormat="1" ht="15.75" customHeight="1">
      <c r="D1248" s="113"/>
      <c r="E1248" s="60"/>
      <c r="F1248" s="60"/>
      <c r="G1248" s="60"/>
      <c r="H1248" s="60"/>
      <c r="I1248" s="60"/>
      <c r="J1248" s="114"/>
      <c r="K1248" s="60"/>
      <c r="L1248" s="109"/>
      <c r="M1248" s="109"/>
      <c r="N1248" s="109"/>
      <c r="O1248" s="109"/>
      <c r="P1248" s="109"/>
      <c r="Q1248" s="109"/>
      <c r="S1248" s="111"/>
      <c r="T1248" s="60"/>
      <c r="U1248" s="112"/>
    </row>
    <row r="1249" spans="4:21" s="110" customFormat="1" ht="15.75" customHeight="1">
      <c r="D1249" s="113"/>
      <c r="E1249" s="60"/>
      <c r="F1249" s="60"/>
      <c r="G1249" s="60"/>
      <c r="H1249" s="60"/>
      <c r="I1249" s="60"/>
      <c r="J1249" s="114"/>
      <c r="K1249" s="60"/>
      <c r="L1249" s="109"/>
      <c r="M1249" s="109"/>
      <c r="N1249" s="109"/>
      <c r="O1249" s="109"/>
      <c r="P1249" s="109"/>
      <c r="Q1249" s="109"/>
      <c r="S1249" s="111"/>
      <c r="T1249" s="60"/>
      <c r="U1249" s="112"/>
    </row>
    <row r="1250" spans="4:21" s="110" customFormat="1" ht="15.75" customHeight="1">
      <c r="D1250" s="113"/>
      <c r="E1250" s="60"/>
      <c r="F1250" s="60"/>
      <c r="G1250" s="60"/>
      <c r="H1250" s="60"/>
      <c r="I1250" s="60"/>
      <c r="J1250" s="114"/>
      <c r="K1250" s="60"/>
      <c r="L1250" s="109"/>
      <c r="M1250" s="109"/>
      <c r="N1250" s="109"/>
      <c r="O1250" s="109"/>
      <c r="P1250" s="109"/>
      <c r="Q1250" s="109"/>
      <c r="S1250" s="111"/>
      <c r="T1250" s="60"/>
      <c r="U1250" s="112"/>
    </row>
    <row r="1251" spans="4:21" s="110" customFormat="1" ht="15.75" customHeight="1">
      <c r="D1251" s="113"/>
      <c r="E1251" s="60"/>
      <c r="F1251" s="60"/>
      <c r="G1251" s="60"/>
      <c r="H1251" s="60"/>
      <c r="I1251" s="60"/>
      <c r="J1251" s="114"/>
      <c r="K1251" s="60"/>
      <c r="L1251" s="109"/>
      <c r="M1251" s="109"/>
      <c r="N1251" s="109"/>
      <c r="O1251" s="109"/>
      <c r="P1251" s="109"/>
      <c r="Q1251" s="109"/>
      <c r="S1251" s="111"/>
      <c r="T1251" s="60"/>
      <c r="U1251" s="112"/>
    </row>
    <row r="1252" spans="4:21" s="110" customFormat="1" ht="15.75" customHeight="1">
      <c r="D1252" s="113"/>
      <c r="E1252" s="60"/>
      <c r="F1252" s="60"/>
      <c r="G1252" s="60"/>
      <c r="H1252" s="60"/>
      <c r="I1252" s="60"/>
      <c r="J1252" s="114"/>
      <c r="K1252" s="60"/>
      <c r="L1252" s="109"/>
      <c r="M1252" s="109"/>
      <c r="N1252" s="109"/>
      <c r="O1252" s="109"/>
      <c r="P1252" s="109"/>
      <c r="Q1252" s="109"/>
      <c r="S1252" s="111"/>
      <c r="T1252" s="60"/>
      <c r="U1252" s="112"/>
    </row>
    <row r="1253" spans="4:21" s="110" customFormat="1" ht="15.75" customHeight="1">
      <c r="D1253" s="113"/>
      <c r="E1253" s="60"/>
      <c r="F1253" s="60"/>
      <c r="G1253" s="60"/>
      <c r="H1253" s="60"/>
      <c r="I1253" s="60"/>
      <c r="J1253" s="114"/>
      <c r="K1253" s="60"/>
      <c r="L1253" s="109"/>
      <c r="M1253" s="109"/>
      <c r="N1253" s="109"/>
      <c r="O1253" s="109"/>
      <c r="P1253" s="109"/>
      <c r="Q1253" s="109"/>
      <c r="S1253" s="111"/>
      <c r="T1253" s="60"/>
      <c r="U1253" s="112"/>
    </row>
    <row r="1254" spans="4:21" s="110" customFormat="1" ht="15.75" customHeight="1">
      <c r="D1254" s="113"/>
      <c r="E1254" s="60"/>
      <c r="F1254" s="60"/>
      <c r="G1254" s="60"/>
      <c r="H1254" s="60"/>
      <c r="I1254" s="60"/>
      <c r="J1254" s="114"/>
      <c r="K1254" s="60"/>
      <c r="L1254" s="109"/>
      <c r="M1254" s="109"/>
      <c r="N1254" s="109"/>
      <c r="O1254" s="109"/>
      <c r="P1254" s="109"/>
      <c r="Q1254" s="109"/>
      <c r="S1254" s="111"/>
      <c r="T1254" s="60"/>
      <c r="U1254" s="112"/>
    </row>
    <row r="1255" spans="4:21" s="110" customFormat="1" ht="15.75" customHeight="1">
      <c r="D1255" s="113"/>
      <c r="E1255" s="60"/>
      <c r="F1255" s="60"/>
      <c r="G1255" s="60"/>
      <c r="H1255" s="60"/>
      <c r="I1255" s="60"/>
      <c r="J1255" s="114"/>
      <c r="K1255" s="60"/>
      <c r="L1255" s="109"/>
      <c r="M1255" s="109"/>
      <c r="N1255" s="109"/>
      <c r="O1255" s="109"/>
      <c r="P1255" s="109"/>
      <c r="Q1255" s="109"/>
      <c r="S1255" s="111"/>
      <c r="T1255" s="60"/>
      <c r="U1255" s="112"/>
    </row>
    <row r="1256" spans="4:21" s="110" customFormat="1" ht="15.75" customHeight="1">
      <c r="D1256" s="113"/>
      <c r="E1256" s="60"/>
      <c r="F1256" s="60"/>
      <c r="G1256" s="60"/>
      <c r="H1256" s="60"/>
      <c r="I1256" s="60"/>
      <c r="J1256" s="114"/>
      <c r="K1256" s="60"/>
      <c r="L1256" s="109"/>
      <c r="M1256" s="109"/>
      <c r="N1256" s="109"/>
      <c r="O1256" s="109"/>
      <c r="P1256" s="109"/>
      <c r="Q1256" s="109"/>
      <c r="S1256" s="111"/>
      <c r="T1256" s="60"/>
      <c r="U1256" s="112"/>
    </row>
    <row r="1257" spans="4:21" s="110" customFormat="1" ht="15.75" customHeight="1">
      <c r="D1257" s="113"/>
      <c r="E1257" s="60"/>
      <c r="F1257" s="60"/>
      <c r="G1257" s="60"/>
      <c r="H1257" s="60"/>
      <c r="I1257" s="60"/>
      <c r="J1257" s="114"/>
      <c r="K1257" s="60"/>
      <c r="L1257" s="109"/>
      <c r="M1257" s="109"/>
      <c r="N1257" s="109"/>
      <c r="O1257" s="109"/>
      <c r="P1257" s="109"/>
      <c r="Q1257" s="109"/>
      <c r="S1257" s="111"/>
      <c r="T1257" s="60"/>
      <c r="U1257" s="112"/>
    </row>
    <row r="1258" spans="4:21" s="110" customFormat="1" ht="15.75" customHeight="1">
      <c r="D1258" s="113"/>
      <c r="E1258" s="60"/>
      <c r="F1258" s="60"/>
      <c r="G1258" s="60"/>
      <c r="H1258" s="60"/>
      <c r="I1258" s="60"/>
      <c r="J1258" s="114"/>
      <c r="K1258" s="60"/>
      <c r="L1258" s="109"/>
      <c r="M1258" s="109"/>
      <c r="N1258" s="109"/>
      <c r="O1258" s="109"/>
      <c r="P1258" s="109"/>
      <c r="Q1258" s="109"/>
      <c r="S1258" s="111"/>
      <c r="T1258" s="60"/>
      <c r="U1258" s="112"/>
    </row>
    <row r="1259" spans="4:21" s="110" customFormat="1" ht="15.75" customHeight="1">
      <c r="D1259" s="113"/>
      <c r="E1259" s="60"/>
      <c r="F1259" s="60"/>
      <c r="G1259" s="60"/>
      <c r="H1259" s="60"/>
      <c r="I1259" s="60"/>
      <c r="J1259" s="114"/>
      <c r="K1259" s="60"/>
      <c r="L1259" s="109"/>
      <c r="M1259" s="109"/>
      <c r="N1259" s="109"/>
      <c r="O1259" s="109"/>
      <c r="P1259" s="109"/>
      <c r="Q1259" s="109"/>
      <c r="S1259" s="111"/>
      <c r="T1259" s="60"/>
      <c r="U1259" s="112"/>
    </row>
    <row r="1260" spans="4:21" s="110" customFormat="1" ht="15.75" customHeight="1">
      <c r="D1260" s="113"/>
      <c r="E1260" s="60"/>
      <c r="F1260" s="60"/>
      <c r="G1260" s="60"/>
      <c r="H1260" s="60"/>
      <c r="I1260" s="60"/>
      <c r="J1260" s="114"/>
      <c r="K1260" s="60"/>
      <c r="L1260" s="109"/>
      <c r="M1260" s="109"/>
      <c r="N1260" s="109"/>
      <c r="O1260" s="109"/>
      <c r="P1260" s="109"/>
      <c r="Q1260" s="109"/>
      <c r="S1260" s="111"/>
      <c r="T1260" s="60"/>
      <c r="U1260" s="112"/>
    </row>
    <row r="1261" spans="4:21" s="110" customFormat="1" ht="15.75" customHeight="1">
      <c r="D1261" s="113"/>
      <c r="E1261" s="60"/>
      <c r="F1261" s="60"/>
      <c r="G1261" s="60"/>
      <c r="H1261" s="60"/>
      <c r="I1261" s="60"/>
      <c r="J1261" s="114"/>
      <c r="K1261" s="60"/>
      <c r="L1261" s="109"/>
      <c r="M1261" s="109"/>
      <c r="N1261" s="109"/>
      <c r="O1261" s="109"/>
      <c r="P1261" s="109"/>
      <c r="Q1261" s="109"/>
      <c r="S1261" s="111"/>
      <c r="T1261" s="60"/>
      <c r="U1261" s="112"/>
    </row>
    <row r="1262" spans="4:21" s="110" customFormat="1" ht="15.75" customHeight="1">
      <c r="D1262" s="113"/>
      <c r="E1262" s="60"/>
      <c r="F1262" s="60"/>
      <c r="G1262" s="60"/>
      <c r="H1262" s="60"/>
      <c r="I1262" s="60"/>
      <c r="J1262" s="114"/>
      <c r="K1262" s="60"/>
      <c r="L1262" s="109"/>
      <c r="M1262" s="109"/>
      <c r="N1262" s="109"/>
      <c r="O1262" s="109"/>
      <c r="P1262" s="109"/>
      <c r="Q1262" s="109"/>
      <c r="S1262" s="111"/>
      <c r="T1262" s="60"/>
      <c r="U1262" s="112"/>
    </row>
    <row r="1263" spans="4:21" s="110" customFormat="1" ht="15.75" customHeight="1">
      <c r="D1263" s="113"/>
      <c r="E1263" s="60"/>
      <c r="F1263" s="60"/>
      <c r="G1263" s="60"/>
      <c r="H1263" s="60"/>
      <c r="I1263" s="60"/>
      <c r="J1263" s="114"/>
      <c r="K1263" s="60"/>
      <c r="L1263" s="109"/>
      <c r="M1263" s="109"/>
      <c r="N1263" s="109"/>
      <c r="O1263" s="109"/>
      <c r="P1263" s="109"/>
      <c r="Q1263" s="109"/>
      <c r="S1263" s="111"/>
      <c r="T1263" s="60"/>
      <c r="U1263" s="112"/>
    </row>
    <row r="1264" spans="4:21" s="110" customFormat="1" ht="15.75" customHeight="1">
      <c r="D1264" s="113"/>
      <c r="E1264" s="60"/>
      <c r="F1264" s="60"/>
      <c r="G1264" s="60"/>
      <c r="H1264" s="60"/>
      <c r="I1264" s="60"/>
      <c r="J1264" s="114"/>
      <c r="K1264" s="60"/>
      <c r="L1264" s="109"/>
      <c r="M1264" s="109"/>
      <c r="N1264" s="109"/>
      <c r="O1264" s="109"/>
      <c r="P1264" s="109"/>
      <c r="Q1264" s="109"/>
      <c r="S1264" s="111"/>
      <c r="T1264" s="60"/>
      <c r="U1264" s="112"/>
    </row>
    <row r="1265" spans="4:21" s="110" customFormat="1" ht="15.75" customHeight="1">
      <c r="D1265" s="113"/>
      <c r="E1265" s="60"/>
      <c r="F1265" s="60"/>
      <c r="G1265" s="60"/>
      <c r="H1265" s="60"/>
      <c r="I1265" s="60"/>
      <c r="J1265" s="114"/>
      <c r="K1265" s="60"/>
      <c r="L1265" s="109"/>
      <c r="M1265" s="109"/>
      <c r="N1265" s="109"/>
      <c r="O1265" s="109"/>
      <c r="P1265" s="109"/>
      <c r="Q1265" s="109"/>
      <c r="S1265" s="111"/>
      <c r="T1265" s="60"/>
      <c r="U1265" s="112"/>
    </row>
    <row r="1266" spans="4:21" s="110" customFormat="1" ht="15.75" customHeight="1">
      <c r="D1266" s="113"/>
      <c r="E1266" s="60"/>
      <c r="F1266" s="60"/>
      <c r="G1266" s="60"/>
      <c r="H1266" s="60"/>
      <c r="I1266" s="60"/>
      <c r="J1266" s="114"/>
      <c r="K1266" s="60"/>
      <c r="L1266" s="109"/>
      <c r="M1266" s="109"/>
      <c r="N1266" s="109"/>
      <c r="O1266" s="109"/>
      <c r="P1266" s="109"/>
      <c r="Q1266" s="109"/>
      <c r="S1266" s="111"/>
      <c r="T1266" s="60"/>
      <c r="U1266" s="112"/>
    </row>
    <row r="1267" spans="4:21" s="110" customFormat="1" ht="15.75" customHeight="1">
      <c r="D1267" s="113"/>
      <c r="E1267" s="60"/>
      <c r="F1267" s="60"/>
      <c r="G1267" s="60"/>
      <c r="H1267" s="60"/>
      <c r="I1267" s="60"/>
      <c r="J1267" s="114"/>
      <c r="K1267" s="60"/>
      <c r="L1267" s="109"/>
      <c r="M1267" s="109"/>
      <c r="N1267" s="109"/>
      <c r="O1267" s="109"/>
      <c r="P1267" s="109"/>
      <c r="Q1267" s="109"/>
      <c r="S1267" s="111"/>
      <c r="T1267" s="60"/>
      <c r="U1267" s="112"/>
    </row>
    <row r="1268" spans="4:21" s="110" customFormat="1" ht="15.75" customHeight="1">
      <c r="D1268" s="113"/>
      <c r="E1268" s="60"/>
      <c r="F1268" s="60"/>
      <c r="G1268" s="60"/>
      <c r="H1268" s="60"/>
      <c r="I1268" s="60"/>
      <c r="J1268" s="114"/>
      <c r="K1268" s="60"/>
      <c r="L1268" s="109"/>
      <c r="M1268" s="109"/>
      <c r="N1268" s="109"/>
      <c r="O1268" s="109"/>
      <c r="P1268" s="109"/>
      <c r="Q1268" s="109"/>
      <c r="S1268" s="111"/>
      <c r="T1268" s="60"/>
      <c r="U1268" s="112"/>
    </row>
    <row r="1269" spans="4:21" s="110" customFormat="1" ht="15.75" customHeight="1">
      <c r="D1269" s="113"/>
      <c r="E1269" s="60"/>
      <c r="F1269" s="60"/>
      <c r="G1269" s="60"/>
      <c r="H1269" s="60"/>
      <c r="I1269" s="60"/>
      <c r="J1269" s="114"/>
      <c r="K1269" s="60"/>
      <c r="L1269" s="109"/>
      <c r="M1269" s="109"/>
      <c r="N1269" s="109"/>
      <c r="O1269" s="109"/>
      <c r="P1269" s="109"/>
      <c r="Q1269" s="109"/>
      <c r="S1269" s="111"/>
      <c r="T1269" s="60"/>
      <c r="U1269" s="112"/>
    </row>
    <row r="1270" spans="4:21" s="110" customFormat="1" ht="15.75" customHeight="1">
      <c r="D1270" s="113"/>
      <c r="E1270" s="60"/>
      <c r="F1270" s="60"/>
      <c r="G1270" s="60"/>
      <c r="H1270" s="60"/>
      <c r="I1270" s="60"/>
      <c r="J1270" s="114"/>
      <c r="K1270" s="60"/>
      <c r="L1270" s="109"/>
      <c r="M1270" s="109"/>
      <c r="N1270" s="109"/>
      <c r="O1270" s="109"/>
      <c r="P1270" s="109"/>
      <c r="Q1270" s="109"/>
      <c r="S1270" s="111"/>
      <c r="T1270" s="60"/>
      <c r="U1270" s="112"/>
    </row>
    <row r="1271" spans="4:21" s="110" customFormat="1" ht="15.75" customHeight="1">
      <c r="D1271" s="113"/>
      <c r="E1271" s="60"/>
      <c r="F1271" s="60"/>
      <c r="G1271" s="60"/>
      <c r="H1271" s="60"/>
      <c r="I1271" s="60"/>
      <c r="J1271" s="114"/>
      <c r="K1271" s="60"/>
      <c r="L1271" s="109"/>
      <c r="M1271" s="109"/>
      <c r="N1271" s="109"/>
      <c r="O1271" s="109"/>
      <c r="P1271" s="109"/>
      <c r="Q1271" s="109"/>
      <c r="S1271" s="111"/>
      <c r="T1271" s="60"/>
      <c r="U1271" s="112"/>
    </row>
    <row r="1272" spans="4:21" s="110" customFormat="1" ht="15.75" customHeight="1">
      <c r="D1272" s="113"/>
      <c r="E1272" s="60"/>
      <c r="F1272" s="60"/>
      <c r="G1272" s="60"/>
      <c r="H1272" s="60"/>
      <c r="I1272" s="60"/>
      <c r="J1272" s="114"/>
      <c r="K1272" s="60"/>
      <c r="L1272" s="109"/>
      <c r="M1272" s="109"/>
      <c r="N1272" s="109"/>
      <c r="O1272" s="109"/>
      <c r="P1272" s="109"/>
      <c r="Q1272" s="109"/>
      <c r="S1272" s="111"/>
      <c r="T1272" s="60"/>
      <c r="U1272" s="112"/>
    </row>
    <row r="1273" spans="4:21" s="110" customFormat="1" ht="15.75" customHeight="1">
      <c r="D1273" s="113"/>
      <c r="E1273" s="60"/>
      <c r="F1273" s="60"/>
      <c r="G1273" s="60"/>
      <c r="H1273" s="60"/>
      <c r="I1273" s="60"/>
      <c r="J1273" s="114"/>
      <c r="K1273" s="60"/>
      <c r="L1273" s="109"/>
      <c r="M1273" s="109"/>
      <c r="N1273" s="109"/>
      <c r="O1273" s="109"/>
      <c r="P1273" s="109"/>
      <c r="Q1273" s="109"/>
      <c r="S1273" s="111"/>
      <c r="T1273" s="60"/>
      <c r="U1273" s="112"/>
    </row>
    <row r="1274" spans="4:21" s="110" customFormat="1" ht="15.75" customHeight="1">
      <c r="D1274" s="113"/>
      <c r="E1274" s="60"/>
      <c r="F1274" s="60"/>
      <c r="G1274" s="60"/>
      <c r="H1274" s="60"/>
      <c r="I1274" s="60"/>
      <c r="J1274" s="114"/>
      <c r="K1274" s="60"/>
      <c r="L1274" s="109"/>
      <c r="M1274" s="109"/>
      <c r="N1274" s="109"/>
      <c r="O1274" s="109"/>
      <c r="P1274" s="109"/>
      <c r="Q1274" s="109"/>
      <c r="S1274" s="111"/>
      <c r="T1274" s="60"/>
      <c r="U1274" s="112"/>
    </row>
    <row r="1275" spans="4:21" s="110" customFormat="1" ht="15.75" customHeight="1">
      <c r="D1275" s="113"/>
      <c r="E1275" s="60"/>
      <c r="F1275" s="60"/>
      <c r="G1275" s="60"/>
      <c r="H1275" s="60"/>
      <c r="I1275" s="60"/>
      <c r="J1275" s="114"/>
      <c r="K1275" s="60"/>
      <c r="L1275" s="109"/>
      <c r="M1275" s="109"/>
      <c r="N1275" s="109"/>
      <c r="O1275" s="109"/>
      <c r="P1275" s="109"/>
      <c r="Q1275" s="109"/>
      <c r="S1275" s="111"/>
      <c r="T1275" s="60"/>
      <c r="U1275" s="112"/>
    </row>
    <row r="1276" spans="4:21" s="110" customFormat="1" ht="15.75" customHeight="1">
      <c r="D1276" s="113"/>
      <c r="E1276" s="60"/>
      <c r="F1276" s="60"/>
      <c r="G1276" s="60"/>
      <c r="H1276" s="60"/>
      <c r="I1276" s="60"/>
      <c r="J1276" s="114"/>
      <c r="K1276" s="60"/>
      <c r="L1276" s="109"/>
      <c r="M1276" s="109"/>
      <c r="N1276" s="109"/>
      <c r="O1276" s="109"/>
      <c r="P1276" s="109"/>
      <c r="Q1276" s="109"/>
      <c r="S1276" s="111"/>
      <c r="T1276" s="60"/>
      <c r="U1276" s="112"/>
    </row>
    <row r="1277" spans="4:21" s="110" customFormat="1" ht="15.75" customHeight="1">
      <c r="D1277" s="113"/>
      <c r="E1277" s="60"/>
      <c r="F1277" s="60"/>
      <c r="G1277" s="60"/>
      <c r="H1277" s="60"/>
      <c r="I1277" s="60"/>
      <c r="J1277" s="114"/>
      <c r="K1277" s="60"/>
      <c r="L1277" s="109"/>
      <c r="M1277" s="109"/>
      <c r="N1277" s="109"/>
      <c r="O1277" s="109"/>
      <c r="P1277" s="109"/>
      <c r="Q1277" s="109"/>
      <c r="S1277" s="111"/>
      <c r="T1277" s="60"/>
      <c r="U1277" s="112"/>
    </row>
    <row r="1278" spans="4:21" s="110" customFormat="1" ht="15.75" customHeight="1">
      <c r="D1278" s="113"/>
      <c r="E1278" s="60"/>
      <c r="F1278" s="60"/>
      <c r="G1278" s="60"/>
      <c r="H1278" s="60"/>
      <c r="I1278" s="60"/>
      <c r="J1278" s="114"/>
      <c r="K1278" s="60"/>
      <c r="L1278" s="109"/>
      <c r="M1278" s="109"/>
      <c r="N1278" s="109"/>
      <c r="O1278" s="109"/>
      <c r="P1278" s="109"/>
      <c r="Q1278" s="109"/>
      <c r="S1278" s="111"/>
      <c r="T1278" s="60"/>
      <c r="U1278" s="112"/>
    </row>
    <row r="1279" spans="4:21" s="110" customFormat="1" ht="15.75" customHeight="1">
      <c r="D1279" s="113"/>
      <c r="E1279" s="60"/>
      <c r="F1279" s="60"/>
      <c r="G1279" s="60"/>
      <c r="H1279" s="60"/>
      <c r="I1279" s="60"/>
      <c r="J1279" s="114"/>
      <c r="K1279" s="60"/>
      <c r="L1279" s="109"/>
      <c r="M1279" s="109"/>
      <c r="N1279" s="109"/>
      <c r="O1279" s="109"/>
      <c r="P1279" s="109"/>
      <c r="Q1279" s="109"/>
      <c r="S1279" s="111"/>
      <c r="T1279" s="60"/>
      <c r="U1279" s="112"/>
    </row>
    <row r="1280" spans="4:21" s="110" customFormat="1" ht="15.75" customHeight="1">
      <c r="D1280" s="113"/>
      <c r="E1280" s="60"/>
      <c r="F1280" s="60"/>
      <c r="G1280" s="60"/>
      <c r="H1280" s="60"/>
      <c r="I1280" s="60"/>
      <c r="J1280" s="114"/>
      <c r="K1280" s="60"/>
      <c r="L1280" s="109"/>
      <c r="M1280" s="109"/>
      <c r="N1280" s="109"/>
      <c r="O1280" s="109"/>
      <c r="P1280" s="109"/>
      <c r="Q1280" s="109"/>
      <c r="S1280" s="111"/>
      <c r="T1280" s="60"/>
      <c r="U1280" s="112"/>
    </row>
    <row r="1281" spans="4:21" s="110" customFormat="1" ht="15.75" customHeight="1">
      <c r="D1281" s="113"/>
      <c r="E1281" s="60"/>
      <c r="F1281" s="60"/>
      <c r="G1281" s="60"/>
      <c r="H1281" s="60"/>
      <c r="I1281" s="60"/>
      <c r="J1281" s="114"/>
      <c r="K1281" s="60"/>
      <c r="L1281" s="109"/>
      <c r="M1281" s="109"/>
      <c r="N1281" s="109"/>
      <c r="O1281" s="109"/>
      <c r="P1281" s="109"/>
      <c r="Q1281" s="109"/>
      <c r="S1281" s="111"/>
      <c r="T1281" s="60"/>
      <c r="U1281" s="112"/>
    </row>
    <row r="1282" spans="4:21" s="110" customFormat="1" ht="15.75" customHeight="1">
      <c r="D1282" s="113"/>
      <c r="E1282" s="60"/>
      <c r="F1282" s="60"/>
      <c r="G1282" s="60"/>
      <c r="H1282" s="60"/>
      <c r="I1282" s="60"/>
      <c r="J1282" s="114"/>
      <c r="K1282" s="60"/>
      <c r="L1282" s="109"/>
      <c r="M1282" s="109"/>
      <c r="N1282" s="109"/>
      <c r="O1282" s="109"/>
      <c r="P1282" s="109"/>
      <c r="Q1282" s="109"/>
      <c r="S1282" s="111"/>
      <c r="T1282" s="60"/>
      <c r="U1282" s="112"/>
    </row>
    <row r="1283" spans="4:21" s="110" customFormat="1" ht="15.75" customHeight="1">
      <c r="D1283" s="113"/>
      <c r="E1283" s="60"/>
      <c r="F1283" s="60"/>
      <c r="G1283" s="60"/>
      <c r="H1283" s="60"/>
      <c r="I1283" s="60"/>
      <c r="J1283" s="114"/>
      <c r="K1283" s="60"/>
      <c r="L1283" s="109"/>
      <c r="M1283" s="109"/>
      <c r="N1283" s="109"/>
      <c r="O1283" s="109"/>
      <c r="P1283" s="109"/>
      <c r="Q1283" s="109"/>
      <c r="S1283" s="111"/>
      <c r="T1283" s="60"/>
      <c r="U1283" s="112"/>
    </row>
    <row r="1284" spans="4:21" s="110" customFormat="1" ht="15.75" customHeight="1">
      <c r="D1284" s="113"/>
      <c r="E1284" s="60"/>
      <c r="F1284" s="60"/>
      <c r="G1284" s="60"/>
      <c r="H1284" s="60"/>
      <c r="I1284" s="60"/>
      <c r="J1284" s="114"/>
      <c r="K1284" s="60"/>
      <c r="L1284" s="109"/>
      <c r="M1284" s="109"/>
      <c r="N1284" s="109"/>
      <c r="O1284" s="109"/>
      <c r="P1284" s="109"/>
      <c r="Q1284" s="109"/>
      <c r="S1284" s="111"/>
      <c r="T1284" s="60"/>
      <c r="U1284" s="112"/>
    </row>
    <row r="1285" spans="4:21" s="110" customFormat="1" ht="15.75" customHeight="1">
      <c r="D1285" s="113"/>
      <c r="E1285" s="60"/>
      <c r="F1285" s="60"/>
      <c r="G1285" s="60"/>
      <c r="H1285" s="60"/>
      <c r="I1285" s="60"/>
      <c r="J1285" s="114"/>
      <c r="K1285" s="60"/>
      <c r="L1285" s="109"/>
      <c r="M1285" s="109"/>
      <c r="N1285" s="109"/>
      <c r="O1285" s="109"/>
      <c r="P1285" s="109"/>
      <c r="Q1285" s="109"/>
      <c r="S1285" s="111"/>
      <c r="T1285" s="60"/>
      <c r="U1285" s="112"/>
    </row>
    <row r="1286" spans="4:21" s="110" customFormat="1" ht="15.75" customHeight="1">
      <c r="D1286" s="113"/>
      <c r="E1286" s="60"/>
      <c r="F1286" s="60"/>
      <c r="G1286" s="60"/>
      <c r="H1286" s="60"/>
      <c r="I1286" s="60"/>
      <c r="J1286" s="114"/>
      <c r="K1286" s="60"/>
      <c r="L1286" s="109"/>
      <c r="M1286" s="109"/>
      <c r="N1286" s="109"/>
      <c r="O1286" s="109"/>
      <c r="P1286" s="109"/>
      <c r="Q1286" s="109"/>
      <c r="S1286" s="111"/>
      <c r="T1286" s="60"/>
      <c r="U1286" s="112"/>
    </row>
    <row r="1287" spans="4:21" s="110" customFormat="1" ht="15.75" customHeight="1">
      <c r="D1287" s="113"/>
      <c r="E1287" s="60"/>
      <c r="F1287" s="60"/>
      <c r="G1287" s="60"/>
      <c r="H1287" s="60"/>
      <c r="I1287" s="60"/>
      <c r="J1287" s="114"/>
      <c r="K1287" s="60"/>
      <c r="L1287" s="109"/>
      <c r="M1287" s="109"/>
      <c r="N1287" s="109"/>
      <c r="O1287" s="109"/>
      <c r="P1287" s="109"/>
      <c r="Q1287" s="109"/>
      <c r="S1287" s="111"/>
      <c r="T1287" s="60"/>
      <c r="U1287" s="112"/>
    </row>
    <row r="1288" spans="4:21" s="110" customFormat="1" ht="15.75" customHeight="1">
      <c r="D1288" s="113"/>
      <c r="E1288" s="60"/>
      <c r="F1288" s="60"/>
      <c r="G1288" s="60"/>
      <c r="H1288" s="60"/>
      <c r="I1288" s="60"/>
      <c r="J1288" s="114"/>
      <c r="K1288" s="60"/>
      <c r="L1288" s="109"/>
      <c r="M1288" s="109"/>
      <c r="N1288" s="109"/>
      <c r="O1288" s="109"/>
      <c r="P1288" s="109"/>
      <c r="Q1288" s="109"/>
      <c r="S1288" s="111"/>
      <c r="T1288" s="60"/>
      <c r="U1288" s="112"/>
    </row>
    <row r="1289" spans="4:21" s="110" customFormat="1" ht="15.75" customHeight="1">
      <c r="D1289" s="113"/>
      <c r="E1289" s="60"/>
      <c r="F1289" s="60"/>
      <c r="G1289" s="60"/>
      <c r="H1289" s="60"/>
      <c r="I1289" s="60"/>
      <c r="J1289" s="114"/>
      <c r="K1289" s="60"/>
      <c r="L1289" s="109"/>
      <c r="M1289" s="109"/>
      <c r="N1289" s="109"/>
      <c r="O1289" s="109"/>
      <c r="P1289" s="109"/>
      <c r="Q1289" s="109"/>
      <c r="S1289" s="111"/>
      <c r="T1289" s="60"/>
      <c r="U1289" s="112"/>
    </row>
    <row r="1290" spans="4:21" s="110" customFormat="1" ht="15.75" customHeight="1">
      <c r="D1290" s="113"/>
      <c r="E1290" s="60"/>
      <c r="F1290" s="60"/>
      <c r="G1290" s="60"/>
      <c r="H1290" s="60"/>
      <c r="I1290" s="60"/>
      <c r="J1290" s="114"/>
      <c r="K1290" s="60"/>
      <c r="L1290" s="109"/>
      <c r="M1290" s="109"/>
      <c r="N1290" s="109"/>
      <c r="O1290" s="109"/>
      <c r="P1290" s="109"/>
      <c r="Q1290" s="109"/>
      <c r="S1290" s="111"/>
      <c r="T1290" s="60"/>
      <c r="U1290" s="112"/>
    </row>
    <row r="1291" spans="4:21" s="110" customFormat="1" ht="15.75" customHeight="1">
      <c r="D1291" s="113"/>
      <c r="E1291" s="60"/>
      <c r="F1291" s="60"/>
      <c r="G1291" s="60"/>
      <c r="H1291" s="60"/>
      <c r="I1291" s="60"/>
      <c r="J1291" s="114"/>
      <c r="K1291" s="60"/>
      <c r="L1291" s="109"/>
      <c r="M1291" s="109"/>
      <c r="N1291" s="109"/>
      <c r="O1291" s="109"/>
      <c r="P1291" s="109"/>
      <c r="Q1291" s="109"/>
      <c r="S1291" s="111"/>
      <c r="T1291" s="60"/>
      <c r="U1291" s="112"/>
    </row>
    <row r="1292" spans="4:21" s="110" customFormat="1" ht="15.75" customHeight="1">
      <c r="D1292" s="113"/>
      <c r="E1292" s="60"/>
      <c r="F1292" s="60"/>
      <c r="G1292" s="60"/>
      <c r="H1292" s="60"/>
      <c r="I1292" s="60"/>
      <c r="J1292" s="114"/>
      <c r="K1292" s="60"/>
      <c r="L1292" s="109"/>
      <c r="M1292" s="109"/>
      <c r="N1292" s="109"/>
      <c r="O1292" s="109"/>
      <c r="P1292" s="109"/>
      <c r="Q1292" s="109"/>
      <c r="S1292" s="111"/>
      <c r="T1292" s="60"/>
      <c r="U1292" s="112"/>
    </row>
    <row r="1293" spans="4:21" s="110" customFormat="1" ht="15.75" customHeight="1">
      <c r="D1293" s="113"/>
      <c r="E1293" s="60"/>
      <c r="F1293" s="60"/>
      <c r="G1293" s="60"/>
      <c r="H1293" s="60"/>
      <c r="I1293" s="60"/>
      <c r="J1293" s="114"/>
      <c r="K1293" s="60"/>
      <c r="L1293" s="109"/>
      <c r="M1293" s="109"/>
      <c r="N1293" s="109"/>
      <c r="O1293" s="109"/>
      <c r="P1293" s="109"/>
      <c r="Q1293" s="109"/>
      <c r="S1293" s="111"/>
      <c r="T1293" s="60"/>
      <c r="U1293" s="112"/>
    </row>
    <row r="1294" spans="4:21" s="110" customFormat="1" ht="15.75" customHeight="1">
      <c r="D1294" s="113"/>
      <c r="E1294" s="60"/>
      <c r="F1294" s="60"/>
      <c r="G1294" s="60"/>
      <c r="H1294" s="60"/>
      <c r="I1294" s="60"/>
      <c r="J1294" s="114"/>
      <c r="K1294" s="60"/>
      <c r="L1294" s="109"/>
      <c r="M1294" s="109"/>
      <c r="N1294" s="109"/>
      <c r="O1294" s="109"/>
      <c r="P1294" s="109"/>
      <c r="Q1294" s="109"/>
      <c r="S1294" s="111"/>
      <c r="T1294" s="60"/>
      <c r="U1294" s="112"/>
    </row>
    <row r="1295" spans="4:21" s="110" customFormat="1" ht="15.75" customHeight="1">
      <c r="D1295" s="113"/>
      <c r="E1295" s="60"/>
      <c r="F1295" s="60"/>
      <c r="G1295" s="60"/>
      <c r="H1295" s="60"/>
      <c r="I1295" s="60"/>
      <c r="J1295" s="114"/>
      <c r="K1295" s="60"/>
      <c r="L1295" s="109"/>
      <c r="M1295" s="109"/>
      <c r="N1295" s="109"/>
      <c r="O1295" s="109"/>
      <c r="P1295" s="109"/>
      <c r="Q1295" s="109"/>
      <c r="S1295" s="111"/>
      <c r="T1295" s="60"/>
      <c r="U1295" s="112"/>
    </row>
    <row r="1296" spans="4:21" s="110" customFormat="1" ht="15.75" customHeight="1">
      <c r="D1296" s="113"/>
      <c r="E1296" s="60"/>
      <c r="F1296" s="60"/>
      <c r="G1296" s="60"/>
      <c r="H1296" s="60"/>
      <c r="I1296" s="60"/>
      <c r="J1296" s="114"/>
      <c r="K1296" s="60"/>
      <c r="L1296" s="109"/>
      <c r="M1296" s="109"/>
      <c r="N1296" s="109"/>
      <c r="O1296" s="109"/>
      <c r="P1296" s="109"/>
      <c r="Q1296" s="109"/>
      <c r="S1296" s="111"/>
      <c r="T1296" s="60"/>
      <c r="U1296" s="112"/>
    </row>
    <row r="1297" spans="4:21" s="110" customFormat="1" ht="15.75" customHeight="1">
      <c r="D1297" s="113"/>
      <c r="E1297" s="60"/>
      <c r="F1297" s="60"/>
      <c r="G1297" s="60"/>
      <c r="H1297" s="60"/>
      <c r="I1297" s="60"/>
      <c r="J1297" s="114"/>
      <c r="K1297" s="60"/>
      <c r="L1297" s="109"/>
      <c r="M1297" s="109"/>
      <c r="N1297" s="109"/>
      <c r="O1297" s="109"/>
      <c r="P1297" s="109"/>
      <c r="Q1297" s="109"/>
      <c r="S1297" s="111"/>
      <c r="T1297" s="60"/>
      <c r="U1297" s="112"/>
    </row>
    <row r="1298" spans="4:21" s="110" customFormat="1" ht="15.75" customHeight="1">
      <c r="D1298" s="113"/>
      <c r="E1298" s="60"/>
      <c r="F1298" s="60"/>
      <c r="G1298" s="60"/>
      <c r="H1298" s="60"/>
      <c r="I1298" s="60"/>
      <c r="J1298" s="114"/>
      <c r="K1298" s="60"/>
      <c r="L1298" s="109"/>
      <c r="M1298" s="109"/>
      <c r="N1298" s="109"/>
      <c r="O1298" s="109"/>
      <c r="P1298" s="109"/>
      <c r="Q1298" s="109"/>
      <c r="S1298" s="111"/>
      <c r="T1298" s="60"/>
      <c r="U1298" s="112"/>
    </row>
    <row r="1299" spans="4:21" s="110" customFormat="1" ht="15.75" customHeight="1">
      <c r="D1299" s="113"/>
      <c r="E1299" s="60"/>
      <c r="F1299" s="60"/>
      <c r="G1299" s="60"/>
      <c r="H1299" s="60"/>
      <c r="I1299" s="60"/>
      <c r="J1299" s="114"/>
      <c r="K1299" s="60"/>
      <c r="L1299" s="109"/>
      <c r="M1299" s="109"/>
      <c r="N1299" s="109"/>
      <c r="O1299" s="109"/>
      <c r="P1299" s="109"/>
      <c r="Q1299" s="109"/>
      <c r="S1299" s="111"/>
      <c r="T1299" s="60"/>
      <c r="U1299" s="112"/>
    </row>
    <row r="1300" spans="4:21" s="110" customFormat="1" ht="15.75" customHeight="1">
      <c r="D1300" s="113"/>
      <c r="E1300" s="60"/>
      <c r="F1300" s="60"/>
      <c r="G1300" s="60"/>
      <c r="H1300" s="60"/>
      <c r="I1300" s="60"/>
      <c r="J1300" s="114"/>
      <c r="K1300" s="60"/>
      <c r="L1300" s="109"/>
      <c r="M1300" s="109"/>
      <c r="N1300" s="109"/>
      <c r="O1300" s="109"/>
      <c r="P1300" s="109"/>
      <c r="Q1300" s="109"/>
      <c r="S1300" s="111"/>
      <c r="T1300" s="60"/>
      <c r="U1300" s="112"/>
    </row>
    <row r="1301" spans="4:21" s="110" customFormat="1" ht="15.75" customHeight="1">
      <c r="D1301" s="113"/>
      <c r="E1301" s="60"/>
      <c r="F1301" s="60"/>
      <c r="G1301" s="60"/>
      <c r="H1301" s="60"/>
      <c r="I1301" s="60"/>
      <c r="J1301" s="114"/>
      <c r="K1301" s="60"/>
      <c r="L1301" s="109"/>
      <c r="M1301" s="109"/>
      <c r="N1301" s="109"/>
      <c r="O1301" s="109"/>
      <c r="P1301" s="109"/>
      <c r="Q1301" s="109"/>
      <c r="S1301" s="111"/>
      <c r="T1301" s="60"/>
      <c r="U1301" s="112"/>
    </row>
    <row r="1302" spans="4:21" s="110" customFormat="1" ht="15.75" customHeight="1">
      <c r="D1302" s="113"/>
      <c r="E1302" s="60"/>
      <c r="F1302" s="60"/>
      <c r="G1302" s="60"/>
      <c r="H1302" s="60"/>
      <c r="I1302" s="60"/>
      <c r="J1302" s="114"/>
      <c r="K1302" s="60"/>
      <c r="L1302" s="109"/>
      <c r="M1302" s="109"/>
      <c r="N1302" s="109"/>
      <c r="O1302" s="109"/>
      <c r="P1302" s="109"/>
      <c r="Q1302" s="109"/>
      <c r="S1302" s="111"/>
      <c r="T1302" s="60"/>
      <c r="U1302" s="112"/>
    </row>
    <row r="1303" spans="4:21" s="110" customFormat="1" ht="15.75" customHeight="1">
      <c r="D1303" s="113"/>
      <c r="E1303" s="60"/>
      <c r="F1303" s="60"/>
      <c r="G1303" s="60"/>
      <c r="H1303" s="60"/>
      <c r="I1303" s="60"/>
      <c r="J1303" s="114"/>
      <c r="K1303" s="60"/>
      <c r="L1303" s="109"/>
      <c r="M1303" s="109"/>
      <c r="N1303" s="109"/>
      <c r="O1303" s="109"/>
      <c r="P1303" s="109"/>
      <c r="Q1303" s="109"/>
      <c r="S1303" s="111"/>
      <c r="T1303" s="60"/>
      <c r="U1303" s="112"/>
    </row>
    <row r="1304" spans="4:21" s="110" customFormat="1" ht="15.75" customHeight="1">
      <c r="D1304" s="113"/>
      <c r="E1304" s="60"/>
      <c r="F1304" s="60"/>
      <c r="G1304" s="60"/>
      <c r="H1304" s="60"/>
      <c r="I1304" s="60"/>
      <c r="J1304" s="114"/>
      <c r="K1304" s="60"/>
      <c r="L1304" s="109"/>
      <c r="M1304" s="109"/>
      <c r="N1304" s="109"/>
      <c r="O1304" s="109"/>
      <c r="P1304" s="109"/>
      <c r="Q1304" s="109"/>
      <c r="S1304" s="111"/>
      <c r="T1304" s="60"/>
      <c r="U1304" s="112"/>
    </row>
    <row r="1305" spans="4:21" s="110" customFormat="1" ht="15.75" customHeight="1">
      <c r="D1305" s="113"/>
      <c r="E1305" s="60"/>
      <c r="F1305" s="60"/>
      <c r="G1305" s="60"/>
      <c r="H1305" s="60"/>
      <c r="I1305" s="60"/>
      <c r="J1305" s="114"/>
      <c r="K1305" s="60"/>
      <c r="L1305" s="109"/>
      <c r="M1305" s="109"/>
      <c r="N1305" s="109"/>
      <c r="O1305" s="109"/>
      <c r="P1305" s="109"/>
      <c r="Q1305" s="109"/>
      <c r="S1305" s="111"/>
      <c r="T1305" s="60"/>
      <c r="U1305" s="112"/>
    </row>
    <row r="1306" spans="4:21" s="110" customFormat="1" ht="15.75" customHeight="1">
      <c r="D1306" s="113"/>
      <c r="E1306" s="60"/>
      <c r="F1306" s="60"/>
      <c r="G1306" s="60"/>
      <c r="H1306" s="60"/>
      <c r="I1306" s="60"/>
      <c r="J1306" s="114"/>
      <c r="K1306" s="60"/>
      <c r="L1306" s="109"/>
      <c r="M1306" s="109"/>
      <c r="N1306" s="109"/>
      <c r="O1306" s="109"/>
      <c r="P1306" s="109"/>
      <c r="Q1306" s="109"/>
      <c r="S1306" s="111"/>
      <c r="T1306" s="60"/>
      <c r="U1306" s="112"/>
    </row>
    <row r="1307" spans="4:21" s="110" customFormat="1" ht="15.75" customHeight="1">
      <c r="D1307" s="113"/>
      <c r="E1307" s="60"/>
      <c r="F1307" s="60"/>
      <c r="G1307" s="60"/>
      <c r="H1307" s="60"/>
      <c r="I1307" s="60"/>
      <c r="J1307" s="114"/>
      <c r="K1307" s="60"/>
      <c r="L1307" s="109"/>
      <c r="M1307" s="109"/>
      <c r="N1307" s="109"/>
      <c r="O1307" s="109"/>
      <c r="P1307" s="109"/>
      <c r="Q1307" s="109"/>
      <c r="S1307" s="111"/>
      <c r="T1307" s="60"/>
      <c r="U1307" s="112"/>
    </row>
    <row r="1308" spans="4:21" s="110" customFormat="1" ht="15.75" customHeight="1">
      <c r="D1308" s="113"/>
      <c r="E1308" s="60"/>
      <c r="F1308" s="60"/>
      <c r="G1308" s="60"/>
      <c r="H1308" s="60"/>
      <c r="I1308" s="60"/>
      <c r="J1308" s="114"/>
      <c r="K1308" s="60"/>
      <c r="L1308" s="109"/>
      <c r="M1308" s="109"/>
      <c r="N1308" s="109"/>
      <c r="O1308" s="109"/>
      <c r="P1308" s="109"/>
      <c r="Q1308" s="109"/>
      <c r="S1308" s="111"/>
      <c r="T1308" s="60"/>
      <c r="U1308" s="112"/>
    </row>
    <row r="1309" spans="4:21" s="110" customFormat="1" ht="15.75" customHeight="1">
      <c r="D1309" s="113"/>
      <c r="E1309" s="60"/>
      <c r="F1309" s="60"/>
      <c r="G1309" s="60"/>
      <c r="H1309" s="60"/>
      <c r="I1309" s="60"/>
      <c r="J1309" s="114"/>
      <c r="K1309" s="60"/>
      <c r="L1309" s="109"/>
      <c r="M1309" s="109"/>
      <c r="N1309" s="109"/>
      <c r="O1309" s="109"/>
      <c r="P1309" s="109"/>
      <c r="Q1309" s="109"/>
      <c r="S1309" s="111"/>
      <c r="T1309" s="60"/>
      <c r="U1309" s="112"/>
    </row>
    <row r="1310" spans="4:21" s="110" customFormat="1" ht="15.75" customHeight="1">
      <c r="D1310" s="113"/>
      <c r="E1310" s="60"/>
      <c r="F1310" s="60"/>
      <c r="G1310" s="60"/>
      <c r="H1310" s="60"/>
      <c r="I1310" s="60"/>
      <c r="J1310" s="114"/>
      <c r="K1310" s="60"/>
      <c r="L1310" s="109"/>
      <c r="M1310" s="109"/>
      <c r="N1310" s="109"/>
      <c r="O1310" s="109"/>
      <c r="P1310" s="109"/>
      <c r="Q1310" s="109"/>
      <c r="S1310" s="111"/>
      <c r="T1310" s="60"/>
      <c r="U1310" s="112"/>
    </row>
    <row r="1311" spans="4:21" s="110" customFormat="1" ht="15.75" customHeight="1">
      <c r="D1311" s="113"/>
      <c r="E1311" s="60"/>
      <c r="F1311" s="60"/>
      <c r="G1311" s="60"/>
      <c r="H1311" s="60"/>
      <c r="I1311" s="60"/>
      <c r="J1311" s="114"/>
      <c r="K1311" s="60"/>
      <c r="L1311" s="109"/>
      <c r="M1311" s="109"/>
      <c r="N1311" s="109"/>
      <c r="O1311" s="109"/>
      <c r="P1311" s="109"/>
      <c r="Q1311" s="109"/>
      <c r="S1311" s="111"/>
      <c r="T1311" s="60"/>
      <c r="U1311" s="112"/>
    </row>
    <row r="1312" spans="4:21" s="110" customFormat="1" ht="15.75" customHeight="1">
      <c r="D1312" s="113"/>
      <c r="E1312" s="60"/>
      <c r="F1312" s="60"/>
      <c r="G1312" s="60"/>
      <c r="H1312" s="60"/>
      <c r="I1312" s="60"/>
      <c r="J1312" s="114"/>
      <c r="K1312" s="60"/>
      <c r="L1312" s="109"/>
      <c r="M1312" s="109"/>
      <c r="N1312" s="109"/>
      <c r="O1312" s="109"/>
      <c r="P1312" s="109"/>
      <c r="Q1312" s="109"/>
      <c r="S1312" s="111"/>
      <c r="T1312" s="60"/>
      <c r="U1312" s="112"/>
    </row>
    <row r="1313" spans="4:21" s="110" customFormat="1" ht="15.75" customHeight="1">
      <c r="D1313" s="113"/>
      <c r="E1313" s="60"/>
      <c r="F1313" s="60"/>
      <c r="G1313" s="60"/>
      <c r="H1313" s="60"/>
      <c r="I1313" s="60"/>
      <c r="J1313" s="114"/>
      <c r="K1313" s="60"/>
      <c r="L1313" s="109"/>
      <c r="M1313" s="109"/>
      <c r="N1313" s="109"/>
      <c r="O1313" s="109"/>
      <c r="P1313" s="109"/>
      <c r="Q1313" s="109"/>
      <c r="S1313" s="111"/>
      <c r="T1313" s="60"/>
      <c r="U1313" s="112"/>
    </row>
    <row r="1314" spans="4:21" s="110" customFormat="1" ht="15.75" customHeight="1">
      <c r="D1314" s="113"/>
      <c r="E1314" s="60"/>
      <c r="F1314" s="60"/>
      <c r="G1314" s="60"/>
      <c r="H1314" s="60"/>
      <c r="I1314" s="60"/>
      <c r="J1314" s="114"/>
      <c r="K1314" s="60"/>
      <c r="L1314" s="109"/>
      <c r="M1314" s="109"/>
      <c r="N1314" s="109"/>
      <c r="O1314" s="109"/>
      <c r="P1314" s="109"/>
      <c r="Q1314" s="109"/>
      <c r="S1314" s="111"/>
      <c r="T1314" s="60"/>
      <c r="U1314" s="112"/>
    </row>
    <row r="1315" spans="4:21" s="110" customFormat="1" ht="15.75" customHeight="1">
      <c r="D1315" s="113"/>
      <c r="E1315" s="60"/>
      <c r="F1315" s="60"/>
      <c r="G1315" s="60"/>
      <c r="H1315" s="60"/>
      <c r="I1315" s="60"/>
      <c r="J1315" s="114"/>
      <c r="K1315" s="60"/>
      <c r="L1315" s="109"/>
      <c r="M1315" s="109"/>
      <c r="N1315" s="109"/>
      <c r="O1315" s="109"/>
      <c r="P1315" s="109"/>
      <c r="Q1315" s="109"/>
      <c r="S1315" s="111"/>
      <c r="T1315" s="60"/>
      <c r="U1315" s="112"/>
    </row>
    <row r="1316" spans="4:21" s="110" customFormat="1" ht="15.75" customHeight="1">
      <c r="D1316" s="113"/>
      <c r="E1316" s="60"/>
      <c r="F1316" s="60"/>
      <c r="G1316" s="60"/>
      <c r="H1316" s="60"/>
      <c r="I1316" s="60"/>
      <c r="J1316" s="114"/>
      <c r="K1316" s="60"/>
      <c r="L1316" s="109"/>
      <c r="M1316" s="109"/>
      <c r="N1316" s="109"/>
      <c r="O1316" s="109"/>
      <c r="P1316" s="109"/>
      <c r="Q1316" s="109"/>
      <c r="S1316" s="111"/>
      <c r="T1316" s="60"/>
      <c r="U1316" s="112"/>
    </row>
    <row r="1317" spans="4:21" s="110" customFormat="1" ht="15.75" customHeight="1">
      <c r="D1317" s="113"/>
      <c r="E1317" s="60"/>
      <c r="F1317" s="60"/>
      <c r="G1317" s="60"/>
      <c r="H1317" s="60"/>
      <c r="I1317" s="60"/>
      <c r="J1317" s="114"/>
      <c r="K1317" s="60"/>
      <c r="L1317" s="109"/>
      <c r="M1317" s="109"/>
      <c r="N1317" s="109"/>
      <c r="O1317" s="109"/>
      <c r="P1317" s="109"/>
      <c r="Q1317" s="109"/>
      <c r="S1317" s="111"/>
      <c r="T1317" s="60"/>
      <c r="U1317" s="112"/>
    </row>
    <row r="1318" spans="4:21" s="110" customFormat="1" ht="15.75" customHeight="1">
      <c r="D1318" s="113"/>
      <c r="E1318" s="60"/>
      <c r="F1318" s="60"/>
      <c r="G1318" s="60"/>
      <c r="H1318" s="60"/>
      <c r="I1318" s="60"/>
      <c r="J1318" s="114"/>
      <c r="K1318" s="60"/>
      <c r="L1318" s="109"/>
      <c r="M1318" s="109"/>
      <c r="N1318" s="109"/>
      <c r="O1318" s="109"/>
      <c r="P1318" s="109"/>
      <c r="Q1318" s="109"/>
      <c r="S1318" s="111"/>
      <c r="T1318" s="60"/>
      <c r="U1318" s="112"/>
    </row>
    <row r="1319" spans="4:21" s="110" customFormat="1" ht="15.75" customHeight="1">
      <c r="D1319" s="113"/>
      <c r="E1319" s="60"/>
      <c r="F1319" s="60"/>
      <c r="G1319" s="60"/>
      <c r="H1319" s="60"/>
      <c r="I1319" s="60"/>
      <c r="J1319" s="114"/>
      <c r="K1319" s="60"/>
      <c r="L1319" s="109"/>
      <c r="M1319" s="109"/>
      <c r="N1319" s="109"/>
      <c r="O1319" s="109"/>
      <c r="P1319" s="109"/>
      <c r="Q1319" s="109"/>
      <c r="S1319" s="111"/>
      <c r="T1319" s="60"/>
      <c r="U1319" s="112"/>
    </row>
    <row r="1320" spans="4:21" s="110" customFormat="1" ht="15.75" customHeight="1">
      <c r="D1320" s="113"/>
      <c r="E1320" s="60"/>
      <c r="F1320" s="60"/>
      <c r="G1320" s="60"/>
      <c r="H1320" s="60"/>
      <c r="I1320" s="60"/>
      <c r="J1320" s="114"/>
      <c r="K1320" s="60"/>
      <c r="L1320" s="109"/>
      <c r="M1320" s="109"/>
      <c r="N1320" s="109"/>
      <c r="O1320" s="109"/>
      <c r="P1320" s="109"/>
      <c r="Q1320" s="109"/>
      <c r="S1320" s="111"/>
      <c r="T1320" s="60"/>
      <c r="U1320" s="112"/>
    </row>
    <row r="1321" spans="4:21" s="110" customFormat="1" ht="15.75" customHeight="1">
      <c r="D1321" s="113"/>
      <c r="E1321" s="60"/>
      <c r="F1321" s="60"/>
      <c r="G1321" s="60"/>
      <c r="H1321" s="60"/>
      <c r="I1321" s="60"/>
      <c r="J1321" s="114"/>
      <c r="K1321" s="60"/>
      <c r="L1321" s="109"/>
      <c r="M1321" s="109"/>
      <c r="N1321" s="109"/>
      <c r="O1321" s="109"/>
      <c r="P1321" s="109"/>
      <c r="Q1321" s="109"/>
      <c r="S1321" s="111"/>
      <c r="T1321" s="60"/>
      <c r="U1321" s="112"/>
    </row>
    <row r="1322" spans="4:21" s="110" customFormat="1" ht="15.75" customHeight="1">
      <c r="D1322" s="113"/>
      <c r="E1322" s="60"/>
      <c r="F1322" s="60"/>
      <c r="G1322" s="60"/>
      <c r="H1322" s="60"/>
      <c r="I1322" s="60"/>
      <c r="J1322" s="114"/>
      <c r="K1322" s="60"/>
      <c r="L1322" s="109"/>
      <c r="M1322" s="109"/>
      <c r="N1322" s="109"/>
      <c r="O1322" s="109"/>
      <c r="P1322" s="109"/>
      <c r="Q1322" s="109"/>
      <c r="S1322" s="111"/>
      <c r="T1322" s="60"/>
      <c r="U1322" s="112"/>
    </row>
    <row r="1323" spans="4:21" s="110" customFormat="1" ht="15.75" customHeight="1">
      <c r="D1323" s="113"/>
      <c r="E1323" s="60"/>
      <c r="F1323" s="60"/>
      <c r="G1323" s="60"/>
      <c r="H1323" s="60"/>
      <c r="I1323" s="60"/>
      <c r="J1323" s="114"/>
      <c r="K1323" s="60"/>
      <c r="L1323" s="109"/>
      <c r="M1323" s="109"/>
      <c r="N1323" s="109"/>
      <c r="O1323" s="109"/>
      <c r="P1323" s="109"/>
      <c r="Q1323" s="109"/>
      <c r="S1323" s="111"/>
      <c r="T1323" s="60"/>
      <c r="U1323" s="112"/>
    </row>
    <row r="1324" spans="4:21" s="110" customFormat="1" ht="15.75" customHeight="1">
      <c r="D1324" s="113"/>
      <c r="E1324" s="60"/>
      <c r="F1324" s="60"/>
      <c r="G1324" s="60"/>
      <c r="H1324" s="60"/>
      <c r="I1324" s="60"/>
      <c r="J1324" s="114"/>
      <c r="K1324" s="60"/>
      <c r="L1324" s="109"/>
      <c r="M1324" s="109"/>
      <c r="N1324" s="109"/>
      <c r="O1324" s="109"/>
      <c r="P1324" s="109"/>
      <c r="Q1324" s="109"/>
      <c r="S1324" s="111"/>
      <c r="T1324" s="60"/>
      <c r="U1324" s="112"/>
    </row>
    <row r="1325" spans="4:21" s="110" customFormat="1" ht="15.75" customHeight="1">
      <c r="D1325" s="113"/>
      <c r="E1325" s="60"/>
      <c r="F1325" s="60"/>
      <c r="G1325" s="60"/>
      <c r="H1325" s="60"/>
      <c r="I1325" s="60"/>
      <c r="J1325" s="114"/>
      <c r="K1325" s="60"/>
      <c r="L1325" s="109"/>
      <c r="M1325" s="109"/>
      <c r="N1325" s="109"/>
      <c r="O1325" s="109"/>
      <c r="P1325" s="109"/>
      <c r="Q1325" s="109"/>
      <c r="S1325" s="111"/>
      <c r="T1325" s="60"/>
      <c r="U1325" s="112"/>
    </row>
    <row r="1326" spans="4:21" s="110" customFormat="1" ht="15.75" customHeight="1">
      <c r="D1326" s="113"/>
      <c r="E1326" s="60"/>
      <c r="F1326" s="60"/>
      <c r="G1326" s="60"/>
      <c r="H1326" s="60"/>
      <c r="I1326" s="60"/>
      <c r="J1326" s="114"/>
      <c r="K1326" s="60"/>
      <c r="L1326" s="109"/>
      <c r="M1326" s="109"/>
      <c r="N1326" s="109"/>
      <c r="O1326" s="109"/>
      <c r="P1326" s="109"/>
      <c r="Q1326" s="109"/>
      <c r="S1326" s="111"/>
      <c r="T1326" s="60"/>
      <c r="U1326" s="112"/>
    </row>
    <row r="1327" spans="4:21" s="110" customFormat="1" ht="15.75" customHeight="1">
      <c r="D1327" s="113"/>
      <c r="E1327" s="60"/>
      <c r="F1327" s="60"/>
      <c r="G1327" s="60"/>
      <c r="H1327" s="60"/>
      <c r="I1327" s="60"/>
      <c r="J1327" s="114"/>
      <c r="K1327" s="60"/>
      <c r="L1327" s="109"/>
      <c r="M1327" s="109"/>
      <c r="N1327" s="109"/>
      <c r="O1327" s="109"/>
      <c r="P1327" s="109"/>
      <c r="Q1327" s="109"/>
      <c r="S1327" s="111"/>
      <c r="T1327" s="60"/>
      <c r="U1327" s="112"/>
    </row>
    <row r="1328" spans="4:21" s="110" customFormat="1" ht="15.75" customHeight="1">
      <c r="D1328" s="113"/>
      <c r="E1328" s="60"/>
      <c r="F1328" s="60"/>
      <c r="G1328" s="60"/>
      <c r="H1328" s="60"/>
      <c r="I1328" s="60"/>
      <c r="J1328" s="114"/>
      <c r="K1328" s="60"/>
      <c r="L1328" s="109"/>
      <c r="M1328" s="109"/>
      <c r="N1328" s="109"/>
      <c r="O1328" s="109"/>
      <c r="P1328" s="109"/>
      <c r="Q1328" s="109"/>
      <c r="S1328" s="111"/>
      <c r="T1328" s="60"/>
      <c r="U1328" s="112"/>
    </row>
    <row r="1329" spans="4:21" s="110" customFormat="1" ht="15.75" customHeight="1">
      <c r="D1329" s="113"/>
      <c r="E1329" s="60"/>
      <c r="F1329" s="60"/>
      <c r="G1329" s="60"/>
      <c r="H1329" s="60"/>
      <c r="I1329" s="60"/>
      <c r="J1329" s="114"/>
      <c r="K1329" s="60"/>
      <c r="L1329" s="109"/>
      <c r="M1329" s="109"/>
      <c r="N1329" s="109"/>
      <c r="O1329" s="109"/>
      <c r="P1329" s="109"/>
      <c r="Q1329" s="109"/>
      <c r="S1329" s="111"/>
      <c r="T1329" s="60"/>
      <c r="U1329" s="112"/>
    </row>
    <row r="1330" spans="4:21" s="110" customFormat="1" ht="15.75" customHeight="1">
      <c r="D1330" s="113"/>
      <c r="E1330" s="60"/>
      <c r="F1330" s="60"/>
      <c r="G1330" s="60"/>
      <c r="H1330" s="60"/>
      <c r="I1330" s="60"/>
      <c r="J1330" s="114"/>
      <c r="K1330" s="60"/>
      <c r="L1330" s="109"/>
      <c r="M1330" s="109"/>
      <c r="N1330" s="109"/>
      <c r="O1330" s="109"/>
      <c r="P1330" s="109"/>
      <c r="Q1330" s="109"/>
      <c r="S1330" s="111"/>
      <c r="T1330" s="60"/>
      <c r="U1330" s="112"/>
    </row>
    <row r="1331" spans="4:21" s="110" customFormat="1" ht="15.75" customHeight="1">
      <c r="D1331" s="113"/>
      <c r="E1331" s="60"/>
      <c r="F1331" s="60"/>
      <c r="G1331" s="60"/>
      <c r="H1331" s="60"/>
      <c r="I1331" s="60"/>
      <c r="J1331" s="114"/>
      <c r="K1331" s="60"/>
      <c r="L1331" s="109"/>
      <c r="M1331" s="109"/>
      <c r="N1331" s="109"/>
      <c r="O1331" s="109"/>
      <c r="P1331" s="109"/>
      <c r="Q1331" s="109"/>
      <c r="S1331" s="111"/>
      <c r="T1331" s="60"/>
      <c r="U1331" s="112"/>
    </row>
    <row r="1332" spans="4:21" s="110" customFormat="1" ht="15.75" customHeight="1">
      <c r="D1332" s="113"/>
      <c r="E1332" s="60"/>
      <c r="F1332" s="60"/>
      <c r="G1332" s="60"/>
      <c r="H1332" s="60"/>
      <c r="I1332" s="60"/>
      <c r="J1332" s="114"/>
      <c r="K1332" s="60"/>
      <c r="L1332" s="109"/>
      <c r="M1332" s="109"/>
      <c r="N1332" s="109"/>
      <c r="O1332" s="109"/>
      <c r="P1332" s="109"/>
      <c r="Q1332" s="109"/>
      <c r="S1332" s="111"/>
      <c r="T1332" s="60"/>
      <c r="U1332" s="112"/>
    </row>
    <row r="1333" spans="4:21" s="110" customFormat="1" ht="15.75" customHeight="1">
      <c r="D1333" s="113"/>
      <c r="E1333" s="60"/>
      <c r="F1333" s="60"/>
      <c r="G1333" s="60"/>
      <c r="H1333" s="60"/>
      <c r="I1333" s="60"/>
      <c r="J1333" s="114"/>
      <c r="K1333" s="60"/>
      <c r="L1333" s="109"/>
      <c r="M1333" s="109"/>
      <c r="N1333" s="109"/>
      <c r="O1333" s="109"/>
      <c r="P1333" s="109"/>
      <c r="Q1333" s="109"/>
      <c r="S1333" s="111"/>
      <c r="T1333" s="60"/>
      <c r="U1333" s="112"/>
    </row>
    <row r="1334" spans="4:21" s="110" customFormat="1" ht="15.75" customHeight="1">
      <c r="D1334" s="113"/>
      <c r="E1334" s="60"/>
      <c r="F1334" s="60"/>
      <c r="G1334" s="60"/>
      <c r="H1334" s="60"/>
      <c r="I1334" s="60"/>
      <c r="J1334" s="114"/>
      <c r="K1334" s="60"/>
      <c r="L1334" s="109"/>
      <c r="M1334" s="109"/>
      <c r="N1334" s="109"/>
      <c r="O1334" s="109"/>
      <c r="P1334" s="109"/>
      <c r="Q1334" s="109"/>
      <c r="S1334" s="111"/>
      <c r="T1334" s="60"/>
      <c r="U1334" s="112"/>
    </row>
    <row r="1335" spans="4:21" s="110" customFormat="1" ht="15.75" customHeight="1">
      <c r="D1335" s="113"/>
      <c r="E1335" s="60"/>
      <c r="F1335" s="60"/>
      <c r="G1335" s="60"/>
      <c r="H1335" s="60"/>
      <c r="I1335" s="60"/>
      <c r="J1335" s="114"/>
      <c r="K1335" s="60"/>
      <c r="L1335" s="109"/>
      <c r="M1335" s="109"/>
      <c r="N1335" s="109"/>
      <c r="O1335" s="109"/>
      <c r="P1335" s="109"/>
      <c r="Q1335" s="109"/>
      <c r="S1335" s="111"/>
      <c r="T1335" s="60"/>
      <c r="U1335" s="112"/>
    </row>
    <row r="1336" spans="4:21" s="110" customFormat="1" ht="15.75" customHeight="1">
      <c r="D1336" s="113"/>
      <c r="E1336" s="60"/>
      <c r="F1336" s="60"/>
      <c r="G1336" s="60"/>
      <c r="H1336" s="60"/>
      <c r="I1336" s="60"/>
      <c r="J1336" s="114"/>
      <c r="K1336" s="60"/>
      <c r="L1336" s="109"/>
      <c r="M1336" s="109"/>
      <c r="N1336" s="109"/>
      <c r="O1336" s="109"/>
      <c r="P1336" s="109"/>
      <c r="Q1336" s="109"/>
      <c r="S1336" s="111"/>
      <c r="T1336" s="60"/>
      <c r="U1336" s="112"/>
    </row>
    <row r="1337" spans="4:21" s="110" customFormat="1" ht="15.75" customHeight="1">
      <c r="D1337" s="113"/>
      <c r="E1337" s="60"/>
      <c r="F1337" s="60"/>
      <c r="G1337" s="60"/>
      <c r="H1337" s="60"/>
      <c r="I1337" s="60"/>
      <c r="J1337" s="114"/>
      <c r="K1337" s="60"/>
      <c r="L1337" s="109"/>
      <c r="M1337" s="109"/>
      <c r="N1337" s="109"/>
      <c r="O1337" s="109"/>
      <c r="P1337" s="109"/>
      <c r="Q1337" s="109"/>
      <c r="S1337" s="111"/>
      <c r="T1337" s="60"/>
      <c r="U1337" s="112"/>
    </row>
    <row r="1338" spans="4:21" s="110" customFormat="1" ht="15.75" customHeight="1">
      <c r="D1338" s="113"/>
      <c r="E1338" s="60"/>
      <c r="F1338" s="60"/>
      <c r="G1338" s="60"/>
      <c r="H1338" s="60"/>
      <c r="I1338" s="60"/>
      <c r="J1338" s="114"/>
      <c r="K1338" s="60"/>
      <c r="L1338" s="109"/>
      <c r="M1338" s="109"/>
      <c r="N1338" s="109"/>
      <c r="O1338" s="109"/>
      <c r="P1338" s="109"/>
      <c r="Q1338" s="109"/>
      <c r="S1338" s="111"/>
      <c r="T1338" s="60"/>
      <c r="U1338" s="112"/>
    </row>
    <row r="1339" spans="4:21" s="110" customFormat="1" ht="15.75" customHeight="1">
      <c r="D1339" s="113"/>
      <c r="E1339" s="60"/>
      <c r="F1339" s="60"/>
      <c r="G1339" s="60"/>
      <c r="H1339" s="60"/>
      <c r="I1339" s="60"/>
      <c r="J1339" s="114"/>
      <c r="K1339" s="60"/>
      <c r="L1339" s="109"/>
      <c r="M1339" s="109"/>
      <c r="N1339" s="109"/>
      <c r="O1339" s="109"/>
      <c r="P1339" s="109"/>
      <c r="Q1339" s="109"/>
      <c r="S1339" s="111"/>
      <c r="T1339" s="60"/>
      <c r="U1339" s="112"/>
    </row>
    <row r="1340" spans="4:21" s="110" customFormat="1" ht="15.75" customHeight="1">
      <c r="D1340" s="113"/>
      <c r="E1340" s="60"/>
      <c r="F1340" s="60"/>
      <c r="G1340" s="60"/>
      <c r="H1340" s="60"/>
      <c r="I1340" s="60"/>
      <c r="J1340" s="114"/>
      <c r="K1340" s="60"/>
      <c r="L1340" s="109"/>
      <c r="M1340" s="109"/>
      <c r="N1340" s="109"/>
      <c r="O1340" s="109"/>
      <c r="P1340" s="109"/>
      <c r="Q1340" s="109"/>
      <c r="S1340" s="111"/>
      <c r="T1340" s="60"/>
      <c r="U1340" s="112"/>
    </row>
    <row r="1341" spans="4:21" s="110" customFormat="1" ht="15.75" customHeight="1">
      <c r="D1341" s="113"/>
      <c r="E1341" s="60"/>
      <c r="F1341" s="60"/>
      <c r="G1341" s="60"/>
      <c r="H1341" s="60"/>
      <c r="I1341" s="60"/>
      <c r="J1341" s="114"/>
      <c r="K1341" s="60"/>
      <c r="L1341" s="109"/>
      <c r="M1341" s="109"/>
      <c r="N1341" s="109"/>
      <c r="O1341" s="109"/>
      <c r="P1341" s="109"/>
      <c r="Q1341" s="109"/>
      <c r="S1341" s="111"/>
      <c r="T1341" s="60"/>
      <c r="U1341" s="112"/>
    </row>
    <row r="1342" spans="4:21" s="110" customFormat="1" ht="15.75" customHeight="1">
      <c r="D1342" s="113"/>
      <c r="E1342" s="60"/>
      <c r="F1342" s="60"/>
      <c r="G1342" s="60"/>
      <c r="H1342" s="60"/>
      <c r="I1342" s="60"/>
      <c r="J1342" s="114"/>
      <c r="K1342" s="60"/>
      <c r="L1342" s="109"/>
      <c r="M1342" s="109"/>
      <c r="N1342" s="109"/>
      <c r="O1342" s="109"/>
      <c r="P1342" s="109"/>
      <c r="Q1342" s="109"/>
      <c r="S1342" s="111"/>
      <c r="T1342" s="60"/>
      <c r="U1342" s="112"/>
    </row>
    <row r="1343" spans="4:21" s="110" customFormat="1" ht="15.75" customHeight="1">
      <c r="D1343" s="113"/>
      <c r="E1343" s="60"/>
      <c r="F1343" s="60"/>
      <c r="G1343" s="60"/>
      <c r="H1343" s="60"/>
      <c r="I1343" s="60"/>
      <c r="J1343" s="114"/>
      <c r="K1343" s="60"/>
      <c r="L1343" s="109"/>
      <c r="M1343" s="109"/>
      <c r="N1343" s="109"/>
      <c r="O1343" s="109"/>
      <c r="P1343" s="109"/>
      <c r="Q1343" s="109"/>
      <c r="S1343" s="111"/>
      <c r="T1343" s="60"/>
      <c r="U1343" s="112"/>
    </row>
    <row r="1344" spans="4:21" s="110" customFormat="1" ht="15.75" customHeight="1">
      <c r="D1344" s="113"/>
      <c r="E1344" s="60"/>
      <c r="F1344" s="60"/>
      <c r="G1344" s="60"/>
      <c r="H1344" s="60"/>
      <c r="I1344" s="60"/>
      <c r="J1344" s="114"/>
      <c r="K1344" s="60"/>
      <c r="L1344" s="109"/>
      <c r="M1344" s="109"/>
      <c r="N1344" s="109"/>
      <c r="O1344" s="109"/>
      <c r="P1344" s="109"/>
      <c r="Q1344" s="109"/>
      <c r="S1344" s="111"/>
      <c r="T1344" s="60"/>
      <c r="U1344" s="112"/>
    </row>
    <row r="1345" spans="4:21" s="110" customFormat="1" ht="15.75" customHeight="1">
      <c r="D1345" s="113"/>
      <c r="E1345" s="60"/>
      <c r="F1345" s="60"/>
      <c r="G1345" s="60"/>
      <c r="H1345" s="60"/>
      <c r="I1345" s="60"/>
      <c r="J1345" s="114"/>
      <c r="K1345" s="60"/>
      <c r="L1345" s="109"/>
      <c r="M1345" s="109"/>
      <c r="N1345" s="109"/>
      <c r="O1345" s="109"/>
      <c r="P1345" s="109"/>
      <c r="Q1345" s="109"/>
      <c r="S1345" s="111"/>
      <c r="T1345" s="60"/>
      <c r="U1345" s="112"/>
    </row>
    <row r="1346" spans="4:21" s="110" customFormat="1" ht="15.75" customHeight="1">
      <c r="D1346" s="113"/>
      <c r="E1346" s="60"/>
      <c r="F1346" s="60"/>
      <c r="G1346" s="60"/>
      <c r="H1346" s="60"/>
      <c r="I1346" s="60"/>
      <c r="J1346" s="114"/>
      <c r="K1346" s="60"/>
      <c r="L1346" s="109"/>
      <c r="M1346" s="109"/>
      <c r="N1346" s="109"/>
      <c r="O1346" s="109"/>
      <c r="P1346" s="109"/>
      <c r="Q1346" s="109"/>
      <c r="S1346" s="111"/>
      <c r="T1346" s="60"/>
      <c r="U1346" s="112"/>
    </row>
    <row r="1347" spans="4:21" s="110" customFormat="1" ht="15.75" customHeight="1">
      <c r="D1347" s="113"/>
      <c r="E1347" s="60"/>
      <c r="F1347" s="60"/>
      <c r="G1347" s="60"/>
      <c r="H1347" s="60"/>
      <c r="I1347" s="60"/>
      <c r="J1347" s="114"/>
      <c r="K1347" s="60"/>
      <c r="L1347" s="109"/>
      <c r="M1347" s="109"/>
      <c r="N1347" s="109"/>
      <c r="O1347" s="109"/>
      <c r="P1347" s="109"/>
      <c r="Q1347" s="109"/>
      <c r="S1347" s="111"/>
      <c r="T1347" s="60"/>
      <c r="U1347" s="112"/>
    </row>
    <row r="1348" spans="4:21" s="110" customFormat="1" ht="15.75" customHeight="1">
      <c r="D1348" s="113"/>
      <c r="E1348" s="60"/>
      <c r="F1348" s="60"/>
      <c r="G1348" s="60"/>
      <c r="H1348" s="60"/>
      <c r="I1348" s="60"/>
      <c r="J1348" s="114"/>
      <c r="K1348" s="60"/>
      <c r="L1348" s="109"/>
      <c r="M1348" s="109"/>
      <c r="N1348" s="109"/>
      <c r="O1348" s="109"/>
      <c r="P1348" s="109"/>
      <c r="Q1348" s="109"/>
      <c r="S1348" s="111"/>
      <c r="T1348" s="60"/>
      <c r="U1348" s="112"/>
    </row>
    <row r="1349" spans="4:21" s="110" customFormat="1" ht="15.75" customHeight="1">
      <c r="D1349" s="113"/>
      <c r="E1349" s="60"/>
      <c r="F1349" s="60"/>
      <c r="G1349" s="60"/>
      <c r="H1349" s="60"/>
      <c r="I1349" s="60"/>
      <c r="J1349" s="114"/>
      <c r="K1349" s="60"/>
      <c r="L1349" s="109"/>
      <c r="M1349" s="109"/>
      <c r="N1349" s="109"/>
      <c r="O1349" s="109"/>
      <c r="P1349" s="109"/>
      <c r="Q1349" s="109"/>
      <c r="S1349" s="111"/>
      <c r="T1349" s="60"/>
      <c r="U1349" s="112"/>
    </row>
    <row r="1350" spans="4:21" s="110" customFormat="1" ht="15.75" customHeight="1">
      <c r="D1350" s="113"/>
      <c r="E1350" s="60"/>
      <c r="F1350" s="60"/>
      <c r="G1350" s="60"/>
      <c r="H1350" s="60"/>
      <c r="I1350" s="60"/>
      <c r="J1350" s="114"/>
      <c r="K1350" s="60"/>
      <c r="L1350" s="109"/>
      <c r="M1350" s="109"/>
      <c r="N1350" s="109"/>
      <c r="O1350" s="109"/>
      <c r="P1350" s="109"/>
      <c r="Q1350" s="109"/>
      <c r="S1350" s="111"/>
      <c r="T1350" s="60"/>
      <c r="U1350" s="112"/>
    </row>
    <row r="1351" spans="4:21" s="110" customFormat="1" ht="15.75" customHeight="1">
      <c r="D1351" s="113"/>
      <c r="E1351" s="60"/>
      <c r="F1351" s="60"/>
      <c r="G1351" s="60"/>
      <c r="H1351" s="60"/>
      <c r="I1351" s="60"/>
      <c r="J1351" s="114"/>
      <c r="K1351" s="60"/>
      <c r="L1351" s="109"/>
      <c r="M1351" s="109"/>
      <c r="N1351" s="109"/>
      <c r="O1351" s="109"/>
      <c r="P1351" s="109"/>
      <c r="Q1351" s="109"/>
      <c r="S1351" s="111"/>
      <c r="T1351" s="60"/>
      <c r="U1351" s="112"/>
    </row>
    <row r="1352" spans="4:21" s="110" customFormat="1" ht="15.75" customHeight="1">
      <c r="D1352" s="113"/>
      <c r="E1352" s="60"/>
      <c r="F1352" s="60"/>
      <c r="G1352" s="60"/>
      <c r="H1352" s="60"/>
      <c r="I1352" s="60"/>
      <c r="J1352" s="114"/>
      <c r="K1352" s="60"/>
      <c r="L1352" s="109"/>
      <c r="M1352" s="109"/>
      <c r="N1352" s="109"/>
      <c r="O1352" s="109"/>
      <c r="P1352" s="109"/>
      <c r="Q1352" s="109"/>
      <c r="S1352" s="111"/>
      <c r="T1352" s="60"/>
      <c r="U1352" s="112"/>
    </row>
    <row r="1353" spans="4:21" s="110" customFormat="1" ht="15.75" customHeight="1">
      <c r="D1353" s="113"/>
      <c r="E1353" s="60"/>
      <c r="F1353" s="60"/>
      <c r="G1353" s="60"/>
      <c r="H1353" s="60"/>
      <c r="I1353" s="60"/>
      <c r="J1353" s="114"/>
      <c r="K1353" s="60"/>
      <c r="L1353" s="109"/>
      <c r="M1353" s="109"/>
      <c r="N1353" s="109"/>
      <c r="O1353" s="109"/>
      <c r="P1353" s="109"/>
      <c r="Q1353" s="109"/>
      <c r="S1353" s="111"/>
      <c r="T1353" s="60"/>
      <c r="U1353" s="112"/>
    </row>
    <row r="1354" spans="4:21" s="110" customFormat="1" ht="15.75" customHeight="1">
      <c r="D1354" s="113"/>
      <c r="E1354" s="60"/>
      <c r="F1354" s="60"/>
      <c r="G1354" s="60"/>
      <c r="H1354" s="60"/>
      <c r="I1354" s="60"/>
      <c r="J1354" s="114"/>
      <c r="K1354" s="60"/>
      <c r="L1354" s="109"/>
      <c r="M1354" s="109"/>
      <c r="N1354" s="109"/>
      <c r="O1354" s="109"/>
      <c r="P1354" s="109"/>
      <c r="Q1354" s="109"/>
      <c r="S1354" s="111"/>
      <c r="T1354" s="60"/>
      <c r="U1354" s="112"/>
    </row>
    <row r="1355" spans="4:21" s="110" customFormat="1" ht="15.75" customHeight="1">
      <c r="D1355" s="113"/>
      <c r="E1355" s="60"/>
      <c r="F1355" s="60"/>
      <c r="G1355" s="60"/>
      <c r="H1355" s="60"/>
      <c r="I1355" s="60"/>
      <c r="J1355" s="114"/>
      <c r="K1355" s="60"/>
      <c r="L1355" s="109"/>
      <c r="M1355" s="109"/>
      <c r="N1355" s="109"/>
      <c r="O1355" s="109"/>
      <c r="P1355" s="109"/>
      <c r="Q1355" s="109"/>
      <c r="S1355" s="111"/>
      <c r="T1355" s="60"/>
      <c r="U1355" s="112"/>
    </row>
    <row r="1356" spans="4:21" s="110" customFormat="1" ht="15.75" customHeight="1">
      <c r="D1356" s="113"/>
      <c r="E1356" s="60"/>
      <c r="F1356" s="60"/>
      <c r="G1356" s="60"/>
      <c r="H1356" s="60"/>
      <c r="I1356" s="60"/>
      <c r="J1356" s="114"/>
      <c r="K1356" s="60"/>
      <c r="L1356" s="109"/>
      <c r="M1356" s="109"/>
      <c r="N1356" s="109"/>
      <c r="O1356" s="109"/>
      <c r="P1356" s="109"/>
      <c r="Q1356" s="109"/>
      <c r="S1356" s="111"/>
      <c r="T1356" s="60"/>
      <c r="U1356" s="112"/>
    </row>
    <row r="1357" spans="4:21" s="110" customFormat="1" ht="15.75" customHeight="1">
      <c r="D1357" s="113"/>
      <c r="E1357" s="60"/>
      <c r="F1357" s="60"/>
      <c r="G1357" s="60"/>
      <c r="H1357" s="60"/>
      <c r="I1357" s="60"/>
      <c r="J1357" s="114"/>
      <c r="K1357" s="60"/>
      <c r="L1357" s="109"/>
      <c r="M1357" s="109"/>
      <c r="N1357" s="109"/>
      <c r="O1357" s="109"/>
      <c r="P1357" s="109"/>
      <c r="Q1357" s="109"/>
      <c r="S1357" s="111"/>
      <c r="T1357" s="60"/>
      <c r="U1357" s="112"/>
    </row>
    <row r="1358" spans="4:21" s="110" customFormat="1" ht="15.75" customHeight="1">
      <c r="D1358" s="113"/>
      <c r="E1358" s="60"/>
      <c r="F1358" s="60"/>
      <c r="G1358" s="60"/>
      <c r="H1358" s="60"/>
      <c r="I1358" s="60"/>
      <c r="J1358" s="114"/>
      <c r="K1358" s="60"/>
      <c r="L1358" s="109"/>
      <c r="M1358" s="109"/>
      <c r="N1358" s="109"/>
      <c r="O1358" s="109"/>
      <c r="P1358" s="109"/>
      <c r="Q1358" s="109"/>
      <c r="S1358" s="111"/>
      <c r="T1358" s="60"/>
      <c r="U1358" s="112"/>
    </row>
    <row r="1359" spans="4:21" s="110" customFormat="1" ht="15.75" customHeight="1">
      <c r="D1359" s="113"/>
      <c r="E1359" s="60"/>
      <c r="F1359" s="60"/>
      <c r="G1359" s="60"/>
      <c r="H1359" s="60"/>
      <c r="I1359" s="60"/>
      <c r="J1359" s="114"/>
      <c r="K1359" s="60"/>
      <c r="L1359" s="109"/>
      <c r="M1359" s="109"/>
      <c r="N1359" s="109"/>
      <c r="O1359" s="109"/>
      <c r="P1359" s="109"/>
      <c r="Q1359" s="109"/>
      <c r="S1359" s="111"/>
      <c r="T1359" s="60"/>
      <c r="U1359" s="112"/>
    </row>
    <row r="1360" spans="4:21" s="110" customFormat="1" ht="15.75" customHeight="1">
      <c r="D1360" s="113"/>
      <c r="E1360" s="60"/>
      <c r="F1360" s="60"/>
      <c r="G1360" s="60"/>
      <c r="H1360" s="60"/>
      <c r="I1360" s="60"/>
      <c r="J1360" s="114"/>
      <c r="K1360" s="60"/>
      <c r="L1360" s="109"/>
      <c r="M1360" s="109"/>
      <c r="N1360" s="109"/>
      <c r="O1360" s="109"/>
      <c r="P1360" s="109"/>
      <c r="Q1360" s="109"/>
      <c r="S1360" s="111"/>
      <c r="T1360" s="60"/>
      <c r="U1360" s="112"/>
    </row>
    <row r="1361" spans="4:21" s="110" customFormat="1" ht="15.75" customHeight="1">
      <c r="D1361" s="113"/>
      <c r="E1361" s="60"/>
      <c r="F1361" s="60"/>
      <c r="G1361" s="60"/>
      <c r="H1361" s="60"/>
      <c r="I1361" s="60"/>
      <c r="J1361" s="114"/>
      <c r="K1361" s="60"/>
      <c r="L1361" s="109"/>
      <c r="M1361" s="109"/>
      <c r="N1361" s="109"/>
      <c r="O1361" s="109"/>
      <c r="P1361" s="109"/>
      <c r="Q1361" s="109"/>
      <c r="S1361" s="111"/>
      <c r="T1361" s="60"/>
      <c r="U1361" s="112"/>
    </row>
    <row r="1362" spans="4:21" s="110" customFormat="1" ht="15.75" customHeight="1">
      <c r="D1362" s="113"/>
      <c r="E1362" s="60"/>
      <c r="F1362" s="60"/>
      <c r="G1362" s="60"/>
      <c r="H1362" s="60"/>
      <c r="I1362" s="60"/>
      <c r="J1362" s="114"/>
      <c r="K1362" s="60"/>
      <c r="L1362" s="109"/>
      <c r="M1362" s="109"/>
      <c r="N1362" s="109"/>
      <c r="O1362" s="109"/>
      <c r="P1362" s="109"/>
      <c r="Q1362" s="109"/>
      <c r="S1362" s="111"/>
      <c r="T1362" s="60"/>
      <c r="U1362" s="112"/>
    </row>
    <row r="1363" spans="4:21" s="110" customFormat="1" ht="15.75" customHeight="1">
      <c r="D1363" s="113"/>
      <c r="E1363" s="60"/>
      <c r="F1363" s="60"/>
      <c r="G1363" s="60"/>
      <c r="H1363" s="60"/>
      <c r="I1363" s="60"/>
      <c r="J1363" s="114"/>
      <c r="K1363" s="60"/>
      <c r="L1363" s="109"/>
      <c r="M1363" s="109"/>
      <c r="N1363" s="109"/>
      <c r="O1363" s="109"/>
      <c r="P1363" s="109"/>
      <c r="Q1363" s="109"/>
      <c r="S1363" s="111"/>
      <c r="T1363" s="60"/>
      <c r="U1363" s="112"/>
    </row>
    <row r="1364" spans="4:21" s="110" customFormat="1" ht="15.75" customHeight="1">
      <c r="D1364" s="113"/>
      <c r="E1364" s="60"/>
      <c r="F1364" s="60"/>
      <c r="G1364" s="60"/>
      <c r="H1364" s="60"/>
      <c r="I1364" s="60"/>
      <c r="J1364" s="114"/>
      <c r="K1364" s="60"/>
      <c r="L1364" s="109"/>
      <c r="M1364" s="109"/>
      <c r="N1364" s="109"/>
      <c r="O1364" s="109"/>
      <c r="P1364" s="109"/>
      <c r="Q1364" s="109"/>
      <c r="S1364" s="111"/>
      <c r="T1364" s="60"/>
      <c r="U1364" s="112"/>
    </row>
    <row r="1365" spans="4:21" s="110" customFormat="1" ht="15.75" customHeight="1">
      <c r="D1365" s="113"/>
      <c r="E1365" s="60"/>
      <c r="F1365" s="60"/>
      <c r="G1365" s="60"/>
      <c r="H1365" s="60"/>
      <c r="I1365" s="60"/>
      <c r="J1365" s="114"/>
      <c r="K1365" s="60"/>
      <c r="L1365" s="109"/>
      <c r="M1365" s="109"/>
      <c r="N1365" s="109"/>
      <c r="O1365" s="109"/>
      <c r="P1365" s="109"/>
      <c r="Q1365" s="109"/>
      <c r="S1365" s="111"/>
      <c r="T1365" s="60"/>
      <c r="U1365" s="112"/>
    </row>
    <row r="1366" spans="4:21" s="110" customFormat="1" ht="15.75" customHeight="1">
      <c r="D1366" s="113"/>
      <c r="E1366" s="60"/>
      <c r="F1366" s="60"/>
      <c r="G1366" s="60"/>
      <c r="H1366" s="60"/>
      <c r="I1366" s="60"/>
      <c r="J1366" s="114"/>
      <c r="K1366" s="60"/>
      <c r="L1366" s="109"/>
      <c r="M1366" s="109"/>
      <c r="N1366" s="109"/>
      <c r="O1366" s="109"/>
      <c r="P1366" s="109"/>
      <c r="Q1366" s="109"/>
      <c r="S1366" s="111"/>
      <c r="T1366" s="60"/>
      <c r="U1366" s="112"/>
    </row>
    <row r="1367" spans="4:21" s="110" customFormat="1" ht="15.75" customHeight="1">
      <c r="D1367" s="113"/>
      <c r="E1367" s="60"/>
      <c r="F1367" s="60"/>
      <c r="G1367" s="60"/>
      <c r="H1367" s="60"/>
      <c r="I1367" s="60"/>
      <c r="J1367" s="114"/>
      <c r="K1367" s="60"/>
      <c r="L1367" s="109"/>
      <c r="M1367" s="109"/>
      <c r="N1367" s="109"/>
      <c r="O1367" s="109"/>
      <c r="P1367" s="109"/>
      <c r="Q1367" s="109"/>
      <c r="S1367" s="111"/>
      <c r="T1367" s="60"/>
      <c r="U1367" s="112"/>
    </row>
    <row r="1368" spans="4:21" s="110" customFormat="1" ht="15.75" customHeight="1">
      <c r="D1368" s="113"/>
      <c r="E1368" s="60"/>
      <c r="F1368" s="60"/>
      <c r="G1368" s="60"/>
      <c r="H1368" s="60"/>
      <c r="I1368" s="60"/>
      <c r="J1368" s="114"/>
      <c r="K1368" s="60"/>
      <c r="L1368" s="109"/>
      <c r="M1368" s="109"/>
      <c r="N1368" s="109"/>
      <c r="O1368" s="109"/>
      <c r="P1368" s="109"/>
      <c r="Q1368" s="109"/>
      <c r="S1368" s="111"/>
      <c r="T1368" s="60"/>
      <c r="U1368" s="112"/>
    </row>
    <row r="1369" spans="4:21" s="110" customFormat="1" ht="15.75" customHeight="1">
      <c r="D1369" s="113"/>
      <c r="E1369" s="60"/>
      <c r="F1369" s="60"/>
      <c r="G1369" s="60"/>
      <c r="H1369" s="60"/>
      <c r="I1369" s="60"/>
      <c r="J1369" s="114"/>
      <c r="K1369" s="60"/>
      <c r="L1369" s="109"/>
      <c r="M1369" s="109"/>
      <c r="N1369" s="109"/>
      <c r="O1369" s="109"/>
      <c r="P1369" s="109"/>
      <c r="Q1369" s="109"/>
      <c r="S1369" s="111"/>
      <c r="T1369" s="60"/>
      <c r="U1369" s="112"/>
    </row>
    <row r="1370" spans="4:21" s="110" customFormat="1" ht="15.75" customHeight="1">
      <c r="D1370" s="113"/>
      <c r="E1370" s="60"/>
      <c r="F1370" s="60"/>
      <c r="G1370" s="60"/>
      <c r="H1370" s="60"/>
      <c r="I1370" s="60"/>
      <c r="J1370" s="114"/>
      <c r="K1370" s="60"/>
      <c r="L1370" s="109"/>
      <c r="M1370" s="109"/>
      <c r="N1370" s="109"/>
      <c r="O1370" s="109"/>
      <c r="P1370" s="109"/>
      <c r="Q1370" s="109"/>
      <c r="S1370" s="111"/>
      <c r="T1370" s="60"/>
      <c r="U1370" s="112"/>
    </row>
    <row r="1371" spans="4:21" s="110" customFormat="1" ht="15.75" customHeight="1">
      <c r="D1371" s="113"/>
      <c r="E1371" s="60"/>
      <c r="F1371" s="60"/>
      <c r="G1371" s="60"/>
      <c r="H1371" s="60"/>
      <c r="I1371" s="60"/>
      <c r="J1371" s="114"/>
      <c r="K1371" s="60"/>
      <c r="L1371" s="109"/>
      <c r="M1371" s="109"/>
      <c r="N1371" s="109"/>
      <c r="O1371" s="109"/>
      <c r="P1371" s="109"/>
      <c r="Q1371" s="109"/>
      <c r="S1371" s="111"/>
      <c r="T1371" s="60"/>
      <c r="U1371" s="112"/>
    </row>
    <row r="1372" spans="4:21" s="110" customFormat="1" ht="15.75" customHeight="1">
      <c r="D1372" s="113"/>
      <c r="E1372" s="60"/>
      <c r="F1372" s="60"/>
      <c r="G1372" s="60"/>
      <c r="H1372" s="60"/>
      <c r="I1372" s="60"/>
      <c r="J1372" s="114"/>
      <c r="K1372" s="60"/>
      <c r="L1372" s="109"/>
      <c r="M1372" s="109"/>
      <c r="N1372" s="109"/>
      <c r="O1372" s="109"/>
      <c r="P1372" s="109"/>
      <c r="Q1372" s="109"/>
      <c r="S1372" s="111"/>
      <c r="T1372" s="60"/>
      <c r="U1372" s="112"/>
    </row>
    <row r="1373" spans="4:21" s="110" customFormat="1" ht="15.75" customHeight="1">
      <c r="D1373" s="113"/>
      <c r="E1373" s="60"/>
      <c r="F1373" s="60"/>
      <c r="G1373" s="60"/>
      <c r="H1373" s="60"/>
      <c r="I1373" s="60"/>
      <c r="J1373" s="114"/>
      <c r="K1373" s="60"/>
      <c r="L1373" s="109"/>
      <c r="M1373" s="109"/>
      <c r="N1373" s="109"/>
      <c r="O1373" s="109"/>
      <c r="P1373" s="109"/>
      <c r="Q1373" s="109"/>
      <c r="S1373" s="111"/>
      <c r="T1373" s="60"/>
      <c r="U1373" s="112"/>
    </row>
    <row r="1374" spans="4:21" s="110" customFormat="1" ht="15.75" customHeight="1">
      <c r="D1374" s="113"/>
      <c r="E1374" s="60"/>
      <c r="F1374" s="60"/>
      <c r="G1374" s="60"/>
      <c r="H1374" s="60"/>
      <c r="I1374" s="60"/>
      <c r="J1374" s="114"/>
      <c r="K1374" s="60"/>
      <c r="L1374" s="109"/>
      <c r="M1374" s="109"/>
      <c r="N1374" s="109"/>
      <c r="O1374" s="109"/>
      <c r="P1374" s="109"/>
      <c r="Q1374" s="109"/>
      <c r="S1374" s="111"/>
      <c r="T1374" s="60"/>
      <c r="U1374" s="112"/>
    </row>
    <row r="1375" spans="4:21" s="110" customFormat="1" ht="15.75" customHeight="1">
      <c r="D1375" s="113"/>
      <c r="E1375" s="60"/>
      <c r="F1375" s="60"/>
      <c r="G1375" s="60"/>
      <c r="H1375" s="60"/>
      <c r="I1375" s="60"/>
      <c r="J1375" s="114"/>
      <c r="K1375" s="60"/>
      <c r="L1375" s="109"/>
      <c r="M1375" s="109"/>
      <c r="N1375" s="109"/>
      <c r="O1375" s="109"/>
      <c r="P1375" s="109"/>
      <c r="Q1375" s="109"/>
      <c r="S1375" s="111"/>
      <c r="T1375" s="60"/>
      <c r="U1375" s="112"/>
    </row>
    <row r="1376" spans="4:21" s="110" customFormat="1" ht="15.75" customHeight="1">
      <c r="D1376" s="113"/>
      <c r="E1376" s="60"/>
      <c r="F1376" s="60"/>
      <c r="G1376" s="60"/>
      <c r="H1376" s="60"/>
      <c r="I1376" s="60"/>
      <c r="J1376" s="114"/>
      <c r="K1376" s="60"/>
      <c r="L1376" s="109"/>
      <c r="M1376" s="109"/>
      <c r="N1376" s="109"/>
      <c r="O1376" s="109"/>
      <c r="P1376" s="109"/>
      <c r="Q1376" s="109"/>
      <c r="S1376" s="111"/>
      <c r="T1376" s="60"/>
      <c r="U1376" s="112"/>
    </row>
    <row r="1377" spans="4:21" s="110" customFormat="1" ht="15.75" customHeight="1">
      <c r="D1377" s="113"/>
      <c r="E1377" s="60"/>
      <c r="F1377" s="60"/>
      <c r="G1377" s="60"/>
      <c r="H1377" s="60"/>
      <c r="I1377" s="60"/>
      <c r="J1377" s="114"/>
      <c r="K1377" s="60"/>
      <c r="L1377" s="109"/>
      <c r="M1377" s="109"/>
      <c r="N1377" s="109"/>
      <c r="O1377" s="109"/>
      <c r="P1377" s="109"/>
      <c r="Q1377" s="109"/>
      <c r="S1377" s="111"/>
      <c r="T1377" s="60"/>
      <c r="U1377" s="112"/>
    </row>
    <row r="1378" spans="4:21" s="110" customFormat="1" ht="15.75" customHeight="1">
      <c r="D1378" s="113"/>
      <c r="E1378" s="60"/>
      <c r="F1378" s="60"/>
      <c r="G1378" s="60"/>
      <c r="H1378" s="60"/>
      <c r="I1378" s="60"/>
      <c r="J1378" s="114"/>
      <c r="K1378" s="60"/>
      <c r="L1378" s="109"/>
      <c r="M1378" s="109"/>
      <c r="N1378" s="109"/>
      <c r="O1378" s="109"/>
      <c r="P1378" s="109"/>
      <c r="Q1378" s="109"/>
      <c r="S1378" s="111"/>
      <c r="T1378" s="60"/>
      <c r="U1378" s="112"/>
    </row>
    <row r="1379" spans="4:21" s="110" customFormat="1" ht="15.75" customHeight="1">
      <c r="D1379" s="113"/>
      <c r="E1379" s="60"/>
      <c r="F1379" s="60"/>
      <c r="G1379" s="60"/>
      <c r="H1379" s="60"/>
      <c r="I1379" s="60"/>
      <c r="J1379" s="114"/>
      <c r="K1379" s="60"/>
      <c r="L1379" s="109"/>
      <c r="M1379" s="109"/>
      <c r="N1379" s="109"/>
      <c r="O1379" s="109"/>
      <c r="P1379" s="109"/>
      <c r="Q1379" s="109"/>
      <c r="S1379" s="111"/>
      <c r="T1379" s="60"/>
      <c r="U1379" s="112"/>
    </row>
    <row r="1380" spans="4:21" s="110" customFormat="1" ht="15.75" customHeight="1">
      <c r="D1380" s="113"/>
      <c r="E1380" s="60"/>
      <c r="F1380" s="60"/>
      <c r="G1380" s="60"/>
      <c r="H1380" s="60"/>
      <c r="I1380" s="60"/>
      <c r="J1380" s="114"/>
      <c r="K1380" s="60"/>
      <c r="L1380" s="109"/>
      <c r="M1380" s="109"/>
      <c r="N1380" s="109"/>
      <c r="O1380" s="109"/>
      <c r="P1380" s="109"/>
      <c r="Q1380" s="109"/>
      <c r="S1380" s="111"/>
      <c r="T1380" s="60"/>
      <c r="U1380" s="112"/>
    </row>
    <row r="1381" spans="4:21" s="110" customFormat="1" ht="15.75" customHeight="1">
      <c r="D1381" s="113"/>
      <c r="E1381" s="60"/>
      <c r="F1381" s="60"/>
      <c r="G1381" s="60"/>
      <c r="H1381" s="60"/>
      <c r="I1381" s="60"/>
      <c r="J1381" s="114"/>
      <c r="K1381" s="60"/>
      <c r="L1381" s="109"/>
      <c r="M1381" s="109"/>
      <c r="N1381" s="109"/>
      <c r="O1381" s="109"/>
      <c r="P1381" s="109"/>
      <c r="Q1381" s="109"/>
      <c r="S1381" s="111"/>
      <c r="T1381" s="60"/>
      <c r="U1381" s="112"/>
    </row>
    <row r="1382" spans="4:21" s="110" customFormat="1" ht="15.75" customHeight="1">
      <c r="D1382" s="113"/>
      <c r="E1382" s="60"/>
      <c r="F1382" s="60"/>
      <c r="G1382" s="60"/>
      <c r="H1382" s="60"/>
      <c r="I1382" s="60"/>
      <c r="J1382" s="114"/>
      <c r="K1382" s="60"/>
      <c r="L1382" s="109"/>
      <c r="M1382" s="109"/>
      <c r="N1382" s="109"/>
      <c r="O1382" s="109"/>
      <c r="P1382" s="109"/>
      <c r="Q1382" s="109"/>
      <c r="S1382" s="111"/>
      <c r="T1382" s="60"/>
      <c r="U1382" s="112"/>
    </row>
    <row r="1383" spans="4:21" s="110" customFormat="1" ht="15.75" customHeight="1">
      <c r="D1383" s="113"/>
      <c r="E1383" s="60"/>
      <c r="F1383" s="60"/>
      <c r="G1383" s="60"/>
      <c r="H1383" s="60"/>
      <c r="I1383" s="60"/>
      <c r="J1383" s="114"/>
      <c r="K1383" s="60"/>
      <c r="L1383" s="109"/>
      <c r="M1383" s="109"/>
      <c r="N1383" s="109"/>
      <c r="O1383" s="109"/>
      <c r="P1383" s="109"/>
      <c r="Q1383" s="109"/>
      <c r="S1383" s="111"/>
      <c r="T1383" s="60"/>
      <c r="U1383" s="112"/>
    </row>
    <row r="1384" spans="4:21" s="110" customFormat="1" ht="15.75" customHeight="1">
      <c r="D1384" s="113"/>
      <c r="E1384" s="60"/>
      <c r="F1384" s="60"/>
      <c r="G1384" s="60"/>
      <c r="H1384" s="60"/>
      <c r="I1384" s="60"/>
      <c r="J1384" s="114"/>
      <c r="K1384" s="60"/>
      <c r="L1384" s="109"/>
      <c r="M1384" s="109"/>
      <c r="N1384" s="109"/>
      <c r="O1384" s="109"/>
      <c r="P1384" s="109"/>
      <c r="Q1384" s="109"/>
      <c r="S1384" s="111"/>
      <c r="T1384" s="60"/>
      <c r="U1384" s="112"/>
    </row>
    <row r="1385" spans="4:21" s="110" customFormat="1" ht="15.75" customHeight="1">
      <c r="D1385" s="113"/>
      <c r="E1385" s="60"/>
      <c r="F1385" s="60"/>
      <c r="G1385" s="60"/>
      <c r="H1385" s="60"/>
      <c r="I1385" s="60"/>
      <c r="J1385" s="114"/>
      <c r="K1385" s="60"/>
      <c r="L1385" s="109"/>
      <c r="M1385" s="109"/>
      <c r="N1385" s="109"/>
      <c r="O1385" s="109"/>
      <c r="P1385" s="109"/>
      <c r="Q1385" s="109"/>
      <c r="S1385" s="111"/>
      <c r="T1385" s="60"/>
      <c r="U1385" s="112"/>
    </row>
    <row r="1386" spans="4:21" s="110" customFormat="1" ht="15.75" customHeight="1">
      <c r="D1386" s="113"/>
      <c r="E1386" s="60"/>
      <c r="F1386" s="60"/>
      <c r="G1386" s="60"/>
      <c r="H1386" s="60"/>
      <c r="I1386" s="60"/>
      <c r="J1386" s="114"/>
      <c r="K1386" s="60"/>
      <c r="L1386" s="109"/>
      <c r="M1386" s="109"/>
      <c r="N1386" s="109"/>
      <c r="O1386" s="109"/>
      <c r="P1386" s="109"/>
      <c r="Q1386" s="109"/>
      <c r="S1386" s="111"/>
      <c r="T1386" s="60"/>
      <c r="U1386" s="112"/>
    </row>
    <row r="1387" spans="4:21" s="110" customFormat="1" ht="15.75" customHeight="1">
      <c r="D1387" s="113"/>
      <c r="E1387" s="60"/>
      <c r="F1387" s="60"/>
      <c r="G1387" s="60"/>
      <c r="H1387" s="60"/>
      <c r="I1387" s="60"/>
      <c r="J1387" s="114"/>
      <c r="K1387" s="60"/>
      <c r="L1387" s="109"/>
      <c r="M1387" s="109"/>
      <c r="N1387" s="109"/>
      <c r="O1387" s="109"/>
      <c r="P1387" s="109"/>
      <c r="Q1387" s="109"/>
      <c r="S1387" s="111"/>
      <c r="T1387" s="60"/>
      <c r="U1387" s="112"/>
    </row>
    <row r="1388" spans="4:21" s="110" customFormat="1" ht="15.75" customHeight="1">
      <c r="D1388" s="113"/>
      <c r="E1388" s="60"/>
      <c r="F1388" s="60"/>
      <c r="G1388" s="60"/>
      <c r="H1388" s="60"/>
      <c r="I1388" s="60"/>
      <c r="J1388" s="114"/>
      <c r="K1388" s="60"/>
      <c r="L1388" s="109"/>
      <c r="M1388" s="109"/>
      <c r="N1388" s="109"/>
      <c r="O1388" s="109"/>
      <c r="P1388" s="109"/>
      <c r="Q1388" s="109"/>
      <c r="S1388" s="111"/>
      <c r="T1388" s="60"/>
      <c r="U1388" s="112"/>
    </row>
    <row r="1389" spans="4:21" s="110" customFormat="1" ht="15.75" customHeight="1">
      <c r="D1389" s="113"/>
      <c r="E1389" s="60"/>
      <c r="F1389" s="60"/>
      <c r="G1389" s="60"/>
      <c r="H1389" s="60"/>
      <c r="I1389" s="60"/>
      <c r="J1389" s="114"/>
      <c r="K1389" s="60"/>
      <c r="L1389" s="109"/>
      <c r="M1389" s="109"/>
      <c r="N1389" s="109"/>
      <c r="O1389" s="109"/>
      <c r="P1389" s="109"/>
      <c r="Q1389" s="109"/>
      <c r="S1389" s="111"/>
      <c r="T1389" s="60"/>
      <c r="U1389" s="112"/>
    </row>
    <row r="1390" spans="4:21" s="110" customFormat="1" ht="15.75" customHeight="1">
      <c r="D1390" s="113"/>
      <c r="E1390" s="60"/>
      <c r="F1390" s="60"/>
      <c r="G1390" s="60"/>
      <c r="H1390" s="60"/>
      <c r="I1390" s="60"/>
      <c r="J1390" s="114"/>
      <c r="K1390" s="60"/>
      <c r="L1390" s="109"/>
      <c r="M1390" s="109"/>
      <c r="N1390" s="109"/>
      <c r="O1390" s="109"/>
      <c r="P1390" s="109"/>
      <c r="Q1390" s="109"/>
      <c r="S1390" s="111"/>
      <c r="T1390" s="60"/>
      <c r="U1390" s="112"/>
    </row>
    <row r="1391" spans="4:21" s="110" customFormat="1" ht="15.75" customHeight="1">
      <c r="D1391" s="113"/>
      <c r="E1391" s="60"/>
      <c r="F1391" s="60"/>
      <c r="G1391" s="60"/>
      <c r="H1391" s="60"/>
      <c r="I1391" s="60"/>
      <c r="J1391" s="114"/>
      <c r="K1391" s="60"/>
      <c r="L1391" s="109"/>
      <c r="M1391" s="109"/>
      <c r="N1391" s="109"/>
      <c r="O1391" s="109"/>
      <c r="P1391" s="109"/>
      <c r="Q1391" s="109"/>
      <c r="S1391" s="111"/>
      <c r="T1391" s="60"/>
      <c r="U1391" s="112"/>
    </row>
    <row r="1392" spans="4:21" s="110" customFormat="1" ht="15.75" customHeight="1">
      <c r="D1392" s="113"/>
      <c r="E1392" s="60"/>
      <c r="F1392" s="60"/>
      <c r="G1392" s="60"/>
      <c r="H1392" s="60"/>
      <c r="I1392" s="60"/>
      <c r="J1392" s="114"/>
      <c r="K1392" s="60"/>
      <c r="L1392" s="109"/>
      <c r="M1392" s="109"/>
      <c r="N1392" s="109"/>
      <c r="O1392" s="109"/>
      <c r="P1392" s="109"/>
      <c r="Q1392" s="109"/>
      <c r="S1392" s="111"/>
      <c r="T1392" s="60"/>
      <c r="U1392" s="112"/>
    </row>
    <row r="1393" spans="4:21" s="110" customFormat="1" ht="15.75" customHeight="1">
      <c r="D1393" s="113"/>
      <c r="E1393" s="60"/>
      <c r="F1393" s="60"/>
      <c r="G1393" s="60"/>
      <c r="H1393" s="60"/>
      <c r="I1393" s="60"/>
      <c r="J1393" s="114"/>
      <c r="K1393" s="60"/>
      <c r="L1393" s="109"/>
      <c r="M1393" s="109"/>
      <c r="N1393" s="109"/>
      <c r="O1393" s="109"/>
      <c r="P1393" s="109"/>
      <c r="Q1393" s="109"/>
      <c r="S1393" s="111"/>
      <c r="T1393" s="60"/>
      <c r="U1393" s="112"/>
    </row>
    <row r="1394" spans="4:21" s="110" customFormat="1" ht="15.75" customHeight="1">
      <c r="D1394" s="113"/>
      <c r="E1394" s="60"/>
      <c r="F1394" s="60"/>
      <c r="G1394" s="60"/>
      <c r="H1394" s="60"/>
      <c r="I1394" s="60"/>
      <c r="J1394" s="114"/>
      <c r="K1394" s="60"/>
      <c r="L1394" s="109"/>
      <c r="M1394" s="109"/>
      <c r="N1394" s="109"/>
      <c r="O1394" s="109"/>
      <c r="P1394" s="109"/>
      <c r="Q1394" s="109"/>
      <c r="S1394" s="111"/>
      <c r="T1394" s="60"/>
      <c r="U1394" s="112"/>
    </row>
    <row r="1395" spans="4:21" s="110" customFormat="1" ht="15.75" customHeight="1">
      <c r="D1395" s="113"/>
      <c r="E1395" s="60"/>
      <c r="F1395" s="60"/>
      <c r="G1395" s="60"/>
      <c r="H1395" s="60"/>
      <c r="I1395" s="60"/>
      <c r="J1395" s="114"/>
      <c r="K1395" s="60"/>
      <c r="L1395" s="109"/>
      <c r="M1395" s="109"/>
      <c r="N1395" s="109"/>
      <c r="O1395" s="109"/>
      <c r="P1395" s="109"/>
      <c r="Q1395" s="109"/>
      <c r="S1395" s="111"/>
      <c r="T1395" s="60"/>
      <c r="U1395" s="112"/>
    </row>
    <row r="1396" spans="4:21" s="110" customFormat="1" ht="15.75" customHeight="1">
      <c r="D1396" s="113"/>
      <c r="E1396" s="60"/>
      <c r="F1396" s="60"/>
      <c r="G1396" s="60"/>
      <c r="H1396" s="60"/>
      <c r="I1396" s="60"/>
      <c r="J1396" s="114"/>
      <c r="K1396" s="60"/>
      <c r="L1396" s="109"/>
      <c r="M1396" s="109"/>
      <c r="N1396" s="109"/>
      <c r="O1396" s="109"/>
      <c r="P1396" s="109"/>
      <c r="Q1396" s="109"/>
      <c r="S1396" s="111"/>
      <c r="T1396" s="60"/>
      <c r="U1396" s="112"/>
    </row>
    <row r="1397" spans="4:21" s="110" customFormat="1" ht="15.75" customHeight="1">
      <c r="D1397" s="113"/>
      <c r="E1397" s="60"/>
      <c r="F1397" s="60"/>
      <c r="G1397" s="60"/>
      <c r="H1397" s="60"/>
      <c r="I1397" s="60"/>
      <c r="J1397" s="114"/>
      <c r="K1397" s="60"/>
      <c r="L1397" s="109"/>
      <c r="M1397" s="109"/>
      <c r="N1397" s="109"/>
      <c r="O1397" s="109"/>
      <c r="P1397" s="109"/>
      <c r="Q1397" s="109"/>
      <c r="S1397" s="111"/>
      <c r="T1397" s="60"/>
      <c r="U1397" s="112"/>
    </row>
    <row r="1398" spans="4:21" s="110" customFormat="1" ht="15.75" customHeight="1">
      <c r="D1398" s="113"/>
      <c r="E1398" s="60"/>
      <c r="F1398" s="60"/>
      <c r="G1398" s="60"/>
      <c r="H1398" s="60"/>
      <c r="I1398" s="60"/>
      <c r="J1398" s="114"/>
      <c r="K1398" s="60"/>
      <c r="L1398" s="109"/>
      <c r="M1398" s="109"/>
      <c r="N1398" s="109"/>
      <c r="O1398" s="109"/>
      <c r="P1398" s="109"/>
      <c r="Q1398" s="109"/>
      <c r="S1398" s="111"/>
      <c r="T1398" s="60"/>
      <c r="U1398" s="112"/>
    </row>
    <row r="1399" spans="4:21" s="110" customFormat="1" ht="15.75" customHeight="1">
      <c r="D1399" s="113"/>
      <c r="E1399" s="60"/>
      <c r="F1399" s="60"/>
      <c r="G1399" s="60"/>
      <c r="H1399" s="60"/>
      <c r="I1399" s="60"/>
      <c r="J1399" s="114"/>
      <c r="K1399" s="60"/>
      <c r="L1399" s="109"/>
      <c r="M1399" s="109"/>
      <c r="N1399" s="109"/>
      <c r="O1399" s="109"/>
      <c r="P1399" s="109"/>
      <c r="Q1399" s="109"/>
      <c r="S1399" s="111"/>
      <c r="T1399" s="60"/>
      <c r="U1399" s="112"/>
    </row>
    <row r="1400" spans="4:21" s="110" customFormat="1" ht="15.75" customHeight="1">
      <c r="D1400" s="113"/>
      <c r="E1400" s="60"/>
      <c r="F1400" s="60"/>
      <c r="G1400" s="60"/>
      <c r="H1400" s="60"/>
      <c r="I1400" s="60"/>
      <c r="J1400" s="114"/>
      <c r="K1400" s="60"/>
      <c r="L1400" s="109"/>
      <c r="M1400" s="109"/>
      <c r="N1400" s="109"/>
      <c r="O1400" s="109"/>
      <c r="P1400" s="109"/>
      <c r="Q1400" s="109"/>
      <c r="S1400" s="111"/>
      <c r="T1400" s="60"/>
      <c r="U1400" s="112"/>
    </row>
    <row r="1401" spans="4:21" s="110" customFormat="1" ht="15.75" customHeight="1">
      <c r="D1401" s="113"/>
      <c r="E1401" s="60"/>
      <c r="F1401" s="60"/>
      <c r="G1401" s="60"/>
      <c r="H1401" s="60"/>
      <c r="I1401" s="60"/>
      <c r="J1401" s="114"/>
      <c r="K1401" s="60"/>
      <c r="L1401" s="109"/>
      <c r="M1401" s="109"/>
      <c r="N1401" s="109"/>
      <c r="O1401" s="109"/>
      <c r="P1401" s="109"/>
      <c r="Q1401" s="109"/>
      <c r="S1401" s="111"/>
      <c r="T1401" s="60"/>
      <c r="U1401" s="112"/>
    </row>
    <row r="1402" spans="4:21" s="110" customFormat="1" ht="15.75" customHeight="1">
      <c r="D1402" s="113"/>
      <c r="E1402" s="60"/>
      <c r="F1402" s="60"/>
      <c r="G1402" s="60"/>
      <c r="H1402" s="60"/>
      <c r="I1402" s="60"/>
      <c r="J1402" s="114"/>
      <c r="K1402" s="60"/>
      <c r="L1402" s="109"/>
      <c r="M1402" s="109"/>
      <c r="N1402" s="109"/>
      <c r="O1402" s="109"/>
      <c r="P1402" s="109"/>
      <c r="Q1402" s="109"/>
      <c r="S1402" s="111"/>
      <c r="T1402" s="60"/>
      <c r="U1402" s="112"/>
    </row>
    <row r="1403" spans="4:21" s="110" customFormat="1" ht="15.75" customHeight="1">
      <c r="D1403" s="113"/>
      <c r="E1403" s="60"/>
      <c r="F1403" s="60"/>
      <c r="G1403" s="60"/>
      <c r="H1403" s="60"/>
      <c r="I1403" s="60"/>
      <c r="J1403" s="114"/>
      <c r="K1403" s="60"/>
      <c r="L1403" s="109"/>
      <c r="M1403" s="109"/>
      <c r="N1403" s="109"/>
      <c r="O1403" s="109"/>
      <c r="P1403" s="109"/>
      <c r="Q1403" s="109"/>
      <c r="S1403" s="111"/>
      <c r="T1403" s="60"/>
      <c r="U1403" s="112"/>
    </row>
    <row r="1404" spans="4:21" s="110" customFormat="1" ht="15.75" customHeight="1">
      <c r="D1404" s="113"/>
      <c r="E1404" s="60"/>
      <c r="F1404" s="60"/>
      <c r="G1404" s="60"/>
      <c r="H1404" s="60"/>
      <c r="I1404" s="60"/>
      <c r="J1404" s="114"/>
      <c r="K1404" s="60"/>
      <c r="L1404" s="109"/>
      <c r="M1404" s="109"/>
      <c r="N1404" s="109"/>
      <c r="O1404" s="109"/>
      <c r="P1404" s="109"/>
      <c r="Q1404" s="109"/>
      <c r="S1404" s="111"/>
      <c r="T1404" s="60"/>
      <c r="U1404" s="112"/>
    </row>
    <row r="1405" spans="4:21" s="110" customFormat="1" ht="15.75" customHeight="1">
      <c r="D1405" s="113"/>
      <c r="E1405" s="60"/>
      <c r="F1405" s="60"/>
      <c r="G1405" s="60"/>
      <c r="H1405" s="60"/>
      <c r="I1405" s="60"/>
      <c r="J1405" s="114"/>
      <c r="K1405" s="60"/>
      <c r="L1405" s="109"/>
      <c r="M1405" s="109"/>
      <c r="N1405" s="109"/>
      <c r="O1405" s="109"/>
      <c r="P1405" s="109"/>
      <c r="Q1405" s="109"/>
      <c r="S1405" s="111"/>
      <c r="T1405" s="60"/>
      <c r="U1405" s="112"/>
    </row>
    <row r="1406" spans="4:21" s="110" customFormat="1" ht="15.75" customHeight="1">
      <c r="D1406" s="113"/>
      <c r="E1406" s="60"/>
      <c r="F1406" s="60"/>
      <c r="G1406" s="60"/>
      <c r="H1406" s="60"/>
      <c r="I1406" s="60"/>
      <c r="J1406" s="114"/>
      <c r="K1406" s="60"/>
      <c r="L1406" s="109"/>
      <c r="M1406" s="109"/>
      <c r="N1406" s="109"/>
      <c r="O1406" s="109"/>
      <c r="P1406" s="109"/>
      <c r="Q1406" s="109"/>
      <c r="S1406" s="111"/>
      <c r="T1406" s="60"/>
      <c r="U1406" s="112"/>
    </row>
    <row r="1407" spans="4:21" s="110" customFormat="1" ht="15.75" customHeight="1">
      <c r="D1407" s="113"/>
      <c r="E1407" s="60"/>
      <c r="F1407" s="60"/>
      <c r="G1407" s="60"/>
      <c r="H1407" s="60"/>
      <c r="I1407" s="60"/>
      <c r="J1407" s="114"/>
      <c r="K1407" s="60"/>
      <c r="L1407" s="109"/>
      <c r="M1407" s="109"/>
      <c r="N1407" s="109"/>
      <c r="O1407" s="109"/>
      <c r="P1407" s="109"/>
      <c r="Q1407" s="109"/>
      <c r="S1407" s="111"/>
      <c r="T1407" s="60"/>
      <c r="U1407" s="112"/>
    </row>
    <row r="1408" spans="4:21" s="110" customFormat="1" ht="15.75" customHeight="1">
      <c r="D1408" s="113"/>
      <c r="E1408" s="60"/>
      <c r="F1408" s="60"/>
      <c r="G1408" s="60"/>
      <c r="H1408" s="60"/>
      <c r="I1408" s="60"/>
      <c r="J1408" s="114"/>
      <c r="K1408" s="60"/>
      <c r="L1408" s="109"/>
      <c r="M1408" s="109"/>
      <c r="N1408" s="109"/>
      <c r="O1408" s="109"/>
      <c r="P1408" s="109"/>
      <c r="Q1408" s="109"/>
      <c r="S1408" s="111"/>
      <c r="T1408" s="60"/>
      <c r="U1408" s="112"/>
    </row>
    <row r="1409" spans="4:21" s="110" customFormat="1" ht="15.75" customHeight="1">
      <c r="D1409" s="113"/>
      <c r="E1409" s="60"/>
      <c r="F1409" s="60"/>
      <c r="G1409" s="60"/>
      <c r="H1409" s="60"/>
      <c r="I1409" s="60"/>
      <c r="J1409" s="114"/>
      <c r="K1409" s="60"/>
      <c r="L1409" s="109"/>
      <c r="M1409" s="109"/>
      <c r="N1409" s="109"/>
      <c r="O1409" s="109"/>
      <c r="P1409" s="109"/>
      <c r="Q1409" s="109"/>
      <c r="S1409" s="111"/>
      <c r="T1409" s="60"/>
      <c r="U1409" s="112"/>
    </row>
    <row r="1410" spans="4:21" s="110" customFormat="1" ht="15.75" customHeight="1">
      <c r="D1410" s="113"/>
      <c r="E1410" s="60"/>
      <c r="F1410" s="60"/>
      <c r="G1410" s="60"/>
      <c r="H1410" s="60"/>
      <c r="I1410" s="60"/>
      <c r="J1410" s="114"/>
      <c r="K1410" s="60"/>
      <c r="L1410" s="109"/>
      <c r="M1410" s="109"/>
      <c r="N1410" s="109"/>
      <c r="O1410" s="109"/>
      <c r="P1410" s="109"/>
      <c r="Q1410" s="109"/>
      <c r="S1410" s="111"/>
      <c r="T1410" s="60"/>
      <c r="U1410" s="112"/>
    </row>
    <row r="1411" spans="4:21" s="110" customFormat="1" ht="15.75" customHeight="1">
      <c r="D1411" s="113"/>
      <c r="E1411" s="60"/>
      <c r="F1411" s="60"/>
      <c r="G1411" s="60"/>
      <c r="H1411" s="60"/>
      <c r="I1411" s="60"/>
      <c r="J1411" s="114"/>
      <c r="K1411" s="60"/>
      <c r="L1411" s="109"/>
      <c r="M1411" s="109"/>
      <c r="N1411" s="109"/>
      <c r="O1411" s="109"/>
      <c r="P1411" s="109"/>
      <c r="Q1411" s="109"/>
      <c r="S1411" s="111"/>
      <c r="T1411" s="60"/>
      <c r="U1411" s="112"/>
    </row>
    <row r="1412" spans="4:21" s="110" customFormat="1" ht="15.75" customHeight="1">
      <c r="D1412" s="113"/>
      <c r="E1412" s="60"/>
      <c r="F1412" s="60"/>
      <c r="G1412" s="60"/>
      <c r="H1412" s="60"/>
      <c r="I1412" s="60"/>
      <c r="J1412" s="114"/>
      <c r="K1412" s="60"/>
      <c r="L1412" s="109"/>
      <c r="M1412" s="109"/>
      <c r="N1412" s="109"/>
      <c r="O1412" s="109"/>
      <c r="P1412" s="109"/>
      <c r="Q1412" s="109"/>
      <c r="S1412" s="111"/>
      <c r="T1412" s="60"/>
      <c r="U1412" s="112"/>
    </row>
    <row r="1413" spans="4:21" s="110" customFormat="1" ht="15.75" customHeight="1">
      <c r="D1413" s="113"/>
      <c r="E1413" s="60"/>
      <c r="F1413" s="60"/>
      <c r="G1413" s="60"/>
      <c r="H1413" s="60"/>
      <c r="I1413" s="60"/>
      <c r="J1413" s="114"/>
      <c r="K1413" s="60"/>
      <c r="L1413" s="109"/>
      <c r="M1413" s="109"/>
      <c r="N1413" s="109"/>
      <c r="O1413" s="109"/>
      <c r="P1413" s="109"/>
      <c r="Q1413" s="109"/>
      <c r="S1413" s="111"/>
      <c r="T1413" s="60"/>
      <c r="U1413" s="112"/>
    </row>
    <row r="1414" spans="4:21" s="110" customFormat="1" ht="15.75" customHeight="1">
      <c r="D1414" s="113"/>
      <c r="E1414" s="60"/>
      <c r="F1414" s="60"/>
      <c r="G1414" s="60"/>
      <c r="H1414" s="60"/>
      <c r="I1414" s="60"/>
      <c r="J1414" s="114"/>
      <c r="K1414" s="60"/>
      <c r="L1414" s="109"/>
      <c r="M1414" s="109"/>
      <c r="N1414" s="109"/>
      <c r="O1414" s="109"/>
      <c r="P1414" s="109"/>
      <c r="Q1414" s="109"/>
      <c r="S1414" s="111"/>
      <c r="T1414" s="60"/>
      <c r="U1414" s="112"/>
    </row>
    <row r="1415" spans="4:21" s="110" customFormat="1" ht="15.75" customHeight="1">
      <c r="D1415" s="113"/>
      <c r="E1415" s="60"/>
      <c r="F1415" s="60"/>
      <c r="G1415" s="60"/>
      <c r="H1415" s="60"/>
      <c r="I1415" s="60"/>
      <c r="J1415" s="114"/>
      <c r="K1415" s="60"/>
      <c r="L1415" s="109"/>
      <c r="M1415" s="109"/>
      <c r="N1415" s="109"/>
      <c r="O1415" s="109"/>
      <c r="P1415" s="109"/>
      <c r="Q1415" s="109"/>
      <c r="S1415" s="111"/>
      <c r="T1415" s="60"/>
      <c r="U1415" s="112"/>
    </row>
    <row r="1416" spans="4:21" s="110" customFormat="1" ht="15.75" customHeight="1">
      <c r="D1416" s="113"/>
      <c r="E1416" s="60"/>
      <c r="F1416" s="60"/>
      <c r="G1416" s="60"/>
      <c r="H1416" s="60"/>
      <c r="I1416" s="60"/>
      <c r="J1416" s="114"/>
      <c r="K1416" s="60"/>
      <c r="L1416" s="109"/>
      <c r="M1416" s="109"/>
      <c r="N1416" s="109"/>
      <c r="O1416" s="109"/>
      <c r="P1416" s="109"/>
      <c r="Q1416" s="109"/>
      <c r="S1416" s="111"/>
      <c r="T1416" s="60"/>
      <c r="U1416" s="112"/>
    </row>
    <row r="1417" spans="4:21" s="110" customFormat="1" ht="15.75" customHeight="1">
      <c r="D1417" s="113"/>
      <c r="E1417" s="60"/>
      <c r="F1417" s="60"/>
      <c r="G1417" s="60"/>
      <c r="H1417" s="60"/>
      <c r="I1417" s="60"/>
      <c r="J1417" s="114"/>
      <c r="K1417" s="60"/>
      <c r="L1417" s="109"/>
      <c r="M1417" s="109"/>
      <c r="N1417" s="109"/>
      <c r="O1417" s="109"/>
      <c r="P1417" s="109"/>
      <c r="Q1417" s="109"/>
      <c r="S1417" s="111"/>
      <c r="T1417" s="60"/>
      <c r="U1417" s="112"/>
    </row>
    <row r="1418" spans="4:21" s="110" customFormat="1" ht="15.75" customHeight="1">
      <c r="D1418" s="113"/>
      <c r="E1418" s="60"/>
      <c r="F1418" s="60"/>
      <c r="G1418" s="60"/>
      <c r="H1418" s="60"/>
      <c r="I1418" s="60"/>
      <c r="J1418" s="114"/>
      <c r="K1418" s="60"/>
      <c r="L1418" s="109"/>
      <c r="M1418" s="109"/>
      <c r="N1418" s="109"/>
      <c r="O1418" s="109"/>
      <c r="P1418" s="109"/>
      <c r="Q1418" s="109"/>
      <c r="S1418" s="111"/>
      <c r="T1418" s="60"/>
      <c r="U1418" s="112"/>
    </row>
    <row r="1419" spans="4:21" s="110" customFormat="1" ht="15.75" customHeight="1">
      <c r="D1419" s="113"/>
      <c r="E1419" s="60"/>
      <c r="F1419" s="60"/>
      <c r="G1419" s="60"/>
      <c r="H1419" s="60"/>
      <c r="I1419" s="60"/>
      <c r="J1419" s="114"/>
      <c r="K1419" s="60"/>
      <c r="L1419" s="109"/>
      <c r="M1419" s="109"/>
      <c r="N1419" s="109"/>
      <c r="O1419" s="109"/>
      <c r="P1419" s="109"/>
      <c r="Q1419" s="109"/>
      <c r="S1419" s="111"/>
      <c r="T1419" s="60"/>
      <c r="U1419" s="112"/>
    </row>
    <row r="1420" spans="4:21" s="110" customFormat="1" ht="15.75" customHeight="1">
      <c r="D1420" s="113"/>
      <c r="E1420" s="60"/>
      <c r="F1420" s="60"/>
      <c r="G1420" s="60"/>
      <c r="H1420" s="60"/>
      <c r="I1420" s="60"/>
      <c r="J1420" s="114"/>
      <c r="K1420" s="60"/>
      <c r="L1420" s="109"/>
      <c r="M1420" s="109"/>
      <c r="N1420" s="109"/>
      <c r="O1420" s="109"/>
      <c r="P1420" s="109"/>
      <c r="Q1420" s="109"/>
      <c r="S1420" s="111"/>
      <c r="T1420" s="60"/>
      <c r="U1420" s="112"/>
    </row>
    <row r="1421" spans="4:21" s="110" customFormat="1" ht="15.75" customHeight="1">
      <c r="D1421" s="113"/>
      <c r="E1421" s="60"/>
      <c r="F1421" s="60"/>
      <c r="G1421" s="60"/>
      <c r="H1421" s="60"/>
      <c r="I1421" s="60"/>
      <c r="J1421" s="114"/>
      <c r="K1421" s="60"/>
      <c r="L1421" s="109"/>
      <c r="M1421" s="109"/>
      <c r="N1421" s="109"/>
      <c r="O1421" s="109"/>
      <c r="P1421" s="109"/>
      <c r="Q1421" s="109"/>
      <c r="S1421" s="111"/>
      <c r="T1421" s="60"/>
      <c r="U1421" s="112"/>
    </row>
    <row r="1422" spans="4:21" s="110" customFormat="1" ht="15.75" customHeight="1">
      <c r="D1422" s="113"/>
      <c r="E1422" s="60"/>
      <c r="F1422" s="60"/>
      <c r="G1422" s="60"/>
      <c r="H1422" s="60"/>
      <c r="I1422" s="60"/>
      <c r="J1422" s="114"/>
      <c r="K1422" s="60"/>
      <c r="L1422" s="109"/>
      <c r="M1422" s="109"/>
      <c r="N1422" s="109"/>
      <c r="O1422" s="109"/>
      <c r="P1422" s="109"/>
      <c r="Q1422" s="109"/>
      <c r="S1422" s="111"/>
      <c r="T1422" s="60"/>
      <c r="U1422" s="112"/>
    </row>
    <row r="1423" spans="4:21" s="110" customFormat="1" ht="15.75" customHeight="1">
      <c r="D1423" s="113"/>
      <c r="E1423" s="60"/>
      <c r="F1423" s="60"/>
      <c r="G1423" s="60"/>
      <c r="H1423" s="60"/>
      <c r="I1423" s="60"/>
      <c r="J1423" s="114"/>
      <c r="K1423" s="60"/>
      <c r="L1423" s="109"/>
      <c r="M1423" s="109"/>
      <c r="N1423" s="109"/>
      <c r="O1423" s="109"/>
      <c r="P1423" s="109"/>
      <c r="Q1423" s="109"/>
      <c r="S1423" s="111"/>
      <c r="T1423" s="60"/>
      <c r="U1423" s="112"/>
    </row>
    <row r="1424" spans="4:21" s="110" customFormat="1" ht="15.75" customHeight="1">
      <c r="D1424" s="113"/>
      <c r="E1424" s="60"/>
      <c r="F1424" s="60"/>
      <c r="G1424" s="60"/>
      <c r="H1424" s="60"/>
      <c r="I1424" s="60"/>
      <c r="J1424" s="114"/>
      <c r="K1424" s="60"/>
      <c r="L1424" s="109"/>
      <c r="M1424" s="109"/>
      <c r="N1424" s="109"/>
      <c r="O1424" s="109"/>
      <c r="P1424" s="109"/>
      <c r="Q1424" s="109"/>
      <c r="S1424" s="111"/>
      <c r="T1424" s="60"/>
      <c r="U1424" s="112"/>
    </row>
    <row r="1425" spans="4:21" s="110" customFormat="1" ht="15.75" customHeight="1">
      <c r="D1425" s="113"/>
      <c r="E1425" s="60"/>
      <c r="F1425" s="60"/>
      <c r="G1425" s="60"/>
      <c r="H1425" s="60"/>
      <c r="I1425" s="60"/>
      <c r="J1425" s="114"/>
      <c r="K1425" s="60"/>
      <c r="L1425" s="109"/>
      <c r="M1425" s="109"/>
      <c r="N1425" s="109"/>
      <c r="O1425" s="109"/>
      <c r="P1425" s="109"/>
      <c r="Q1425" s="109"/>
      <c r="S1425" s="111"/>
      <c r="T1425" s="60"/>
      <c r="U1425" s="112"/>
    </row>
    <row r="1426" spans="4:21" s="110" customFormat="1" ht="15.75" customHeight="1">
      <c r="D1426" s="113"/>
      <c r="E1426" s="60"/>
      <c r="F1426" s="60"/>
      <c r="G1426" s="60"/>
      <c r="H1426" s="60"/>
      <c r="I1426" s="60"/>
      <c r="J1426" s="114"/>
      <c r="K1426" s="60"/>
      <c r="L1426" s="109"/>
      <c r="M1426" s="109"/>
      <c r="N1426" s="109"/>
      <c r="O1426" s="109"/>
      <c r="P1426" s="109"/>
      <c r="Q1426" s="109"/>
      <c r="S1426" s="111"/>
      <c r="T1426" s="60"/>
      <c r="U1426" s="112"/>
    </row>
    <row r="1427" spans="4:21" s="110" customFormat="1" ht="15.75" customHeight="1">
      <c r="D1427" s="113"/>
      <c r="E1427" s="60"/>
      <c r="F1427" s="60"/>
      <c r="G1427" s="60"/>
      <c r="H1427" s="60"/>
      <c r="I1427" s="60"/>
      <c r="J1427" s="114"/>
      <c r="K1427" s="60"/>
      <c r="L1427" s="109"/>
      <c r="M1427" s="109"/>
      <c r="N1427" s="109"/>
      <c r="O1427" s="109"/>
      <c r="P1427" s="109"/>
      <c r="Q1427" s="109"/>
      <c r="S1427" s="111"/>
      <c r="T1427" s="60"/>
      <c r="U1427" s="112"/>
    </row>
    <row r="1428" spans="4:21" s="110" customFormat="1" ht="15.75" customHeight="1">
      <c r="D1428" s="113"/>
      <c r="E1428" s="60"/>
      <c r="F1428" s="60"/>
      <c r="G1428" s="60"/>
      <c r="H1428" s="60"/>
      <c r="I1428" s="60"/>
      <c r="J1428" s="114"/>
      <c r="K1428" s="60"/>
      <c r="L1428" s="109"/>
      <c r="M1428" s="109"/>
      <c r="N1428" s="109"/>
      <c r="O1428" s="109"/>
      <c r="P1428" s="109"/>
      <c r="Q1428" s="109"/>
      <c r="S1428" s="111"/>
      <c r="T1428" s="60"/>
      <c r="U1428" s="112"/>
    </row>
    <row r="1429" spans="4:21" s="110" customFormat="1" ht="15.75" customHeight="1">
      <c r="D1429" s="113"/>
      <c r="E1429" s="60"/>
      <c r="F1429" s="60"/>
      <c r="G1429" s="60"/>
      <c r="H1429" s="60"/>
      <c r="I1429" s="60"/>
      <c r="J1429" s="114"/>
      <c r="K1429" s="60"/>
      <c r="L1429" s="109"/>
      <c r="M1429" s="109"/>
      <c r="N1429" s="109"/>
      <c r="O1429" s="109"/>
      <c r="P1429" s="109"/>
      <c r="Q1429" s="109"/>
      <c r="S1429" s="111"/>
      <c r="T1429" s="60"/>
      <c r="U1429" s="112"/>
    </row>
    <row r="1430" spans="4:21" s="110" customFormat="1" ht="15.75" customHeight="1">
      <c r="D1430" s="113"/>
      <c r="E1430" s="60"/>
      <c r="F1430" s="60"/>
      <c r="G1430" s="60"/>
      <c r="H1430" s="60"/>
      <c r="I1430" s="60"/>
      <c r="J1430" s="114"/>
      <c r="K1430" s="60"/>
      <c r="L1430" s="109"/>
      <c r="M1430" s="109"/>
      <c r="N1430" s="109"/>
      <c r="O1430" s="109"/>
      <c r="P1430" s="109"/>
      <c r="Q1430" s="109"/>
      <c r="S1430" s="111"/>
      <c r="T1430" s="60"/>
      <c r="U1430" s="112"/>
    </row>
    <row r="1431" spans="4:21" s="110" customFormat="1" ht="15.75" customHeight="1">
      <c r="D1431" s="113"/>
      <c r="E1431" s="60"/>
      <c r="F1431" s="60"/>
      <c r="G1431" s="60"/>
      <c r="H1431" s="60"/>
      <c r="I1431" s="60"/>
      <c r="J1431" s="114"/>
      <c r="K1431" s="60"/>
      <c r="L1431" s="109"/>
      <c r="M1431" s="109"/>
      <c r="N1431" s="109"/>
      <c r="O1431" s="109"/>
      <c r="P1431" s="109"/>
      <c r="Q1431" s="109"/>
      <c r="S1431" s="111"/>
      <c r="T1431" s="60"/>
      <c r="U1431" s="112"/>
    </row>
    <row r="1432" spans="4:21" s="110" customFormat="1" ht="15.75" customHeight="1">
      <c r="D1432" s="113"/>
      <c r="E1432" s="60"/>
      <c r="F1432" s="60"/>
      <c r="G1432" s="60"/>
      <c r="H1432" s="60"/>
      <c r="I1432" s="60"/>
      <c r="J1432" s="114"/>
      <c r="K1432" s="60"/>
      <c r="L1432" s="109"/>
      <c r="M1432" s="109"/>
      <c r="N1432" s="109"/>
      <c r="O1432" s="109"/>
      <c r="P1432" s="109"/>
      <c r="Q1432" s="109"/>
      <c r="S1432" s="111"/>
      <c r="T1432" s="60"/>
      <c r="U1432" s="112"/>
    </row>
    <row r="1433" spans="4:21" s="110" customFormat="1" ht="15.75" customHeight="1">
      <c r="D1433" s="113"/>
      <c r="E1433" s="60"/>
      <c r="F1433" s="60"/>
      <c r="G1433" s="60"/>
      <c r="H1433" s="60"/>
      <c r="I1433" s="60"/>
      <c r="J1433" s="114"/>
      <c r="K1433" s="60"/>
      <c r="L1433" s="109"/>
      <c r="M1433" s="109"/>
      <c r="N1433" s="109"/>
      <c r="O1433" s="109"/>
      <c r="P1433" s="109"/>
      <c r="Q1433" s="109"/>
      <c r="S1433" s="111"/>
      <c r="T1433" s="60"/>
      <c r="U1433" s="112"/>
    </row>
    <row r="1434" spans="4:21" s="110" customFormat="1" ht="15.75" customHeight="1">
      <c r="D1434" s="113"/>
      <c r="E1434" s="60"/>
      <c r="F1434" s="60"/>
      <c r="G1434" s="60"/>
      <c r="H1434" s="60"/>
      <c r="I1434" s="60"/>
      <c r="J1434" s="114"/>
      <c r="K1434" s="60"/>
      <c r="L1434" s="109"/>
      <c r="M1434" s="109"/>
      <c r="N1434" s="109"/>
      <c r="O1434" s="109"/>
      <c r="P1434" s="109"/>
      <c r="Q1434" s="109"/>
      <c r="S1434" s="111"/>
      <c r="T1434" s="60"/>
      <c r="U1434" s="112"/>
    </row>
    <row r="1435" spans="4:21" s="110" customFormat="1" ht="15.75" customHeight="1">
      <c r="D1435" s="113"/>
      <c r="E1435" s="60"/>
      <c r="F1435" s="60"/>
      <c r="G1435" s="60"/>
      <c r="H1435" s="60"/>
      <c r="I1435" s="60"/>
      <c r="J1435" s="114"/>
      <c r="K1435" s="60"/>
      <c r="L1435" s="109"/>
      <c r="M1435" s="109"/>
      <c r="N1435" s="109"/>
      <c r="O1435" s="109"/>
      <c r="P1435" s="109"/>
      <c r="Q1435" s="109"/>
      <c r="S1435" s="111"/>
      <c r="T1435" s="60"/>
      <c r="U1435" s="112"/>
    </row>
    <row r="1436" spans="4:21" s="110" customFormat="1" ht="15.75" customHeight="1">
      <c r="D1436" s="113"/>
      <c r="E1436" s="60"/>
      <c r="F1436" s="60"/>
      <c r="G1436" s="60"/>
      <c r="H1436" s="60"/>
      <c r="I1436" s="60"/>
      <c r="J1436" s="114"/>
      <c r="K1436" s="60"/>
      <c r="L1436" s="109"/>
      <c r="M1436" s="109"/>
      <c r="N1436" s="109"/>
      <c r="O1436" s="109"/>
      <c r="P1436" s="109"/>
      <c r="Q1436" s="109"/>
      <c r="S1436" s="111"/>
      <c r="T1436" s="60"/>
      <c r="U1436" s="112"/>
    </row>
    <row r="1437" spans="4:21" s="110" customFormat="1" ht="15.75" customHeight="1">
      <c r="D1437" s="113"/>
      <c r="E1437" s="60"/>
      <c r="F1437" s="60"/>
      <c r="G1437" s="60"/>
      <c r="H1437" s="60"/>
      <c r="I1437" s="60"/>
      <c r="J1437" s="114"/>
      <c r="K1437" s="60"/>
      <c r="L1437" s="109"/>
      <c r="M1437" s="109"/>
      <c r="N1437" s="109"/>
      <c r="O1437" s="109"/>
      <c r="P1437" s="109"/>
      <c r="Q1437" s="109"/>
      <c r="S1437" s="111"/>
      <c r="T1437" s="60"/>
      <c r="U1437" s="112"/>
    </row>
    <row r="1438" spans="4:21" s="110" customFormat="1" ht="15.75" customHeight="1">
      <c r="D1438" s="113"/>
      <c r="E1438" s="60"/>
      <c r="F1438" s="60"/>
      <c r="G1438" s="60"/>
      <c r="H1438" s="60"/>
      <c r="I1438" s="60"/>
      <c r="J1438" s="114"/>
      <c r="K1438" s="60"/>
      <c r="L1438" s="109"/>
      <c r="M1438" s="109"/>
      <c r="N1438" s="109"/>
      <c r="O1438" s="109"/>
      <c r="P1438" s="109"/>
      <c r="Q1438" s="109"/>
      <c r="S1438" s="111"/>
      <c r="T1438" s="60"/>
      <c r="U1438" s="112"/>
    </row>
    <row r="1439" spans="4:21" s="110" customFormat="1" ht="15.75" customHeight="1">
      <c r="D1439" s="113"/>
      <c r="E1439" s="60"/>
      <c r="F1439" s="60"/>
      <c r="G1439" s="60"/>
      <c r="H1439" s="60"/>
      <c r="I1439" s="60"/>
      <c r="J1439" s="114"/>
      <c r="K1439" s="60"/>
      <c r="L1439" s="109"/>
      <c r="M1439" s="109"/>
      <c r="N1439" s="109"/>
      <c r="O1439" s="109"/>
      <c r="P1439" s="109"/>
      <c r="Q1439" s="109"/>
      <c r="S1439" s="111"/>
      <c r="T1439" s="60"/>
      <c r="U1439" s="112"/>
    </row>
    <row r="1440" spans="4:21" s="110" customFormat="1" ht="15.75" customHeight="1">
      <c r="D1440" s="113"/>
      <c r="E1440" s="60"/>
      <c r="F1440" s="60"/>
      <c r="G1440" s="60"/>
      <c r="H1440" s="60"/>
      <c r="I1440" s="60"/>
      <c r="J1440" s="114"/>
      <c r="K1440" s="60"/>
      <c r="L1440" s="109"/>
      <c r="M1440" s="109"/>
      <c r="N1440" s="109"/>
      <c r="O1440" s="109"/>
      <c r="P1440" s="109"/>
      <c r="Q1440" s="109"/>
      <c r="S1440" s="111"/>
      <c r="T1440" s="60"/>
      <c r="U1440" s="112"/>
    </row>
    <row r="1441" spans="4:21" s="110" customFormat="1" ht="15.75" customHeight="1">
      <c r="D1441" s="113"/>
      <c r="E1441" s="60"/>
      <c r="F1441" s="60"/>
      <c r="G1441" s="60"/>
      <c r="H1441" s="60"/>
      <c r="I1441" s="60"/>
      <c r="J1441" s="114"/>
      <c r="K1441" s="60"/>
      <c r="L1441" s="109"/>
      <c r="M1441" s="109"/>
      <c r="N1441" s="109"/>
      <c r="O1441" s="109"/>
      <c r="P1441" s="109"/>
      <c r="Q1441" s="109"/>
      <c r="S1441" s="111"/>
      <c r="T1441" s="60"/>
      <c r="U1441" s="112"/>
    </row>
    <row r="1442" spans="4:21" s="110" customFormat="1" ht="15.75" customHeight="1">
      <c r="D1442" s="113"/>
      <c r="E1442" s="60"/>
      <c r="F1442" s="60"/>
      <c r="G1442" s="60"/>
      <c r="H1442" s="60"/>
      <c r="I1442" s="60"/>
      <c r="J1442" s="114"/>
      <c r="K1442" s="60"/>
      <c r="L1442" s="109"/>
      <c r="M1442" s="109"/>
      <c r="N1442" s="109"/>
      <c r="O1442" s="109"/>
      <c r="P1442" s="109"/>
      <c r="Q1442" s="109"/>
      <c r="S1442" s="111"/>
      <c r="T1442" s="60"/>
      <c r="U1442" s="112"/>
    </row>
    <row r="1443" spans="4:21" s="110" customFormat="1" ht="15.75" customHeight="1">
      <c r="D1443" s="113"/>
      <c r="E1443" s="60"/>
      <c r="F1443" s="60"/>
      <c r="G1443" s="60"/>
      <c r="H1443" s="60"/>
      <c r="I1443" s="60"/>
      <c r="J1443" s="114"/>
      <c r="K1443" s="60"/>
      <c r="L1443" s="109"/>
      <c r="M1443" s="109"/>
      <c r="N1443" s="109"/>
      <c r="O1443" s="109"/>
      <c r="P1443" s="109"/>
      <c r="Q1443" s="109"/>
      <c r="S1443" s="111"/>
      <c r="T1443" s="60"/>
      <c r="U1443" s="112"/>
    </row>
    <row r="1444" spans="4:21" s="110" customFormat="1" ht="15.75" customHeight="1">
      <c r="D1444" s="113"/>
      <c r="E1444" s="60"/>
      <c r="F1444" s="60"/>
      <c r="G1444" s="60"/>
      <c r="H1444" s="60"/>
      <c r="I1444" s="60"/>
      <c r="J1444" s="114"/>
      <c r="K1444" s="60"/>
      <c r="L1444" s="109"/>
      <c r="M1444" s="109"/>
      <c r="N1444" s="109"/>
      <c r="O1444" s="109"/>
      <c r="P1444" s="109"/>
      <c r="Q1444" s="109"/>
      <c r="S1444" s="111"/>
      <c r="T1444" s="60"/>
      <c r="U1444" s="112"/>
    </row>
    <row r="1445" spans="4:21" s="110" customFormat="1" ht="15.75" customHeight="1">
      <c r="D1445" s="113"/>
      <c r="E1445" s="60"/>
      <c r="F1445" s="60"/>
      <c r="G1445" s="60"/>
      <c r="H1445" s="60"/>
      <c r="I1445" s="60"/>
      <c r="J1445" s="114"/>
      <c r="K1445" s="60"/>
      <c r="L1445" s="109"/>
      <c r="M1445" s="109"/>
      <c r="N1445" s="109"/>
      <c r="O1445" s="109"/>
      <c r="P1445" s="109"/>
      <c r="Q1445" s="109"/>
      <c r="S1445" s="111"/>
      <c r="T1445" s="60"/>
      <c r="U1445" s="112"/>
    </row>
    <row r="1446" spans="4:21" s="110" customFormat="1" ht="15.75" customHeight="1">
      <c r="D1446" s="113"/>
      <c r="E1446" s="60"/>
      <c r="F1446" s="60"/>
      <c r="G1446" s="60"/>
      <c r="H1446" s="60"/>
      <c r="I1446" s="60"/>
      <c r="J1446" s="114"/>
      <c r="K1446" s="60"/>
      <c r="L1446" s="109"/>
      <c r="M1446" s="109"/>
      <c r="N1446" s="109"/>
      <c r="O1446" s="109"/>
      <c r="P1446" s="109"/>
      <c r="Q1446" s="109"/>
      <c r="S1446" s="111"/>
      <c r="T1446" s="60"/>
      <c r="U1446" s="112"/>
    </row>
    <row r="1447" spans="4:21" s="110" customFormat="1" ht="15.75" customHeight="1">
      <c r="D1447" s="113"/>
      <c r="E1447" s="60"/>
      <c r="F1447" s="60"/>
      <c r="G1447" s="60"/>
      <c r="H1447" s="60"/>
      <c r="I1447" s="60"/>
      <c r="J1447" s="114"/>
      <c r="K1447" s="60"/>
      <c r="L1447" s="109"/>
      <c r="M1447" s="109"/>
      <c r="N1447" s="109"/>
      <c r="O1447" s="109"/>
      <c r="P1447" s="109"/>
      <c r="Q1447" s="109"/>
      <c r="S1447" s="111"/>
      <c r="T1447" s="60"/>
      <c r="U1447" s="112"/>
    </row>
    <row r="1448" spans="4:21" s="110" customFormat="1" ht="15.75" customHeight="1">
      <c r="D1448" s="113"/>
      <c r="E1448" s="60"/>
      <c r="F1448" s="60"/>
      <c r="G1448" s="60"/>
      <c r="H1448" s="60"/>
      <c r="I1448" s="60"/>
      <c r="J1448" s="114"/>
      <c r="K1448" s="60"/>
      <c r="L1448" s="109"/>
      <c r="M1448" s="109"/>
      <c r="N1448" s="109"/>
      <c r="O1448" s="109"/>
      <c r="P1448" s="109"/>
      <c r="Q1448" s="109"/>
      <c r="S1448" s="111"/>
      <c r="T1448" s="60"/>
      <c r="U1448" s="112"/>
    </row>
    <row r="1449" spans="4:21" s="110" customFormat="1" ht="15.75" customHeight="1">
      <c r="D1449" s="113"/>
      <c r="E1449" s="60"/>
      <c r="F1449" s="60"/>
      <c r="G1449" s="60"/>
      <c r="H1449" s="60"/>
      <c r="I1449" s="60"/>
      <c r="J1449" s="114"/>
      <c r="K1449" s="60"/>
      <c r="L1449" s="109"/>
      <c r="M1449" s="109"/>
      <c r="N1449" s="109"/>
      <c r="O1449" s="109"/>
      <c r="P1449" s="109"/>
      <c r="Q1449" s="109"/>
      <c r="S1449" s="111"/>
      <c r="T1449" s="60"/>
      <c r="U1449" s="112"/>
    </row>
    <row r="1450" spans="4:21" s="110" customFormat="1" ht="15.75" customHeight="1">
      <c r="D1450" s="113"/>
      <c r="E1450" s="60"/>
      <c r="F1450" s="60"/>
      <c r="G1450" s="60"/>
      <c r="H1450" s="60"/>
      <c r="I1450" s="60"/>
      <c r="J1450" s="114"/>
      <c r="K1450" s="60"/>
      <c r="L1450" s="109"/>
      <c r="M1450" s="109"/>
      <c r="N1450" s="109"/>
      <c r="O1450" s="109"/>
      <c r="P1450" s="109"/>
      <c r="Q1450" s="109"/>
      <c r="S1450" s="111"/>
      <c r="T1450" s="60"/>
      <c r="U1450" s="112"/>
    </row>
    <row r="1451" spans="4:21" s="110" customFormat="1" ht="15.75" customHeight="1">
      <c r="D1451" s="113"/>
      <c r="E1451" s="60"/>
      <c r="F1451" s="60"/>
      <c r="G1451" s="60"/>
      <c r="H1451" s="60"/>
      <c r="I1451" s="60"/>
      <c r="J1451" s="114"/>
      <c r="K1451" s="60"/>
      <c r="L1451" s="109"/>
      <c r="M1451" s="109"/>
      <c r="N1451" s="109"/>
      <c r="O1451" s="109"/>
      <c r="P1451" s="109"/>
      <c r="Q1451" s="109"/>
      <c r="S1451" s="111"/>
      <c r="T1451" s="60"/>
      <c r="U1451" s="112"/>
    </row>
    <row r="1452" spans="4:21" s="110" customFormat="1" ht="15.75" customHeight="1">
      <c r="D1452" s="113"/>
      <c r="E1452" s="60"/>
      <c r="F1452" s="60"/>
      <c r="G1452" s="60"/>
      <c r="H1452" s="60"/>
      <c r="I1452" s="60"/>
      <c r="J1452" s="114"/>
      <c r="K1452" s="60"/>
      <c r="L1452" s="109"/>
      <c r="M1452" s="109"/>
      <c r="N1452" s="109"/>
      <c r="O1452" s="109"/>
      <c r="P1452" s="109"/>
      <c r="Q1452" s="109"/>
      <c r="S1452" s="111"/>
      <c r="T1452" s="60"/>
      <c r="U1452" s="112"/>
    </row>
    <row r="1453" spans="4:21" s="110" customFormat="1" ht="15.75" customHeight="1">
      <c r="D1453" s="113"/>
      <c r="E1453" s="60"/>
      <c r="F1453" s="60"/>
      <c r="G1453" s="60"/>
      <c r="H1453" s="60"/>
      <c r="I1453" s="60"/>
      <c r="J1453" s="114"/>
      <c r="K1453" s="60"/>
      <c r="L1453" s="109"/>
      <c r="M1453" s="109"/>
      <c r="N1453" s="109"/>
      <c r="O1453" s="109"/>
      <c r="P1453" s="109"/>
      <c r="Q1453" s="109"/>
      <c r="S1453" s="111"/>
      <c r="T1453" s="60"/>
      <c r="U1453" s="112"/>
    </row>
    <row r="1454" spans="4:21" s="110" customFormat="1" ht="15.75" customHeight="1">
      <c r="D1454" s="113"/>
      <c r="E1454" s="60"/>
      <c r="F1454" s="60"/>
      <c r="G1454" s="60"/>
      <c r="H1454" s="60"/>
      <c r="I1454" s="60"/>
      <c r="J1454" s="114"/>
      <c r="K1454" s="60"/>
      <c r="L1454" s="109"/>
      <c r="M1454" s="109"/>
      <c r="N1454" s="109"/>
      <c r="O1454" s="109"/>
      <c r="P1454" s="109"/>
      <c r="Q1454" s="109"/>
      <c r="S1454" s="111"/>
      <c r="T1454" s="60"/>
      <c r="U1454" s="112"/>
    </row>
    <row r="1455" spans="4:21" s="110" customFormat="1" ht="15.75" customHeight="1">
      <c r="D1455" s="113"/>
      <c r="E1455" s="60"/>
      <c r="F1455" s="60"/>
      <c r="G1455" s="60"/>
      <c r="H1455" s="60"/>
      <c r="I1455" s="60"/>
      <c r="J1455" s="114"/>
      <c r="K1455" s="60"/>
      <c r="L1455" s="109"/>
      <c r="M1455" s="109"/>
      <c r="N1455" s="109"/>
      <c r="O1455" s="109"/>
      <c r="P1455" s="109"/>
      <c r="Q1455" s="109"/>
      <c r="S1455" s="111"/>
      <c r="T1455" s="60"/>
      <c r="U1455" s="112"/>
    </row>
    <row r="1456" spans="4:21" s="110" customFormat="1" ht="15.75" customHeight="1">
      <c r="D1456" s="113"/>
      <c r="E1456" s="60"/>
      <c r="F1456" s="60"/>
      <c r="G1456" s="60"/>
      <c r="H1456" s="60"/>
      <c r="I1456" s="60"/>
      <c r="J1456" s="114"/>
      <c r="K1456" s="60"/>
      <c r="L1456" s="109"/>
      <c r="M1456" s="109"/>
      <c r="N1456" s="109"/>
      <c r="O1456" s="109"/>
      <c r="P1456" s="109"/>
      <c r="Q1456" s="109"/>
      <c r="S1456" s="111"/>
      <c r="T1456" s="60"/>
      <c r="U1456" s="112"/>
    </row>
    <row r="1457" spans="4:21" s="110" customFormat="1" ht="15.75" customHeight="1">
      <c r="D1457" s="113"/>
      <c r="E1457" s="60"/>
      <c r="F1457" s="60"/>
      <c r="G1457" s="60"/>
      <c r="H1457" s="60"/>
      <c r="I1457" s="60"/>
      <c r="J1457" s="114"/>
      <c r="K1457" s="60"/>
      <c r="L1457" s="109"/>
      <c r="M1457" s="109"/>
      <c r="N1457" s="109"/>
      <c r="O1457" s="109"/>
      <c r="P1457" s="109"/>
      <c r="Q1457" s="109"/>
      <c r="S1457" s="111"/>
      <c r="T1457" s="60"/>
      <c r="U1457" s="112"/>
    </row>
    <row r="1458" spans="4:21" s="110" customFormat="1" ht="15.75" customHeight="1">
      <c r="D1458" s="113"/>
      <c r="E1458" s="60"/>
      <c r="F1458" s="60"/>
      <c r="G1458" s="60"/>
      <c r="H1458" s="60"/>
      <c r="I1458" s="60"/>
      <c r="J1458" s="114"/>
      <c r="K1458" s="60"/>
      <c r="L1458" s="109"/>
      <c r="M1458" s="109"/>
      <c r="N1458" s="109"/>
      <c r="O1458" s="109"/>
      <c r="P1458" s="109"/>
      <c r="Q1458" s="109"/>
      <c r="S1458" s="111"/>
      <c r="T1458" s="60"/>
      <c r="U1458" s="112"/>
    </row>
    <row r="1459" spans="4:21" s="110" customFormat="1" ht="15.75" customHeight="1">
      <c r="D1459" s="113"/>
      <c r="E1459" s="60"/>
      <c r="F1459" s="60"/>
      <c r="G1459" s="60"/>
      <c r="H1459" s="60"/>
      <c r="I1459" s="60"/>
      <c r="J1459" s="114"/>
      <c r="K1459" s="60"/>
      <c r="L1459" s="109"/>
      <c r="M1459" s="109"/>
      <c r="N1459" s="109"/>
      <c r="O1459" s="109"/>
      <c r="P1459" s="109"/>
      <c r="Q1459" s="109"/>
      <c r="S1459" s="111"/>
      <c r="T1459" s="60"/>
      <c r="U1459" s="112"/>
    </row>
    <row r="1460" spans="4:21" s="110" customFormat="1" ht="15.75" customHeight="1">
      <c r="D1460" s="113"/>
      <c r="E1460" s="60"/>
      <c r="F1460" s="60"/>
      <c r="G1460" s="60"/>
      <c r="H1460" s="60"/>
      <c r="I1460" s="60"/>
      <c r="J1460" s="114"/>
      <c r="K1460" s="60"/>
      <c r="L1460" s="109"/>
      <c r="M1460" s="109"/>
      <c r="N1460" s="109"/>
      <c r="O1460" s="109"/>
      <c r="P1460" s="109"/>
      <c r="Q1460" s="109"/>
      <c r="S1460" s="111"/>
      <c r="T1460" s="60"/>
      <c r="U1460" s="112"/>
    </row>
    <row r="1461" spans="4:21" s="110" customFormat="1" ht="15.75" customHeight="1">
      <c r="D1461" s="113"/>
      <c r="E1461" s="60"/>
      <c r="F1461" s="60"/>
      <c r="G1461" s="60"/>
      <c r="H1461" s="60"/>
      <c r="I1461" s="60"/>
      <c r="J1461" s="114"/>
      <c r="K1461" s="60"/>
      <c r="L1461" s="109"/>
      <c r="M1461" s="109"/>
      <c r="N1461" s="109"/>
      <c r="O1461" s="109"/>
      <c r="P1461" s="109"/>
      <c r="Q1461" s="109"/>
      <c r="S1461" s="111"/>
      <c r="T1461" s="60"/>
      <c r="U1461" s="112"/>
    </row>
    <row r="1462" spans="4:21" s="110" customFormat="1" ht="15.75" customHeight="1">
      <c r="D1462" s="113"/>
      <c r="E1462" s="60"/>
      <c r="F1462" s="60"/>
      <c r="G1462" s="60"/>
      <c r="H1462" s="60"/>
      <c r="I1462" s="60"/>
      <c r="J1462" s="114"/>
      <c r="K1462" s="60"/>
      <c r="L1462" s="109"/>
      <c r="M1462" s="109"/>
      <c r="N1462" s="109"/>
      <c r="O1462" s="109"/>
      <c r="P1462" s="109"/>
      <c r="Q1462" s="109"/>
      <c r="S1462" s="111"/>
      <c r="T1462" s="60"/>
      <c r="U1462" s="112"/>
    </row>
    <row r="1463" spans="4:21" s="110" customFormat="1" ht="15.75" customHeight="1">
      <c r="D1463" s="113"/>
      <c r="E1463" s="60"/>
      <c r="F1463" s="60"/>
      <c r="G1463" s="60"/>
      <c r="H1463" s="60"/>
      <c r="I1463" s="60"/>
      <c r="J1463" s="114"/>
      <c r="K1463" s="60"/>
      <c r="L1463" s="109"/>
      <c r="M1463" s="109"/>
      <c r="N1463" s="109"/>
      <c r="O1463" s="109"/>
      <c r="P1463" s="109"/>
      <c r="Q1463" s="109"/>
      <c r="S1463" s="111"/>
      <c r="T1463" s="60"/>
      <c r="U1463" s="112"/>
    </row>
    <row r="1464" spans="4:21" s="110" customFormat="1" ht="15.75" customHeight="1">
      <c r="D1464" s="113"/>
      <c r="E1464" s="60"/>
      <c r="F1464" s="60"/>
      <c r="G1464" s="60"/>
      <c r="H1464" s="60"/>
      <c r="I1464" s="60"/>
      <c r="J1464" s="114"/>
      <c r="K1464" s="60"/>
      <c r="L1464" s="109"/>
      <c r="M1464" s="109"/>
      <c r="N1464" s="109"/>
      <c r="O1464" s="109"/>
      <c r="P1464" s="109"/>
      <c r="Q1464" s="109"/>
      <c r="S1464" s="111"/>
      <c r="T1464" s="60"/>
      <c r="U1464" s="112"/>
    </row>
    <row r="1465" spans="4:21" s="110" customFormat="1" ht="15.75" customHeight="1">
      <c r="D1465" s="113"/>
      <c r="E1465" s="60"/>
      <c r="F1465" s="60"/>
      <c r="G1465" s="60"/>
      <c r="H1465" s="60"/>
      <c r="I1465" s="60"/>
      <c r="J1465" s="114"/>
      <c r="K1465" s="60"/>
      <c r="L1465" s="109"/>
      <c r="M1465" s="109"/>
      <c r="N1465" s="109"/>
      <c r="O1465" s="109"/>
      <c r="P1465" s="109"/>
      <c r="Q1465" s="109"/>
      <c r="S1465" s="111"/>
      <c r="T1465" s="60"/>
      <c r="U1465" s="112"/>
    </row>
    <row r="1466" spans="4:21" s="110" customFormat="1" ht="15.75" customHeight="1">
      <c r="D1466" s="113"/>
      <c r="E1466" s="60"/>
      <c r="F1466" s="60"/>
      <c r="G1466" s="60"/>
      <c r="H1466" s="60"/>
      <c r="I1466" s="60"/>
      <c r="J1466" s="114"/>
      <c r="K1466" s="60"/>
      <c r="L1466" s="109"/>
      <c r="M1466" s="109"/>
      <c r="N1466" s="109"/>
      <c r="O1466" s="109"/>
      <c r="P1466" s="109"/>
      <c r="Q1466" s="109"/>
      <c r="S1466" s="111"/>
      <c r="T1466" s="60"/>
      <c r="U1466" s="112"/>
    </row>
    <row r="1467" spans="4:21" s="110" customFormat="1" ht="15.75" customHeight="1">
      <c r="D1467" s="113"/>
      <c r="E1467" s="60"/>
      <c r="F1467" s="60"/>
      <c r="G1467" s="60"/>
      <c r="H1467" s="60"/>
      <c r="I1467" s="60"/>
      <c r="J1467" s="114"/>
      <c r="K1467" s="60"/>
      <c r="L1467" s="109"/>
      <c r="M1467" s="109"/>
      <c r="N1467" s="109"/>
      <c r="O1467" s="109"/>
      <c r="P1467" s="109"/>
      <c r="Q1467" s="109"/>
      <c r="S1467" s="111"/>
      <c r="T1467" s="60"/>
      <c r="U1467" s="112"/>
    </row>
    <row r="1468" spans="4:21" s="110" customFormat="1" ht="15.75" customHeight="1">
      <c r="D1468" s="113"/>
      <c r="E1468" s="60"/>
      <c r="F1468" s="60"/>
      <c r="G1468" s="60"/>
      <c r="H1468" s="60"/>
      <c r="I1468" s="60"/>
      <c r="J1468" s="114"/>
      <c r="K1468" s="60"/>
      <c r="L1468" s="109"/>
      <c r="M1468" s="109"/>
      <c r="N1468" s="109"/>
      <c r="O1468" s="109"/>
      <c r="P1468" s="109"/>
      <c r="Q1468" s="109"/>
      <c r="S1468" s="111"/>
      <c r="T1468" s="60"/>
      <c r="U1468" s="112"/>
    </row>
    <row r="1469" spans="4:21" s="110" customFormat="1" ht="15.75" customHeight="1">
      <c r="D1469" s="113"/>
      <c r="E1469" s="60"/>
      <c r="F1469" s="60"/>
      <c r="G1469" s="60"/>
      <c r="H1469" s="60"/>
      <c r="I1469" s="60"/>
      <c r="J1469" s="114"/>
      <c r="K1469" s="60"/>
      <c r="L1469" s="109"/>
      <c r="M1469" s="109"/>
      <c r="N1469" s="109"/>
      <c r="O1469" s="109"/>
      <c r="P1469" s="109"/>
      <c r="Q1469" s="109"/>
      <c r="S1469" s="111"/>
      <c r="T1469" s="60"/>
      <c r="U1469" s="112"/>
    </row>
    <row r="1470" spans="4:21" s="110" customFormat="1" ht="15.75" customHeight="1">
      <c r="D1470" s="113"/>
      <c r="E1470" s="60"/>
      <c r="F1470" s="60"/>
      <c r="G1470" s="60"/>
      <c r="H1470" s="60"/>
      <c r="I1470" s="60"/>
      <c r="J1470" s="114"/>
      <c r="K1470" s="60"/>
      <c r="L1470" s="109"/>
      <c r="M1470" s="109"/>
      <c r="N1470" s="109"/>
      <c r="O1470" s="109"/>
      <c r="P1470" s="109"/>
      <c r="Q1470" s="109"/>
      <c r="S1470" s="111"/>
      <c r="T1470" s="60"/>
      <c r="U1470" s="112"/>
    </row>
    <row r="1471" spans="4:21" s="110" customFormat="1" ht="15.75" customHeight="1">
      <c r="D1471" s="113"/>
      <c r="E1471" s="60"/>
      <c r="F1471" s="60"/>
      <c r="G1471" s="60"/>
      <c r="H1471" s="60"/>
      <c r="I1471" s="60"/>
      <c r="J1471" s="114"/>
      <c r="K1471" s="60"/>
      <c r="L1471" s="109"/>
      <c r="M1471" s="109"/>
      <c r="N1471" s="109"/>
      <c r="O1471" s="109"/>
      <c r="P1471" s="109"/>
      <c r="Q1471" s="109"/>
      <c r="S1471" s="111"/>
      <c r="T1471" s="60"/>
      <c r="U1471" s="112"/>
    </row>
    <row r="1472" spans="4:21" s="110" customFormat="1" ht="15.75" customHeight="1">
      <c r="D1472" s="113"/>
      <c r="E1472" s="60"/>
      <c r="F1472" s="60"/>
      <c r="G1472" s="60"/>
      <c r="H1472" s="60"/>
      <c r="I1472" s="60"/>
      <c r="J1472" s="114"/>
      <c r="K1472" s="60"/>
      <c r="L1472" s="109"/>
      <c r="M1472" s="109"/>
      <c r="N1472" s="109"/>
      <c r="O1472" s="109"/>
      <c r="P1472" s="109"/>
      <c r="Q1472" s="109"/>
      <c r="S1472" s="111"/>
      <c r="T1472" s="60"/>
      <c r="U1472" s="112"/>
    </row>
    <row r="1473" spans="4:21" s="110" customFormat="1" ht="15.75" customHeight="1">
      <c r="D1473" s="113"/>
      <c r="E1473" s="60"/>
      <c r="F1473" s="60"/>
      <c r="G1473" s="60"/>
      <c r="H1473" s="60"/>
      <c r="I1473" s="60"/>
      <c r="J1473" s="114"/>
      <c r="K1473" s="60"/>
      <c r="L1473" s="109"/>
      <c r="M1473" s="109"/>
      <c r="N1473" s="109"/>
      <c r="O1473" s="109"/>
      <c r="P1473" s="109"/>
      <c r="Q1473" s="109"/>
      <c r="S1473" s="111"/>
      <c r="T1473" s="60"/>
      <c r="U1473" s="112"/>
    </row>
    <row r="1474" spans="4:21" s="110" customFormat="1" ht="15.75" customHeight="1">
      <c r="D1474" s="113"/>
      <c r="E1474" s="60"/>
      <c r="F1474" s="60"/>
      <c r="G1474" s="60"/>
      <c r="H1474" s="60"/>
      <c r="I1474" s="60"/>
      <c r="J1474" s="114"/>
      <c r="K1474" s="60"/>
      <c r="L1474" s="109"/>
      <c r="M1474" s="109"/>
      <c r="N1474" s="109"/>
      <c r="O1474" s="109"/>
      <c r="P1474" s="109"/>
      <c r="Q1474" s="109"/>
      <c r="S1474" s="111"/>
      <c r="T1474" s="60"/>
      <c r="U1474" s="112"/>
    </row>
    <row r="1475" spans="4:21" s="110" customFormat="1" ht="15.75" customHeight="1">
      <c r="D1475" s="113"/>
      <c r="E1475" s="60"/>
      <c r="F1475" s="60"/>
      <c r="G1475" s="60"/>
      <c r="H1475" s="60"/>
      <c r="I1475" s="60"/>
      <c r="J1475" s="114"/>
      <c r="K1475" s="60"/>
      <c r="L1475" s="109"/>
      <c r="M1475" s="109"/>
      <c r="N1475" s="109"/>
      <c r="O1475" s="109"/>
      <c r="P1475" s="109"/>
      <c r="Q1475" s="109"/>
      <c r="S1475" s="111"/>
      <c r="T1475" s="60"/>
      <c r="U1475" s="112"/>
    </row>
    <row r="1476" spans="4:21" s="110" customFormat="1" ht="15.75" customHeight="1">
      <c r="D1476" s="113"/>
      <c r="E1476" s="60"/>
      <c r="F1476" s="60"/>
      <c r="G1476" s="60"/>
      <c r="H1476" s="60"/>
      <c r="I1476" s="60"/>
      <c r="J1476" s="114"/>
      <c r="K1476" s="60"/>
      <c r="L1476" s="109"/>
      <c r="M1476" s="109"/>
      <c r="N1476" s="109"/>
      <c r="O1476" s="109"/>
      <c r="P1476" s="109"/>
      <c r="Q1476" s="109"/>
      <c r="S1476" s="111"/>
      <c r="T1476" s="60"/>
      <c r="U1476" s="112"/>
    </row>
    <row r="1477" spans="4:21" s="110" customFormat="1" ht="15.75" customHeight="1">
      <c r="D1477" s="113"/>
      <c r="E1477" s="60"/>
      <c r="F1477" s="60"/>
      <c r="G1477" s="60"/>
      <c r="H1477" s="60"/>
      <c r="I1477" s="60"/>
      <c r="J1477" s="114"/>
      <c r="K1477" s="60"/>
      <c r="L1477" s="109"/>
      <c r="M1477" s="109"/>
      <c r="N1477" s="109"/>
      <c r="O1477" s="109"/>
      <c r="P1477" s="109"/>
      <c r="Q1477" s="109"/>
      <c r="S1477" s="111"/>
      <c r="T1477" s="60"/>
      <c r="U1477" s="112"/>
    </row>
    <row r="1478" spans="4:21" s="110" customFormat="1" ht="15.75" customHeight="1">
      <c r="D1478" s="113"/>
      <c r="E1478" s="60"/>
      <c r="F1478" s="60"/>
      <c r="G1478" s="60"/>
      <c r="H1478" s="60"/>
      <c r="I1478" s="60"/>
      <c r="J1478" s="114"/>
      <c r="K1478" s="60"/>
      <c r="L1478" s="109"/>
      <c r="M1478" s="109"/>
      <c r="N1478" s="109"/>
      <c r="O1478" s="109"/>
      <c r="P1478" s="109"/>
      <c r="Q1478" s="109"/>
      <c r="S1478" s="111"/>
      <c r="T1478" s="60"/>
      <c r="U1478" s="112"/>
    </row>
    <row r="1479" spans="4:21" s="110" customFormat="1" ht="15.75" customHeight="1">
      <c r="D1479" s="113"/>
      <c r="E1479" s="60"/>
      <c r="F1479" s="60"/>
      <c r="G1479" s="60"/>
      <c r="H1479" s="60"/>
      <c r="I1479" s="60"/>
      <c r="J1479" s="114"/>
      <c r="K1479" s="60"/>
      <c r="L1479" s="109"/>
      <c r="M1479" s="109"/>
      <c r="N1479" s="109"/>
      <c r="O1479" s="109"/>
      <c r="P1479" s="109"/>
      <c r="Q1479" s="109"/>
      <c r="S1479" s="111"/>
      <c r="T1479" s="60"/>
      <c r="U1479" s="112"/>
    </row>
    <row r="1480" spans="4:21" s="110" customFormat="1" ht="15.75" customHeight="1">
      <c r="D1480" s="113"/>
      <c r="E1480" s="60"/>
      <c r="F1480" s="60"/>
      <c r="G1480" s="60"/>
      <c r="H1480" s="60"/>
      <c r="I1480" s="60"/>
      <c r="J1480" s="114"/>
      <c r="K1480" s="60"/>
      <c r="L1480" s="109"/>
      <c r="M1480" s="109"/>
      <c r="N1480" s="109"/>
      <c r="O1480" s="109"/>
      <c r="P1480" s="109"/>
      <c r="Q1480" s="109"/>
      <c r="S1480" s="111"/>
      <c r="T1480" s="60"/>
      <c r="U1480" s="112"/>
    </row>
    <row r="1481" spans="4:21" s="110" customFormat="1" ht="15.75" customHeight="1">
      <c r="D1481" s="113"/>
      <c r="E1481" s="60"/>
      <c r="F1481" s="60"/>
      <c r="G1481" s="60"/>
      <c r="H1481" s="60"/>
      <c r="I1481" s="60"/>
      <c r="J1481" s="114"/>
      <c r="K1481" s="60"/>
      <c r="L1481" s="109"/>
      <c r="M1481" s="109"/>
      <c r="N1481" s="109"/>
      <c r="O1481" s="109"/>
      <c r="P1481" s="109"/>
      <c r="Q1481" s="109"/>
      <c r="S1481" s="111"/>
      <c r="T1481" s="60"/>
      <c r="U1481" s="112"/>
    </row>
    <row r="1482" spans="4:21" s="110" customFormat="1" ht="15.75" customHeight="1">
      <c r="D1482" s="113"/>
      <c r="E1482" s="60"/>
      <c r="F1482" s="60"/>
      <c r="G1482" s="60"/>
      <c r="H1482" s="60"/>
      <c r="I1482" s="60"/>
      <c r="J1482" s="114"/>
      <c r="K1482" s="60"/>
      <c r="L1482" s="109"/>
      <c r="M1482" s="109"/>
      <c r="N1482" s="109"/>
      <c r="O1482" s="109"/>
      <c r="P1482" s="109"/>
      <c r="Q1482" s="109"/>
      <c r="S1482" s="111"/>
      <c r="T1482" s="60"/>
      <c r="U1482" s="112"/>
    </row>
    <row r="1483" spans="4:21" s="110" customFormat="1" ht="15.75" customHeight="1">
      <c r="D1483" s="113"/>
      <c r="E1483" s="60"/>
      <c r="F1483" s="60"/>
      <c r="G1483" s="60"/>
      <c r="H1483" s="60"/>
      <c r="I1483" s="60"/>
      <c r="J1483" s="114"/>
      <c r="K1483" s="60"/>
      <c r="L1483" s="109"/>
      <c r="M1483" s="109"/>
      <c r="N1483" s="109"/>
      <c r="O1483" s="109"/>
      <c r="P1483" s="109"/>
      <c r="Q1483" s="109"/>
      <c r="S1483" s="111"/>
      <c r="T1483" s="60"/>
      <c r="U1483" s="112"/>
    </row>
    <row r="1484" spans="4:21" s="110" customFormat="1" ht="15.75" customHeight="1">
      <c r="D1484" s="113"/>
      <c r="E1484" s="60"/>
      <c r="F1484" s="60"/>
      <c r="G1484" s="60"/>
      <c r="H1484" s="60"/>
      <c r="I1484" s="60"/>
      <c r="J1484" s="114"/>
      <c r="K1484" s="60"/>
      <c r="L1484" s="109"/>
      <c r="M1484" s="109"/>
      <c r="N1484" s="109"/>
      <c r="O1484" s="109"/>
      <c r="P1484" s="109"/>
      <c r="Q1484" s="109"/>
      <c r="S1484" s="111"/>
      <c r="T1484" s="60"/>
      <c r="U1484" s="112"/>
    </row>
    <row r="1485" spans="4:21" s="110" customFormat="1" ht="15.75" customHeight="1">
      <c r="D1485" s="113"/>
      <c r="E1485" s="60"/>
      <c r="F1485" s="60"/>
      <c r="G1485" s="60"/>
      <c r="H1485" s="60"/>
      <c r="I1485" s="60"/>
      <c r="J1485" s="114"/>
      <c r="K1485" s="60"/>
      <c r="L1485" s="109"/>
      <c r="M1485" s="109"/>
      <c r="N1485" s="109"/>
      <c r="O1485" s="109"/>
      <c r="P1485" s="109"/>
      <c r="Q1485" s="109"/>
      <c r="S1485" s="111"/>
      <c r="T1485" s="60"/>
      <c r="U1485" s="112"/>
    </row>
    <row r="1486" spans="4:21" s="110" customFormat="1" ht="15.75" customHeight="1">
      <c r="D1486" s="113"/>
      <c r="E1486" s="60"/>
      <c r="F1486" s="60"/>
      <c r="G1486" s="60"/>
      <c r="H1486" s="60"/>
      <c r="I1486" s="60"/>
      <c r="J1486" s="114"/>
      <c r="K1486" s="60"/>
      <c r="L1486" s="109"/>
      <c r="M1486" s="109"/>
      <c r="N1486" s="109"/>
      <c r="O1486" s="109"/>
      <c r="P1486" s="109"/>
      <c r="Q1486" s="109"/>
      <c r="S1486" s="111"/>
      <c r="T1486" s="60"/>
      <c r="U1486" s="112"/>
    </row>
    <row r="1487" spans="4:21" s="110" customFormat="1" ht="15.75" customHeight="1">
      <c r="D1487" s="113"/>
      <c r="E1487" s="60"/>
      <c r="F1487" s="60"/>
      <c r="G1487" s="60"/>
      <c r="H1487" s="60"/>
      <c r="I1487" s="60"/>
      <c r="J1487" s="114"/>
      <c r="K1487" s="60"/>
      <c r="L1487" s="109"/>
      <c r="M1487" s="109"/>
      <c r="N1487" s="109"/>
      <c r="O1487" s="109"/>
      <c r="P1487" s="109"/>
      <c r="Q1487" s="109"/>
      <c r="S1487" s="111"/>
      <c r="T1487" s="60"/>
      <c r="U1487" s="112"/>
    </row>
    <row r="1488" spans="4:21" s="110" customFormat="1" ht="15.75" customHeight="1">
      <c r="D1488" s="113"/>
      <c r="E1488" s="60"/>
      <c r="F1488" s="60"/>
      <c r="G1488" s="60"/>
      <c r="H1488" s="60"/>
      <c r="I1488" s="60"/>
      <c r="J1488" s="114"/>
      <c r="K1488" s="60"/>
      <c r="L1488" s="109"/>
      <c r="M1488" s="109"/>
      <c r="N1488" s="109"/>
      <c r="O1488" s="109"/>
      <c r="P1488" s="109"/>
      <c r="Q1488" s="109"/>
      <c r="S1488" s="111"/>
      <c r="T1488" s="60"/>
      <c r="U1488" s="112"/>
    </row>
    <row r="1489" spans="4:21" s="110" customFormat="1" ht="15.75" customHeight="1">
      <c r="D1489" s="113"/>
      <c r="E1489" s="60"/>
      <c r="F1489" s="60"/>
      <c r="G1489" s="60"/>
      <c r="H1489" s="60"/>
      <c r="I1489" s="60"/>
      <c r="J1489" s="114"/>
      <c r="K1489" s="60"/>
      <c r="L1489" s="109"/>
      <c r="M1489" s="109"/>
      <c r="N1489" s="109"/>
      <c r="O1489" s="109"/>
      <c r="P1489" s="109"/>
      <c r="Q1489" s="109"/>
      <c r="S1489" s="111"/>
      <c r="T1489" s="60"/>
      <c r="U1489" s="112"/>
    </row>
    <row r="1490" spans="4:21" s="110" customFormat="1" ht="15.75" customHeight="1">
      <c r="D1490" s="113"/>
      <c r="E1490" s="60"/>
      <c r="F1490" s="60"/>
      <c r="G1490" s="60"/>
      <c r="H1490" s="60"/>
      <c r="I1490" s="60"/>
      <c r="J1490" s="114"/>
      <c r="K1490" s="60"/>
      <c r="L1490" s="109"/>
      <c r="M1490" s="109"/>
      <c r="N1490" s="109"/>
      <c r="O1490" s="109"/>
      <c r="P1490" s="109"/>
      <c r="Q1490" s="109"/>
      <c r="S1490" s="111"/>
      <c r="T1490" s="60"/>
      <c r="U1490" s="112"/>
    </row>
    <row r="1491" spans="4:21" s="110" customFormat="1" ht="15.75" customHeight="1">
      <c r="D1491" s="113"/>
      <c r="E1491" s="60"/>
      <c r="F1491" s="60"/>
      <c r="G1491" s="60"/>
      <c r="H1491" s="60"/>
      <c r="I1491" s="60"/>
      <c r="J1491" s="114"/>
      <c r="K1491" s="60"/>
      <c r="L1491" s="109"/>
      <c r="M1491" s="109"/>
      <c r="N1491" s="109"/>
      <c r="O1491" s="109"/>
      <c r="P1491" s="109"/>
      <c r="Q1491" s="109"/>
      <c r="S1491" s="111"/>
      <c r="T1491" s="60"/>
      <c r="U1491" s="112"/>
    </row>
    <row r="1492" spans="4:21" s="110" customFormat="1" ht="15.75" customHeight="1">
      <c r="D1492" s="113"/>
      <c r="E1492" s="60"/>
      <c r="F1492" s="60"/>
      <c r="G1492" s="60"/>
      <c r="H1492" s="60"/>
      <c r="I1492" s="60"/>
      <c r="J1492" s="114"/>
      <c r="K1492" s="60"/>
      <c r="L1492" s="109"/>
      <c r="M1492" s="109"/>
      <c r="N1492" s="109"/>
      <c r="O1492" s="109"/>
      <c r="P1492" s="109"/>
      <c r="Q1492" s="109"/>
      <c r="S1492" s="111"/>
      <c r="T1492" s="60"/>
      <c r="U1492" s="112"/>
    </row>
    <row r="1493" spans="4:21" s="110" customFormat="1" ht="15.75" customHeight="1">
      <c r="D1493" s="113"/>
      <c r="E1493" s="60"/>
      <c r="F1493" s="60"/>
      <c r="G1493" s="60"/>
      <c r="H1493" s="60"/>
      <c r="I1493" s="60"/>
      <c r="J1493" s="114"/>
      <c r="K1493" s="60"/>
      <c r="L1493" s="109"/>
      <c r="M1493" s="109"/>
      <c r="N1493" s="109"/>
      <c r="O1493" s="109"/>
      <c r="P1493" s="109"/>
      <c r="Q1493" s="109"/>
      <c r="S1493" s="111"/>
      <c r="T1493" s="60"/>
      <c r="U1493" s="112"/>
    </row>
    <row r="1494" spans="4:21" s="110" customFormat="1" ht="15.75" customHeight="1">
      <c r="D1494" s="113"/>
      <c r="E1494" s="60"/>
      <c r="F1494" s="60"/>
      <c r="G1494" s="60"/>
      <c r="H1494" s="60"/>
      <c r="I1494" s="60"/>
      <c r="J1494" s="114"/>
      <c r="K1494" s="60"/>
      <c r="L1494" s="109"/>
      <c r="M1494" s="109"/>
      <c r="N1494" s="109"/>
      <c r="O1494" s="109"/>
      <c r="P1494" s="109"/>
      <c r="Q1494" s="109"/>
      <c r="S1494" s="111"/>
      <c r="T1494" s="60"/>
      <c r="U1494" s="112"/>
    </row>
    <row r="1495" spans="4:21" s="110" customFormat="1" ht="15.75" customHeight="1">
      <c r="D1495" s="113"/>
      <c r="E1495" s="60"/>
      <c r="F1495" s="60"/>
      <c r="G1495" s="60"/>
      <c r="H1495" s="60"/>
      <c r="I1495" s="60"/>
      <c r="J1495" s="114"/>
      <c r="K1495" s="60"/>
      <c r="L1495" s="109"/>
      <c r="M1495" s="109"/>
      <c r="N1495" s="109"/>
      <c r="O1495" s="109"/>
      <c r="P1495" s="109"/>
      <c r="Q1495" s="109"/>
      <c r="S1495" s="111"/>
      <c r="T1495" s="60"/>
      <c r="U1495" s="112"/>
    </row>
    <row r="1496" spans="4:21" s="110" customFormat="1" ht="15.75" customHeight="1">
      <c r="D1496" s="113"/>
      <c r="E1496" s="60"/>
      <c r="F1496" s="60"/>
      <c r="G1496" s="60"/>
      <c r="H1496" s="60"/>
      <c r="I1496" s="60"/>
      <c r="J1496" s="114"/>
      <c r="K1496" s="60"/>
      <c r="L1496" s="109"/>
      <c r="M1496" s="109"/>
      <c r="N1496" s="109"/>
      <c r="O1496" s="109"/>
      <c r="P1496" s="109"/>
      <c r="Q1496" s="109"/>
      <c r="S1496" s="111"/>
      <c r="T1496" s="60"/>
      <c r="U1496" s="112"/>
    </row>
    <row r="1497" spans="4:21" s="110" customFormat="1" ht="15.75" customHeight="1">
      <c r="D1497" s="113"/>
      <c r="E1497" s="60"/>
      <c r="F1497" s="60"/>
      <c r="G1497" s="60"/>
      <c r="H1497" s="60"/>
      <c r="I1497" s="60"/>
      <c r="J1497" s="114"/>
      <c r="K1497" s="60"/>
      <c r="L1497" s="109"/>
      <c r="M1497" s="109"/>
      <c r="N1497" s="109"/>
      <c r="O1497" s="109"/>
      <c r="P1497" s="109"/>
      <c r="Q1497" s="109"/>
      <c r="S1497" s="111"/>
      <c r="T1497" s="60"/>
      <c r="U1497" s="112"/>
    </row>
    <row r="1498" spans="4:21" s="110" customFormat="1" ht="15.75" customHeight="1">
      <c r="D1498" s="113"/>
      <c r="E1498" s="60"/>
      <c r="F1498" s="60"/>
      <c r="G1498" s="60"/>
      <c r="H1498" s="60"/>
      <c r="I1498" s="60"/>
      <c r="J1498" s="114"/>
      <c r="K1498" s="60"/>
      <c r="L1498" s="109"/>
      <c r="M1498" s="109"/>
      <c r="N1498" s="109"/>
      <c r="O1498" s="109"/>
      <c r="P1498" s="109"/>
      <c r="Q1498" s="109"/>
      <c r="S1498" s="111"/>
      <c r="T1498" s="60"/>
      <c r="U1498" s="112"/>
    </row>
    <row r="1499" spans="4:21" s="110" customFormat="1" ht="15.75" customHeight="1">
      <c r="D1499" s="113"/>
      <c r="E1499" s="60"/>
      <c r="F1499" s="60"/>
      <c r="G1499" s="60"/>
      <c r="H1499" s="60"/>
      <c r="I1499" s="60"/>
      <c r="J1499" s="114"/>
      <c r="K1499" s="60"/>
      <c r="L1499" s="109"/>
      <c r="M1499" s="109"/>
      <c r="N1499" s="109"/>
      <c r="O1499" s="109"/>
      <c r="P1499" s="109"/>
      <c r="Q1499" s="109"/>
      <c r="S1499" s="111"/>
      <c r="T1499" s="60"/>
      <c r="U1499" s="112"/>
    </row>
    <row r="1500" spans="4:21" s="110" customFormat="1" ht="15.75" customHeight="1">
      <c r="D1500" s="113"/>
      <c r="E1500" s="60"/>
      <c r="F1500" s="60"/>
      <c r="G1500" s="60"/>
      <c r="H1500" s="60"/>
      <c r="I1500" s="60"/>
      <c r="J1500" s="114"/>
      <c r="K1500" s="60"/>
      <c r="L1500" s="109"/>
      <c r="M1500" s="109"/>
      <c r="N1500" s="109"/>
      <c r="O1500" s="109"/>
      <c r="P1500" s="109"/>
      <c r="Q1500" s="109"/>
      <c r="S1500" s="111"/>
      <c r="T1500" s="60"/>
      <c r="U1500" s="112"/>
    </row>
    <row r="1501" spans="4:21" s="110" customFormat="1" ht="15.75" customHeight="1">
      <c r="D1501" s="113"/>
      <c r="E1501" s="60"/>
      <c r="F1501" s="60"/>
      <c r="G1501" s="60"/>
      <c r="H1501" s="60"/>
      <c r="I1501" s="60"/>
      <c r="J1501" s="114"/>
      <c r="K1501" s="60"/>
      <c r="L1501" s="109"/>
      <c r="M1501" s="109"/>
      <c r="N1501" s="109"/>
      <c r="O1501" s="109"/>
      <c r="P1501" s="109"/>
      <c r="Q1501" s="109"/>
      <c r="S1501" s="111"/>
      <c r="T1501" s="60"/>
      <c r="U1501" s="112"/>
    </row>
    <row r="1502" spans="4:21" s="110" customFormat="1" ht="15.75" customHeight="1">
      <c r="D1502" s="113"/>
      <c r="E1502" s="60"/>
      <c r="F1502" s="60"/>
      <c r="G1502" s="60"/>
      <c r="H1502" s="60"/>
      <c r="I1502" s="60"/>
      <c r="J1502" s="114"/>
      <c r="K1502" s="60"/>
      <c r="L1502" s="109"/>
      <c r="M1502" s="109"/>
      <c r="N1502" s="109"/>
      <c r="O1502" s="109"/>
      <c r="P1502" s="109"/>
      <c r="Q1502" s="109"/>
      <c r="S1502" s="111"/>
      <c r="T1502" s="60"/>
      <c r="U1502" s="112"/>
    </row>
    <row r="1503" spans="4:21" s="110" customFormat="1" ht="15.75" customHeight="1">
      <c r="D1503" s="113"/>
      <c r="E1503" s="60"/>
      <c r="F1503" s="60"/>
      <c r="G1503" s="60"/>
      <c r="H1503" s="60"/>
      <c r="I1503" s="60"/>
      <c r="J1503" s="114"/>
      <c r="K1503" s="60"/>
      <c r="L1503" s="109"/>
      <c r="M1503" s="109"/>
      <c r="N1503" s="109"/>
      <c r="O1503" s="109"/>
      <c r="P1503" s="109"/>
      <c r="Q1503" s="109"/>
      <c r="S1503" s="111"/>
      <c r="T1503" s="60"/>
      <c r="U1503" s="112"/>
    </row>
    <row r="1504" spans="4:21" s="110" customFormat="1" ht="15.75" customHeight="1">
      <c r="D1504" s="113"/>
      <c r="E1504" s="60"/>
      <c r="F1504" s="60"/>
      <c r="G1504" s="60"/>
      <c r="H1504" s="60"/>
      <c r="I1504" s="60"/>
      <c r="J1504" s="114"/>
      <c r="K1504" s="60"/>
      <c r="L1504" s="109"/>
      <c r="M1504" s="109"/>
      <c r="N1504" s="109"/>
      <c r="O1504" s="109"/>
      <c r="P1504" s="109"/>
      <c r="Q1504" s="109"/>
      <c r="S1504" s="111"/>
      <c r="T1504" s="60"/>
      <c r="U1504" s="112"/>
    </row>
    <row r="1505" spans="4:21" s="110" customFormat="1" ht="15.75" customHeight="1">
      <c r="D1505" s="113"/>
      <c r="E1505" s="60"/>
      <c r="F1505" s="60"/>
      <c r="G1505" s="60"/>
      <c r="H1505" s="60"/>
      <c r="I1505" s="60"/>
      <c r="J1505" s="114"/>
      <c r="K1505" s="60"/>
      <c r="L1505" s="109"/>
      <c r="M1505" s="109"/>
      <c r="N1505" s="109"/>
      <c r="O1505" s="109"/>
      <c r="P1505" s="109"/>
      <c r="Q1505" s="109"/>
      <c r="S1505" s="111"/>
      <c r="T1505" s="60"/>
      <c r="U1505" s="112"/>
    </row>
    <row r="1506" spans="4:21" s="110" customFormat="1" ht="15.75" customHeight="1">
      <c r="D1506" s="113"/>
      <c r="E1506" s="60"/>
      <c r="F1506" s="60"/>
      <c r="G1506" s="60"/>
      <c r="H1506" s="60"/>
      <c r="I1506" s="60"/>
      <c r="J1506" s="114"/>
      <c r="K1506" s="60"/>
      <c r="L1506" s="109"/>
      <c r="M1506" s="109"/>
      <c r="N1506" s="109"/>
      <c r="O1506" s="109"/>
      <c r="P1506" s="109"/>
      <c r="Q1506" s="109"/>
      <c r="S1506" s="111"/>
      <c r="T1506" s="60"/>
      <c r="U1506" s="112"/>
    </row>
    <row r="1507" spans="4:21" s="110" customFormat="1" ht="15.75" customHeight="1">
      <c r="D1507" s="113"/>
      <c r="E1507" s="60"/>
      <c r="F1507" s="60"/>
      <c r="G1507" s="60"/>
      <c r="H1507" s="60"/>
      <c r="I1507" s="60"/>
      <c r="J1507" s="114"/>
      <c r="K1507" s="60"/>
      <c r="L1507" s="109"/>
      <c r="M1507" s="109"/>
      <c r="N1507" s="109"/>
      <c r="O1507" s="109"/>
      <c r="P1507" s="109"/>
      <c r="Q1507" s="109"/>
      <c r="S1507" s="111"/>
      <c r="T1507" s="60"/>
      <c r="U1507" s="112"/>
    </row>
    <row r="1508" spans="4:21" s="110" customFormat="1" ht="15.75" customHeight="1">
      <c r="D1508" s="113"/>
      <c r="E1508" s="60"/>
      <c r="F1508" s="60"/>
      <c r="G1508" s="60"/>
      <c r="H1508" s="60"/>
      <c r="I1508" s="60"/>
      <c r="J1508" s="114"/>
      <c r="K1508" s="60"/>
      <c r="L1508" s="109"/>
      <c r="M1508" s="109"/>
      <c r="N1508" s="109"/>
      <c r="O1508" s="109"/>
      <c r="P1508" s="109"/>
      <c r="Q1508" s="109"/>
      <c r="S1508" s="111"/>
      <c r="T1508" s="60"/>
      <c r="U1508" s="112"/>
    </row>
    <row r="1509" spans="4:21" s="110" customFormat="1" ht="15.75" customHeight="1">
      <c r="D1509" s="113"/>
      <c r="E1509" s="60"/>
      <c r="F1509" s="60"/>
      <c r="G1509" s="60"/>
      <c r="H1509" s="60"/>
      <c r="I1509" s="60"/>
      <c r="J1509" s="114"/>
      <c r="K1509" s="60"/>
      <c r="L1509" s="109"/>
      <c r="M1509" s="109"/>
      <c r="N1509" s="109"/>
      <c r="O1509" s="109"/>
      <c r="P1509" s="109"/>
      <c r="Q1509" s="109"/>
      <c r="S1509" s="111"/>
      <c r="T1509" s="60"/>
      <c r="U1509" s="112"/>
    </row>
    <row r="1510" spans="4:21" s="110" customFormat="1" ht="15.75" customHeight="1">
      <c r="D1510" s="113"/>
      <c r="E1510" s="60"/>
      <c r="F1510" s="60"/>
      <c r="G1510" s="60"/>
      <c r="H1510" s="60"/>
      <c r="I1510" s="60"/>
      <c r="J1510" s="114"/>
      <c r="K1510" s="60"/>
      <c r="L1510" s="109"/>
      <c r="M1510" s="109"/>
      <c r="N1510" s="109"/>
      <c r="O1510" s="109"/>
      <c r="P1510" s="109"/>
      <c r="Q1510" s="109"/>
      <c r="S1510" s="111"/>
      <c r="T1510" s="60"/>
      <c r="U1510" s="112"/>
    </row>
    <row r="1511" spans="4:21" s="110" customFormat="1" ht="15.75" customHeight="1">
      <c r="D1511" s="113"/>
      <c r="E1511" s="60"/>
      <c r="F1511" s="60"/>
      <c r="G1511" s="60"/>
      <c r="H1511" s="60"/>
      <c r="I1511" s="60"/>
      <c r="J1511" s="114"/>
      <c r="K1511" s="60"/>
      <c r="L1511" s="109"/>
      <c r="M1511" s="109"/>
      <c r="N1511" s="109"/>
      <c r="O1511" s="109"/>
      <c r="P1511" s="109"/>
      <c r="Q1511" s="109"/>
      <c r="S1511" s="111"/>
      <c r="T1511" s="60"/>
      <c r="U1511" s="112"/>
    </row>
    <row r="1512" spans="4:21" s="110" customFormat="1" ht="15.75" customHeight="1">
      <c r="D1512" s="113"/>
      <c r="E1512" s="60"/>
      <c r="F1512" s="60"/>
      <c r="G1512" s="60"/>
      <c r="H1512" s="60"/>
      <c r="I1512" s="60"/>
      <c r="J1512" s="114"/>
      <c r="K1512" s="60"/>
      <c r="L1512" s="109"/>
      <c r="M1512" s="109"/>
      <c r="N1512" s="109"/>
      <c r="O1512" s="109"/>
      <c r="P1512" s="109"/>
      <c r="Q1512" s="109"/>
      <c r="S1512" s="111"/>
      <c r="T1512" s="60"/>
      <c r="U1512" s="112"/>
    </row>
    <row r="1513" spans="4:21" s="110" customFormat="1" ht="15.75" customHeight="1">
      <c r="D1513" s="113"/>
      <c r="E1513" s="60"/>
      <c r="F1513" s="60"/>
      <c r="G1513" s="60"/>
      <c r="H1513" s="60"/>
      <c r="I1513" s="60"/>
      <c r="J1513" s="114"/>
      <c r="K1513" s="60"/>
      <c r="L1513" s="109"/>
      <c r="M1513" s="109"/>
      <c r="N1513" s="109"/>
      <c r="O1513" s="109"/>
      <c r="P1513" s="109"/>
      <c r="Q1513" s="109"/>
      <c r="S1513" s="111"/>
      <c r="T1513" s="60"/>
      <c r="U1513" s="112"/>
    </row>
    <row r="1514" spans="4:21" s="110" customFormat="1" ht="15.75" customHeight="1">
      <c r="D1514" s="113"/>
      <c r="E1514" s="60"/>
      <c r="F1514" s="60"/>
      <c r="G1514" s="60"/>
      <c r="H1514" s="60"/>
      <c r="I1514" s="60"/>
      <c r="J1514" s="114"/>
      <c r="K1514" s="60"/>
      <c r="L1514" s="109"/>
      <c r="M1514" s="109"/>
      <c r="N1514" s="109"/>
      <c r="O1514" s="109"/>
      <c r="P1514" s="109"/>
      <c r="Q1514" s="109"/>
      <c r="S1514" s="111"/>
      <c r="T1514" s="60"/>
      <c r="U1514" s="112"/>
    </row>
    <row r="1515" spans="4:21" s="110" customFormat="1" ht="15.75" customHeight="1">
      <c r="D1515" s="113"/>
      <c r="E1515" s="60"/>
      <c r="F1515" s="60"/>
      <c r="G1515" s="60"/>
      <c r="H1515" s="60"/>
      <c r="I1515" s="60"/>
      <c r="J1515" s="114"/>
      <c r="K1515" s="60"/>
      <c r="L1515" s="109"/>
      <c r="M1515" s="109"/>
      <c r="N1515" s="109"/>
      <c r="O1515" s="109"/>
      <c r="P1515" s="109"/>
      <c r="Q1515" s="109"/>
      <c r="S1515" s="111"/>
      <c r="T1515" s="60"/>
      <c r="U1515" s="112"/>
    </row>
    <row r="1516" spans="4:21" s="110" customFormat="1" ht="15.75" customHeight="1">
      <c r="D1516" s="113"/>
      <c r="E1516" s="60"/>
      <c r="F1516" s="60"/>
      <c r="G1516" s="60"/>
      <c r="H1516" s="60"/>
      <c r="I1516" s="60"/>
      <c r="J1516" s="114"/>
      <c r="K1516" s="60"/>
      <c r="L1516" s="109"/>
      <c r="M1516" s="109"/>
      <c r="N1516" s="109"/>
      <c r="O1516" s="109"/>
      <c r="P1516" s="109"/>
      <c r="Q1516" s="109"/>
      <c r="S1516" s="111"/>
      <c r="T1516" s="60"/>
      <c r="U1516" s="112"/>
    </row>
    <row r="1517" spans="4:21" s="110" customFormat="1" ht="15.75" customHeight="1">
      <c r="D1517" s="113"/>
      <c r="E1517" s="60"/>
      <c r="F1517" s="60"/>
      <c r="G1517" s="60"/>
      <c r="H1517" s="60"/>
      <c r="I1517" s="60"/>
      <c r="J1517" s="114"/>
      <c r="K1517" s="60"/>
      <c r="L1517" s="109"/>
      <c r="M1517" s="109"/>
      <c r="N1517" s="109"/>
      <c r="O1517" s="109"/>
      <c r="P1517" s="109"/>
      <c r="Q1517" s="109"/>
      <c r="S1517" s="111"/>
      <c r="T1517" s="60"/>
      <c r="U1517" s="112"/>
    </row>
    <row r="1518" spans="4:21" s="110" customFormat="1" ht="15.75" customHeight="1">
      <c r="D1518" s="113"/>
      <c r="E1518" s="60"/>
      <c r="F1518" s="60"/>
      <c r="G1518" s="60"/>
      <c r="H1518" s="60"/>
      <c r="I1518" s="60"/>
      <c r="J1518" s="114"/>
      <c r="K1518" s="60"/>
      <c r="L1518" s="109"/>
      <c r="M1518" s="109"/>
      <c r="N1518" s="109"/>
      <c r="O1518" s="109"/>
      <c r="P1518" s="109"/>
      <c r="Q1518" s="109"/>
      <c r="S1518" s="111"/>
      <c r="T1518" s="60"/>
      <c r="U1518" s="112"/>
    </row>
    <row r="1519" spans="4:21" s="110" customFormat="1" ht="15.75" customHeight="1">
      <c r="D1519" s="113"/>
      <c r="E1519" s="60"/>
      <c r="F1519" s="60"/>
      <c r="G1519" s="60"/>
      <c r="H1519" s="60"/>
      <c r="I1519" s="60"/>
      <c r="J1519" s="114"/>
      <c r="K1519" s="60"/>
      <c r="L1519" s="109"/>
      <c r="M1519" s="109"/>
      <c r="N1519" s="109"/>
      <c r="O1519" s="109"/>
      <c r="P1519" s="109"/>
      <c r="Q1519" s="109"/>
      <c r="S1519" s="111"/>
      <c r="T1519" s="60"/>
      <c r="U1519" s="112"/>
    </row>
    <row r="1520" spans="4:21" s="110" customFormat="1" ht="15.75" customHeight="1">
      <c r="D1520" s="113"/>
      <c r="E1520" s="60"/>
      <c r="F1520" s="60"/>
      <c r="G1520" s="60"/>
      <c r="H1520" s="60"/>
      <c r="I1520" s="60"/>
      <c r="J1520" s="114"/>
      <c r="K1520" s="60"/>
      <c r="L1520" s="109"/>
      <c r="M1520" s="109"/>
      <c r="N1520" s="109"/>
      <c r="O1520" s="109"/>
      <c r="P1520" s="109"/>
      <c r="Q1520" s="109"/>
      <c r="S1520" s="111"/>
      <c r="T1520" s="60"/>
      <c r="U1520" s="112"/>
    </row>
    <row r="1521" spans="4:21" s="110" customFormat="1" ht="15.75" customHeight="1">
      <c r="D1521" s="113"/>
      <c r="E1521" s="60"/>
      <c r="F1521" s="60"/>
      <c r="G1521" s="60"/>
      <c r="H1521" s="60"/>
      <c r="I1521" s="60"/>
      <c r="J1521" s="114"/>
      <c r="K1521" s="60"/>
      <c r="L1521" s="109"/>
      <c r="M1521" s="109"/>
      <c r="N1521" s="109"/>
      <c r="O1521" s="109"/>
      <c r="P1521" s="109"/>
      <c r="Q1521" s="109"/>
      <c r="S1521" s="111"/>
      <c r="T1521" s="60"/>
      <c r="U1521" s="112"/>
    </row>
    <row r="1522" spans="4:21" s="110" customFormat="1" ht="15.75" customHeight="1">
      <c r="D1522" s="113"/>
      <c r="E1522" s="60"/>
      <c r="F1522" s="60"/>
      <c r="G1522" s="60"/>
      <c r="H1522" s="60"/>
      <c r="I1522" s="60"/>
      <c r="J1522" s="114"/>
      <c r="K1522" s="60"/>
      <c r="L1522" s="109"/>
      <c r="M1522" s="109"/>
      <c r="N1522" s="109"/>
      <c r="O1522" s="109"/>
      <c r="P1522" s="109"/>
      <c r="Q1522" s="109"/>
      <c r="S1522" s="111"/>
      <c r="T1522" s="60"/>
      <c r="U1522" s="112"/>
    </row>
    <row r="1523" spans="4:21" s="110" customFormat="1" ht="15.75" customHeight="1">
      <c r="D1523" s="113"/>
      <c r="E1523" s="60"/>
      <c r="F1523" s="60"/>
      <c r="G1523" s="60"/>
      <c r="H1523" s="60"/>
      <c r="I1523" s="60"/>
      <c r="J1523" s="114"/>
      <c r="K1523" s="60"/>
      <c r="L1523" s="109"/>
      <c r="M1523" s="109"/>
      <c r="N1523" s="109"/>
      <c r="O1523" s="109"/>
      <c r="P1523" s="109"/>
      <c r="Q1523" s="109"/>
      <c r="S1523" s="111"/>
      <c r="T1523" s="60"/>
      <c r="U1523" s="112"/>
    </row>
    <row r="1524" spans="4:21" s="110" customFormat="1" ht="15.75" customHeight="1">
      <c r="D1524" s="113"/>
      <c r="E1524" s="60"/>
      <c r="F1524" s="60"/>
      <c r="G1524" s="60"/>
      <c r="H1524" s="60"/>
      <c r="I1524" s="60"/>
      <c r="J1524" s="114"/>
      <c r="K1524" s="60"/>
      <c r="L1524" s="109"/>
      <c r="M1524" s="109"/>
      <c r="N1524" s="109"/>
      <c r="O1524" s="109"/>
      <c r="P1524" s="109"/>
      <c r="Q1524" s="109"/>
      <c r="S1524" s="111"/>
      <c r="T1524" s="60"/>
      <c r="U1524" s="112"/>
    </row>
    <row r="1525" spans="4:21" s="110" customFormat="1" ht="15.75" customHeight="1">
      <c r="D1525" s="113"/>
      <c r="E1525" s="60"/>
      <c r="F1525" s="60"/>
      <c r="G1525" s="60"/>
      <c r="H1525" s="60"/>
      <c r="I1525" s="60"/>
      <c r="J1525" s="114"/>
      <c r="K1525" s="60"/>
      <c r="L1525" s="109"/>
      <c r="M1525" s="109"/>
      <c r="N1525" s="109"/>
      <c r="O1525" s="109"/>
      <c r="P1525" s="109"/>
      <c r="Q1525" s="109"/>
      <c r="S1525" s="111"/>
      <c r="T1525" s="60"/>
      <c r="U1525" s="112"/>
    </row>
    <row r="1526" spans="4:21" s="110" customFormat="1" ht="15.75" customHeight="1">
      <c r="D1526" s="113"/>
      <c r="E1526" s="60"/>
      <c r="F1526" s="60"/>
      <c r="G1526" s="60"/>
      <c r="H1526" s="60"/>
      <c r="I1526" s="60"/>
      <c r="J1526" s="114"/>
      <c r="K1526" s="60"/>
      <c r="L1526" s="109"/>
      <c r="M1526" s="109"/>
      <c r="N1526" s="109"/>
      <c r="O1526" s="109"/>
      <c r="P1526" s="109"/>
      <c r="Q1526" s="109"/>
      <c r="S1526" s="111"/>
      <c r="T1526" s="60"/>
      <c r="U1526" s="112"/>
    </row>
    <row r="1527" spans="4:21" s="110" customFormat="1" ht="15.75" customHeight="1">
      <c r="D1527" s="113"/>
      <c r="E1527" s="60"/>
      <c r="F1527" s="60"/>
      <c r="G1527" s="60"/>
      <c r="H1527" s="60"/>
      <c r="I1527" s="60"/>
      <c r="J1527" s="114"/>
      <c r="K1527" s="60"/>
      <c r="L1527" s="109"/>
      <c r="M1527" s="109"/>
      <c r="N1527" s="109"/>
      <c r="O1527" s="109"/>
      <c r="P1527" s="109"/>
      <c r="Q1527" s="109"/>
      <c r="S1527" s="111"/>
      <c r="T1527" s="60"/>
      <c r="U1527" s="112"/>
    </row>
    <row r="1528" spans="4:21" s="110" customFormat="1" ht="15.75" customHeight="1">
      <c r="D1528" s="113"/>
      <c r="E1528" s="60"/>
      <c r="F1528" s="60"/>
      <c r="G1528" s="60"/>
      <c r="H1528" s="60"/>
      <c r="I1528" s="60"/>
      <c r="J1528" s="114"/>
      <c r="K1528" s="60"/>
      <c r="L1528" s="109"/>
      <c r="M1528" s="109"/>
      <c r="N1528" s="109"/>
      <c r="O1528" s="109"/>
      <c r="P1528" s="109"/>
      <c r="Q1528" s="109"/>
      <c r="S1528" s="111"/>
      <c r="T1528" s="60"/>
      <c r="U1528" s="112"/>
    </row>
    <row r="1529" spans="4:21" s="110" customFormat="1" ht="15.75" customHeight="1">
      <c r="D1529" s="113"/>
      <c r="E1529" s="60"/>
      <c r="F1529" s="60"/>
      <c r="G1529" s="60"/>
      <c r="H1529" s="60"/>
      <c r="I1529" s="60"/>
      <c r="J1529" s="114"/>
      <c r="K1529" s="60"/>
      <c r="L1529" s="109"/>
      <c r="M1529" s="109"/>
      <c r="N1529" s="109"/>
      <c r="O1529" s="109"/>
      <c r="P1529" s="109"/>
      <c r="Q1529" s="109"/>
      <c r="S1529" s="111"/>
      <c r="T1529" s="60"/>
      <c r="U1529" s="112"/>
    </row>
    <row r="1530" spans="4:21" s="110" customFormat="1" ht="15.75" customHeight="1">
      <c r="D1530" s="113"/>
      <c r="E1530" s="60"/>
      <c r="F1530" s="60"/>
      <c r="G1530" s="60"/>
      <c r="H1530" s="60"/>
      <c r="I1530" s="60"/>
      <c r="J1530" s="114"/>
      <c r="K1530" s="60"/>
      <c r="L1530" s="109"/>
      <c r="M1530" s="109"/>
      <c r="N1530" s="109"/>
      <c r="O1530" s="109"/>
      <c r="P1530" s="109"/>
      <c r="Q1530" s="109"/>
      <c r="S1530" s="111"/>
      <c r="T1530" s="60"/>
      <c r="U1530" s="112"/>
    </row>
    <row r="1531" spans="4:21" s="110" customFormat="1" ht="15.75" customHeight="1">
      <c r="D1531" s="113"/>
      <c r="E1531" s="60"/>
      <c r="F1531" s="60"/>
      <c r="G1531" s="60"/>
      <c r="H1531" s="60"/>
      <c r="I1531" s="60"/>
      <c r="J1531" s="114"/>
      <c r="K1531" s="60"/>
      <c r="L1531" s="109"/>
      <c r="M1531" s="109"/>
      <c r="N1531" s="109"/>
      <c r="O1531" s="109"/>
      <c r="P1531" s="109"/>
      <c r="Q1531" s="109"/>
      <c r="S1531" s="111"/>
      <c r="T1531" s="60"/>
      <c r="U1531" s="112"/>
    </row>
    <row r="1532" spans="4:21" s="110" customFormat="1" ht="15.75" customHeight="1">
      <c r="D1532" s="113"/>
      <c r="E1532" s="60"/>
      <c r="F1532" s="60"/>
      <c r="G1532" s="60"/>
      <c r="H1532" s="60"/>
      <c r="I1532" s="60"/>
      <c r="J1532" s="114"/>
      <c r="K1532" s="60"/>
      <c r="L1532" s="109"/>
      <c r="M1532" s="109"/>
      <c r="N1532" s="109"/>
      <c r="O1532" s="109"/>
      <c r="P1532" s="109"/>
      <c r="Q1532" s="109"/>
      <c r="S1532" s="111"/>
      <c r="T1532" s="60"/>
      <c r="U1532" s="112"/>
    </row>
    <row r="1533" spans="4:21" s="110" customFormat="1" ht="15.75" customHeight="1">
      <c r="D1533" s="113"/>
      <c r="E1533" s="60"/>
      <c r="F1533" s="60"/>
      <c r="G1533" s="60"/>
      <c r="H1533" s="60"/>
      <c r="I1533" s="60"/>
      <c r="J1533" s="114"/>
      <c r="K1533" s="60"/>
      <c r="L1533" s="109"/>
      <c r="M1533" s="109"/>
      <c r="N1533" s="109"/>
      <c r="O1533" s="109"/>
      <c r="P1533" s="109"/>
      <c r="Q1533" s="109"/>
      <c r="S1533" s="111"/>
      <c r="T1533" s="60"/>
      <c r="U1533" s="112"/>
    </row>
    <row r="1534" spans="4:21" s="110" customFormat="1" ht="15.75" customHeight="1">
      <c r="D1534" s="113"/>
      <c r="E1534" s="60"/>
      <c r="F1534" s="60"/>
      <c r="G1534" s="60"/>
      <c r="H1534" s="60"/>
      <c r="I1534" s="60"/>
      <c r="J1534" s="114"/>
      <c r="K1534" s="60"/>
      <c r="L1534" s="109"/>
      <c r="M1534" s="109"/>
      <c r="N1534" s="109"/>
      <c r="O1534" s="109"/>
      <c r="P1534" s="109"/>
      <c r="Q1534" s="109"/>
      <c r="S1534" s="111"/>
      <c r="T1534" s="60"/>
      <c r="U1534" s="112"/>
    </row>
    <row r="1535" spans="4:21" s="110" customFormat="1" ht="15.75" customHeight="1">
      <c r="D1535" s="113"/>
      <c r="E1535" s="60"/>
      <c r="F1535" s="60"/>
      <c r="G1535" s="60"/>
      <c r="H1535" s="60"/>
      <c r="I1535" s="60"/>
      <c r="J1535" s="114"/>
      <c r="K1535" s="60"/>
      <c r="L1535" s="109"/>
      <c r="M1535" s="109"/>
      <c r="N1535" s="109"/>
      <c r="O1535" s="109"/>
      <c r="P1535" s="109"/>
      <c r="Q1535" s="109"/>
      <c r="S1535" s="111"/>
      <c r="T1535" s="60"/>
      <c r="U1535" s="112"/>
    </row>
    <row r="1536" spans="4:21" s="110" customFormat="1" ht="15.75" customHeight="1">
      <c r="D1536" s="113"/>
      <c r="E1536" s="60"/>
      <c r="F1536" s="60"/>
      <c r="G1536" s="60"/>
      <c r="H1536" s="60"/>
      <c r="I1536" s="60"/>
      <c r="J1536" s="114"/>
      <c r="K1536" s="60"/>
      <c r="L1536" s="109"/>
      <c r="M1536" s="109"/>
      <c r="N1536" s="109"/>
      <c r="O1536" s="109"/>
      <c r="P1536" s="109"/>
      <c r="Q1536" s="109"/>
      <c r="S1536" s="111"/>
      <c r="T1536" s="60"/>
      <c r="U1536" s="112"/>
    </row>
    <row r="1537" spans="4:21" s="110" customFormat="1" ht="15.75" customHeight="1">
      <c r="D1537" s="113"/>
      <c r="E1537" s="60"/>
      <c r="F1537" s="60"/>
      <c r="G1537" s="60"/>
      <c r="H1537" s="60"/>
      <c r="I1537" s="60"/>
      <c r="J1537" s="114"/>
      <c r="K1537" s="60"/>
      <c r="L1537" s="109"/>
      <c r="M1537" s="109"/>
      <c r="N1537" s="109"/>
      <c r="O1537" s="109"/>
      <c r="P1537" s="109"/>
      <c r="Q1537" s="109"/>
      <c r="S1537" s="111"/>
      <c r="T1537" s="60"/>
      <c r="U1537" s="112"/>
    </row>
    <row r="1538" spans="4:21" s="110" customFormat="1" ht="15.75" customHeight="1">
      <c r="D1538" s="113"/>
      <c r="E1538" s="60"/>
      <c r="F1538" s="60"/>
      <c r="G1538" s="60"/>
      <c r="H1538" s="60"/>
      <c r="I1538" s="60"/>
      <c r="J1538" s="114"/>
      <c r="K1538" s="60"/>
      <c r="L1538" s="109"/>
      <c r="M1538" s="109"/>
      <c r="N1538" s="109"/>
      <c r="O1538" s="109"/>
      <c r="P1538" s="109"/>
      <c r="Q1538" s="109"/>
      <c r="S1538" s="111"/>
      <c r="T1538" s="60"/>
      <c r="U1538" s="112"/>
    </row>
    <row r="1539" spans="4:21" s="110" customFormat="1" ht="15.75" customHeight="1">
      <c r="D1539" s="113"/>
      <c r="E1539" s="60"/>
      <c r="F1539" s="60"/>
      <c r="G1539" s="60"/>
      <c r="H1539" s="60"/>
      <c r="I1539" s="60"/>
      <c r="J1539" s="114"/>
      <c r="K1539" s="60"/>
      <c r="L1539" s="109"/>
      <c r="M1539" s="109"/>
      <c r="N1539" s="109"/>
      <c r="O1539" s="109"/>
      <c r="P1539" s="109"/>
      <c r="Q1539" s="109"/>
      <c r="S1539" s="111"/>
      <c r="T1539" s="60"/>
      <c r="U1539" s="112"/>
    </row>
    <row r="1540" spans="4:21" s="110" customFormat="1" ht="15.75" customHeight="1">
      <c r="D1540" s="113"/>
      <c r="E1540" s="60"/>
      <c r="F1540" s="60"/>
      <c r="G1540" s="60"/>
      <c r="H1540" s="60"/>
      <c r="I1540" s="60"/>
      <c r="J1540" s="114"/>
      <c r="K1540" s="60"/>
      <c r="L1540" s="109"/>
      <c r="M1540" s="109"/>
      <c r="N1540" s="109"/>
      <c r="O1540" s="109"/>
      <c r="P1540" s="109"/>
      <c r="Q1540" s="109"/>
      <c r="S1540" s="111"/>
      <c r="T1540" s="60"/>
      <c r="U1540" s="112"/>
    </row>
    <row r="1541" spans="4:21" s="110" customFormat="1" ht="15.75" customHeight="1">
      <c r="D1541" s="113"/>
      <c r="E1541" s="60"/>
      <c r="F1541" s="60"/>
      <c r="G1541" s="60"/>
      <c r="H1541" s="60"/>
      <c r="I1541" s="60"/>
      <c r="J1541" s="114"/>
      <c r="K1541" s="60"/>
      <c r="L1541" s="109"/>
      <c r="M1541" s="109"/>
      <c r="N1541" s="109"/>
      <c r="O1541" s="109"/>
      <c r="P1541" s="109"/>
      <c r="Q1541" s="109"/>
      <c r="S1541" s="111"/>
      <c r="T1541" s="60"/>
      <c r="U1541" s="112"/>
    </row>
    <row r="1542" spans="4:21" s="110" customFormat="1" ht="15.75" customHeight="1">
      <c r="D1542" s="113"/>
      <c r="E1542" s="60"/>
      <c r="F1542" s="60"/>
      <c r="G1542" s="60"/>
      <c r="H1542" s="60"/>
      <c r="I1542" s="60"/>
      <c r="J1542" s="114"/>
      <c r="K1542" s="60"/>
      <c r="L1542" s="109"/>
      <c r="M1542" s="109"/>
      <c r="N1542" s="109"/>
      <c r="O1542" s="109"/>
      <c r="P1542" s="109"/>
      <c r="Q1542" s="109"/>
      <c r="S1542" s="111"/>
      <c r="T1542" s="60"/>
      <c r="U1542" s="112"/>
    </row>
    <row r="1543" spans="4:21" s="110" customFormat="1" ht="15.75" customHeight="1">
      <c r="D1543" s="113"/>
      <c r="E1543" s="60"/>
      <c r="F1543" s="60"/>
      <c r="G1543" s="60"/>
      <c r="H1543" s="60"/>
      <c r="I1543" s="60"/>
      <c r="J1543" s="114"/>
      <c r="K1543" s="60"/>
      <c r="L1543" s="109"/>
      <c r="M1543" s="109"/>
      <c r="N1543" s="109"/>
      <c r="O1543" s="109"/>
      <c r="P1543" s="109"/>
      <c r="Q1543" s="109"/>
      <c r="S1543" s="111"/>
      <c r="T1543" s="60"/>
      <c r="U1543" s="112"/>
    </row>
    <row r="1544" spans="4:21" s="110" customFormat="1" ht="15.75" customHeight="1">
      <c r="D1544" s="113"/>
      <c r="E1544" s="60"/>
      <c r="F1544" s="60"/>
      <c r="G1544" s="60"/>
      <c r="H1544" s="60"/>
      <c r="I1544" s="60"/>
      <c r="J1544" s="114"/>
      <c r="K1544" s="60"/>
      <c r="L1544" s="109"/>
      <c r="M1544" s="109"/>
      <c r="N1544" s="109"/>
      <c r="O1544" s="109"/>
      <c r="P1544" s="109"/>
      <c r="Q1544" s="109"/>
      <c r="S1544" s="111"/>
      <c r="T1544" s="60"/>
      <c r="U1544" s="112"/>
    </row>
    <row r="1545" spans="4:21" s="110" customFormat="1" ht="15.75" customHeight="1">
      <c r="D1545" s="113"/>
      <c r="E1545" s="60"/>
      <c r="F1545" s="60"/>
      <c r="G1545" s="60"/>
      <c r="H1545" s="60"/>
      <c r="I1545" s="60"/>
      <c r="J1545" s="114"/>
      <c r="K1545" s="60"/>
      <c r="L1545" s="109"/>
      <c r="M1545" s="109"/>
      <c r="N1545" s="109"/>
      <c r="O1545" s="109"/>
      <c r="P1545" s="109"/>
      <c r="Q1545" s="109"/>
      <c r="S1545" s="111"/>
      <c r="T1545" s="60"/>
      <c r="U1545" s="112"/>
    </row>
    <row r="1546" spans="4:21" s="110" customFormat="1" ht="15.75" customHeight="1">
      <c r="D1546" s="113"/>
      <c r="E1546" s="60"/>
      <c r="F1546" s="60"/>
      <c r="G1546" s="60"/>
      <c r="H1546" s="60"/>
      <c r="I1546" s="60"/>
      <c r="J1546" s="114"/>
      <c r="K1546" s="60"/>
      <c r="L1546" s="109"/>
      <c r="M1546" s="109"/>
      <c r="N1546" s="109"/>
      <c r="O1546" s="109"/>
      <c r="P1546" s="109"/>
      <c r="Q1546" s="109"/>
      <c r="S1546" s="111"/>
      <c r="T1546" s="60"/>
      <c r="U1546" s="112"/>
    </row>
    <row r="1547" spans="4:21" s="110" customFormat="1" ht="15.75" customHeight="1">
      <c r="D1547" s="113"/>
      <c r="E1547" s="60"/>
      <c r="F1547" s="60"/>
      <c r="G1547" s="60"/>
      <c r="H1547" s="60"/>
      <c r="I1547" s="60"/>
      <c r="J1547" s="114"/>
      <c r="K1547" s="60"/>
      <c r="L1547" s="109"/>
      <c r="M1547" s="109"/>
      <c r="N1547" s="109"/>
      <c r="O1547" s="109"/>
      <c r="P1547" s="109"/>
      <c r="Q1547" s="109"/>
      <c r="S1547" s="111"/>
      <c r="T1547" s="60"/>
      <c r="U1547" s="112"/>
    </row>
    <row r="1548" spans="4:21" s="110" customFormat="1" ht="15.75" customHeight="1">
      <c r="D1548" s="113"/>
      <c r="E1548" s="60"/>
      <c r="F1548" s="60"/>
      <c r="G1548" s="60"/>
      <c r="H1548" s="60"/>
      <c r="I1548" s="60"/>
      <c r="J1548" s="114"/>
      <c r="K1548" s="60"/>
      <c r="L1548" s="109"/>
      <c r="M1548" s="109"/>
      <c r="N1548" s="109"/>
      <c r="O1548" s="109"/>
      <c r="P1548" s="109"/>
      <c r="Q1548" s="109"/>
      <c r="S1548" s="111"/>
      <c r="T1548" s="60"/>
      <c r="U1548" s="112"/>
    </row>
    <row r="1549" spans="4:21" s="110" customFormat="1" ht="15.75" customHeight="1">
      <c r="D1549" s="113"/>
      <c r="E1549" s="60"/>
      <c r="F1549" s="60"/>
      <c r="G1549" s="60"/>
      <c r="H1549" s="60"/>
      <c r="I1549" s="60"/>
      <c r="J1549" s="114"/>
      <c r="K1549" s="60"/>
      <c r="L1549" s="109"/>
      <c r="M1549" s="109"/>
      <c r="N1549" s="109"/>
      <c r="O1549" s="109"/>
      <c r="P1549" s="109"/>
      <c r="Q1549" s="109"/>
      <c r="S1549" s="111"/>
      <c r="T1549" s="60"/>
      <c r="U1549" s="112"/>
    </row>
    <row r="1550" spans="4:21" s="110" customFormat="1" ht="15.75" customHeight="1">
      <c r="D1550" s="113"/>
      <c r="E1550" s="60"/>
      <c r="F1550" s="60"/>
      <c r="G1550" s="60"/>
      <c r="H1550" s="60"/>
      <c r="I1550" s="60"/>
      <c r="J1550" s="114"/>
      <c r="K1550" s="60"/>
      <c r="L1550" s="109"/>
      <c r="M1550" s="109"/>
      <c r="N1550" s="109"/>
      <c r="O1550" s="109"/>
      <c r="P1550" s="109"/>
      <c r="Q1550" s="109"/>
      <c r="S1550" s="111"/>
      <c r="T1550" s="60"/>
      <c r="U1550" s="112"/>
    </row>
    <row r="1551" spans="4:21" s="110" customFormat="1" ht="15.75" customHeight="1">
      <c r="D1551" s="113"/>
      <c r="E1551" s="60"/>
      <c r="F1551" s="60"/>
      <c r="G1551" s="60"/>
      <c r="H1551" s="60"/>
      <c r="I1551" s="60"/>
      <c r="J1551" s="114"/>
      <c r="K1551" s="60"/>
      <c r="L1551" s="109"/>
      <c r="M1551" s="109"/>
      <c r="N1551" s="109"/>
      <c r="O1551" s="109"/>
      <c r="P1551" s="109"/>
      <c r="Q1551" s="109"/>
      <c r="S1551" s="111"/>
      <c r="T1551" s="60"/>
      <c r="U1551" s="112"/>
    </row>
    <row r="1552" spans="4:21" s="110" customFormat="1" ht="15.75" customHeight="1">
      <c r="D1552" s="113"/>
      <c r="E1552" s="60"/>
      <c r="F1552" s="60"/>
      <c r="G1552" s="60"/>
      <c r="H1552" s="60"/>
      <c r="I1552" s="60"/>
      <c r="J1552" s="114"/>
      <c r="K1552" s="60"/>
      <c r="L1552" s="109"/>
      <c r="M1552" s="109"/>
      <c r="N1552" s="109"/>
      <c r="O1552" s="109"/>
      <c r="P1552" s="109"/>
      <c r="Q1552" s="109"/>
      <c r="S1552" s="111"/>
      <c r="T1552" s="60"/>
      <c r="U1552" s="112"/>
    </row>
    <row r="1553" spans="4:21" s="110" customFormat="1" ht="15.75" customHeight="1">
      <c r="D1553" s="113"/>
      <c r="E1553" s="60"/>
      <c r="F1553" s="60"/>
      <c r="G1553" s="60"/>
      <c r="H1553" s="60"/>
      <c r="I1553" s="60"/>
      <c r="J1553" s="114"/>
      <c r="K1553" s="60"/>
      <c r="L1553" s="109"/>
      <c r="M1553" s="109"/>
      <c r="N1553" s="109"/>
      <c r="O1553" s="109"/>
      <c r="P1553" s="109"/>
      <c r="Q1553" s="109"/>
      <c r="S1553" s="111"/>
      <c r="T1553" s="60"/>
      <c r="U1553" s="112"/>
    </row>
    <row r="1554" spans="4:21" s="110" customFormat="1" ht="15.75" customHeight="1">
      <c r="D1554" s="113"/>
      <c r="E1554" s="60"/>
      <c r="F1554" s="60"/>
      <c r="G1554" s="60"/>
      <c r="H1554" s="60"/>
      <c r="I1554" s="60"/>
      <c r="J1554" s="114"/>
      <c r="K1554" s="60"/>
      <c r="L1554" s="109"/>
      <c r="M1554" s="109"/>
      <c r="N1554" s="109"/>
      <c r="O1554" s="109"/>
      <c r="P1554" s="109"/>
      <c r="Q1554" s="109"/>
      <c r="S1554" s="111"/>
      <c r="T1554" s="60"/>
      <c r="U1554" s="112"/>
    </row>
    <row r="1555" spans="4:21" s="110" customFormat="1" ht="15.75" customHeight="1">
      <c r="D1555" s="113"/>
      <c r="E1555" s="60"/>
      <c r="F1555" s="60"/>
      <c r="G1555" s="60"/>
      <c r="H1555" s="60"/>
      <c r="I1555" s="60"/>
      <c r="J1555" s="114"/>
      <c r="K1555" s="60"/>
      <c r="L1555" s="109"/>
      <c r="M1555" s="109"/>
      <c r="N1555" s="109"/>
      <c r="O1555" s="109"/>
      <c r="P1555" s="109"/>
      <c r="Q1555" s="109"/>
      <c r="S1555" s="111"/>
      <c r="T1555" s="60"/>
      <c r="U1555" s="112"/>
    </row>
    <row r="1556" spans="4:21" s="110" customFormat="1" ht="15.75" customHeight="1">
      <c r="D1556" s="113"/>
      <c r="E1556" s="60"/>
      <c r="F1556" s="60"/>
      <c r="G1556" s="60"/>
      <c r="H1556" s="60"/>
      <c r="I1556" s="60"/>
      <c r="J1556" s="114"/>
      <c r="K1556" s="60"/>
      <c r="L1556" s="109"/>
      <c r="M1556" s="109"/>
      <c r="N1556" s="109"/>
      <c r="O1556" s="109"/>
      <c r="P1556" s="109"/>
      <c r="Q1556" s="109"/>
      <c r="S1556" s="111"/>
      <c r="T1556" s="60"/>
      <c r="U1556" s="112"/>
    </row>
    <row r="1557" spans="4:21" s="110" customFormat="1" ht="15.75" customHeight="1">
      <c r="D1557" s="113"/>
      <c r="E1557" s="60"/>
      <c r="F1557" s="60"/>
      <c r="G1557" s="60"/>
      <c r="H1557" s="60"/>
      <c r="I1557" s="60"/>
      <c r="J1557" s="114"/>
      <c r="K1557" s="60"/>
      <c r="L1557" s="109"/>
      <c r="M1557" s="109"/>
      <c r="N1557" s="109"/>
      <c r="O1557" s="109"/>
      <c r="P1557" s="109"/>
      <c r="Q1557" s="109"/>
      <c r="S1557" s="111"/>
      <c r="T1557" s="60"/>
      <c r="U1557" s="112"/>
    </row>
    <row r="1558" spans="4:21" s="110" customFormat="1" ht="15.75" customHeight="1">
      <c r="D1558" s="113"/>
      <c r="E1558" s="60"/>
      <c r="F1558" s="60"/>
      <c r="G1558" s="60"/>
      <c r="H1558" s="60"/>
      <c r="I1558" s="60"/>
      <c r="J1558" s="114"/>
      <c r="K1558" s="60"/>
      <c r="L1558" s="109"/>
      <c r="M1558" s="109"/>
      <c r="N1558" s="109"/>
      <c r="O1558" s="109"/>
      <c r="P1558" s="109"/>
      <c r="Q1558" s="109"/>
      <c r="S1558" s="111"/>
      <c r="T1558" s="60"/>
      <c r="U1558" s="112"/>
    </row>
    <row r="1559" spans="4:21" s="110" customFormat="1" ht="15.75" customHeight="1">
      <c r="D1559" s="113"/>
      <c r="E1559" s="60"/>
      <c r="F1559" s="60"/>
      <c r="G1559" s="60"/>
      <c r="H1559" s="60"/>
      <c r="I1559" s="60"/>
      <c r="J1559" s="114"/>
      <c r="K1559" s="60"/>
      <c r="L1559" s="109"/>
      <c r="M1559" s="109"/>
      <c r="N1559" s="109"/>
      <c r="O1559" s="109"/>
      <c r="P1559" s="109"/>
      <c r="Q1559" s="109"/>
      <c r="S1559" s="111"/>
      <c r="T1559" s="60"/>
      <c r="U1559" s="112"/>
    </row>
    <row r="1560" spans="4:21" s="110" customFormat="1" ht="15.75" customHeight="1">
      <c r="D1560" s="113"/>
      <c r="E1560" s="60"/>
      <c r="F1560" s="60"/>
      <c r="G1560" s="60"/>
      <c r="H1560" s="60"/>
      <c r="I1560" s="60"/>
      <c r="J1560" s="114"/>
      <c r="K1560" s="60"/>
      <c r="L1560" s="109"/>
      <c r="M1560" s="109"/>
      <c r="N1560" s="109"/>
      <c r="O1560" s="109"/>
      <c r="P1560" s="109"/>
      <c r="Q1560" s="109"/>
      <c r="S1560" s="111"/>
      <c r="T1560" s="60"/>
      <c r="U1560" s="112"/>
    </row>
    <row r="1561" spans="4:21" s="110" customFormat="1" ht="15.75" customHeight="1">
      <c r="D1561" s="113"/>
      <c r="E1561" s="60"/>
      <c r="F1561" s="60"/>
      <c r="G1561" s="60"/>
      <c r="H1561" s="60"/>
      <c r="I1561" s="60"/>
      <c r="J1561" s="114"/>
      <c r="K1561" s="60"/>
      <c r="L1561" s="109"/>
      <c r="M1561" s="109"/>
      <c r="N1561" s="109"/>
      <c r="O1561" s="109"/>
      <c r="P1561" s="109"/>
      <c r="Q1561" s="109"/>
      <c r="S1561" s="111"/>
      <c r="T1561" s="60"/>
      <c r="U1561" s="112"/>
    </row>
    <row r="1562" spans="4:21" s="110" customFormat="1" ht="15.75" customHeight="1">
      <c r="D1562" s="113"/>
      <c r="E1562" s="60"/>
      <c r="F1562" s="60"/>
      <c r="G1562" s="60"/>
      <c r="H1562" s="60"/>
      <c r="I1562" s="60"/>
      <c r="J1562" s="114"/>
      <c r="K1562" s="60"/>
      <c r="L1562" s="109"/>
      <c r="M1562" s="109"/>
      <c r="N1562" s="109"/>
      <c r="O1562" s="109"/>
      <c r="P1562" s="109"/>
      <c r="Q1562" s="109"/>
      <c r="S1562" s="111"/>
      <c r="T1562" s="60"/>
      <c r="U1562" s="112"/>
    </row>
    <row r="1563" spans="4:21" s="110" customFormat="1" ht="15.75" customHeight="1">
      <c r="D1563" s="113"/>
      <c r="E1563" s="60"/>
      <c r="F1563" s="60"/>
      <c r="G1563" s="60"/>
      <c r="H1563" s="60"/>
      <c r="I1563" s="60"/>
      <c r="J1563" s="114"/>
      <c r="K1563" s="60"/>
      <c r="L1563" s="109"/>
      <c r="M1563" s="109"/>
      <c r="N1563" s="109"/>
      <c r="O1563" s="109"/>
      <c r="P1563" s="109"/>
      <c r="Q1563" s="109"/>
      <c r="S1563" s="111"/>
      <c r="T1563" s="60"/>
      <c r="U1563" s="112"/>
    </row>
    <row r="1564" spans="4:21" s="110" customFormat="1" ht="15.75" customHeight="1">
      <c r="D1564" s="113"/>
      <c r="E1564" s="60"/>
      <c r="F1564" s="60"/>
      <c r="G1564" s="60"/>
      <c r="H1564" s="60"/>
      <c r="I1564" s="60"/>
      <c r="J1564" s="114"/>
      <c r="K1564" s="60"/>
      <c r="L1564" s="109"/>
      <c r="M1564" s="109"/>
      <c r="N1564" s="109"/>
      <c r="O1564" s="109"/>
      <c r="P1564" s="109"/>
      <c r="Q1564" s="109"/>
      <c r="S1564" s="111"/>
      <c r="T1564" s="60"/>
      <c r="U1564" s="112"/>
    </row>
    <row r="1565" spans="4:21" s="110" customFormat="1" ht="15.75" customHeight="1">
      <c r="D1565" s="113"/>
      <c r="E1565" s="60"/>
      <c r="F1565" s="60"/>
      <c r="G1565" s="60"/>
      <c r="H1565" s="60"/>
      <c r="I1565" s="60"/>
      <c r="J1565" s="114"/>
      <c r="K1565" s="60"/>
      <c r="L1565" s="109"/>
      <c r="M1565" s="109"/>
      <c r="N1565" s="109"/>
      <c r="O1565" s="109"/>
      <c r="P1565" s="109"/>
      <c r="Q1565" s="109"/>
      <c r="S1565" s="111"/>
      <c r="T1565" s="60"/>
      <c r="U1565" s="112"/>
    </row>
    <row r="1566" spans="4:21" s="110" customFormat="1" ht="15.75" customHeight="1">
      <c r="D1566" s="113"/>
      <c r="E1566" s="60"/>
      <c r="F1566" s="60"/>
      <c r="G1566" s="60"/>
      <c r="H1566" s="60"/>
      <c r="I1566" s="60"/>
      <c r="J1566" s="114"/>
      <c r="K1566" s="60"/>
      <c r="L1566" s="109"/>
      <c r="M1566" s="109"/>
      <c r="N1566" s="109"/>
      <c r="O1566" s="109"/>
      <c r="P1566" s="109"/>
      <c r="Q1566" s="109"/>
      <c r="S1566" s="111"/>
      <c r="T1566" s="60"/>
      <c r="U1566" s="112"/>
    </row>
    <row r="1567" spans="4:21" s="110" customFormat="1" ht="15.75" customHeight="1">
      <c r="D1567" s="113"/>
      <c r="E1567" s="60"/>
      <c r="F1567" s="60"/>
      <c r="G1567" s="60"/>
      <c r="H1567" s="60"/>
      <c r="I1567" s="60"/>
      <c r="J1567" s="114"/>
      <c r="K1567" s="60"/>
      <c r="L1567" s="109"/>
      <c r="M1567" s="109"/>
      <c r="N1567" s="109"/>
      <c r="O1567" s="109"/>
      <c r="P1567" s="109"/>
      <c r="Q1567" s="109"/>
      <c r="S1567" s="111"/>
      <c r="T1567" s="60"/>
      <c r="U1567" s="112"/>
    </row>
    <row r="1568" spans="4:21" s="110" customFormat="1" ht="15.75" customHeight="1">
      <c r="D1568" s="113"/>
      <c r="E1568" s="60"/>
      <c r="F1568" s="60"/>
      <c r="G1568" s="60"/>
      <c r="H1568" s="60"/>
      <c r="I1568" s="60"/>
      <c r="J1568" s="114"/>
      <c r="K1568" s="60"/>
      <c r="L1568" s="109"/>
      <c r="M1568" s="109"/>
      <c r="N1568" s="109"/>
      <c r="O1568" s="109"/>
      <c r="P1568" s="109"/>
      <c r="Q1568" s="109"/>
      <c r="S1568" s="111"/>
      <c r="T1568" s="60"/>
      <c r="U1568" s="112"/>
    </row>
    <row r="1569" spans="4:21" s="110" customFormat="1" ht="15.75" customHeight="1">
      <c r="D1569" s="113"/>
      <c r="E1569" s="60"/>
      <c r="F1569" s="60"/>
      <c r="G1569" s="60"/>
      <c r="H1569" s="60"/>
      <c r="I1569" s="60"/>
      <c r="J1569" s="114"/>
      <c r="K1569" s="60"/>
      <c r="L1569" s="109"/>
      <c r="M1569" s="109"/>
      <c r="N1569" s="109"/>
      <c r="O1569" s="109"/>
      <c r="P1569" s="109"/>
      <c r="Q1569" s="109"/>
      <c r="S1569" s="111"/>
      <c r="T1569" s="60"/>
      <c r="U1569" s="112"/>
    </row>
    <row r="1570" spans="4:21" s="110" customFormat="1" ht="15.75" customHeight="1">
      <c r="D1570" s="113"/>
      <c r="E1570" s="60"/>
      <c r="F1570" s="60"/>
      <c r="G1570" s="60"/>
      <c r="H1570" s="60"/>
      <c r="I1570" s="60"/>
      <c r="J1570" s="114"/>
      <c r="K1570" s="60"/>
      <c r="L1570" s="109"/>
      <c r="M1570" s="109"/>
      <c r="N1570" s="109"/>
      <c r="O1570" s="109"/>
      <c r="P1570" s="109"/>
      <c r="Q1570" s="109"/>
      <c r="S1570" s="111"/>
      <c r="T1570" s="60"/>
      <c r="U1570" s="112"/>
    </row>
    <row r="1571" spans="4:21" s="110" customFormat="1" ht="15.75" customHeight="1">
      <c r="D1571" s="113"/>
      <c r="E1571" s="60"/>
      <c r="F1571" s="60"/>
      <c r="G1571" s="60"/>
      <c r="H1571" s="60"/>
      <c r="I1571" s="60"/>
      <c r="J1571" s="114"/>
      <c r="K1571" s="60"/>
      <c r="L1571" s="109"/>
      <c r="M1571" s="109"/>
      <c r="N1571" s="109"/>
      <c r="O1571" s="109"/>
      <c r="P1571" s="109"/>
      <c r="Q1571" s="109"/>
      <c r="S1571" s="111"/>
      <c r="T1571" s="60"/>
      <c r="U1571" s="112"/>
    </row>
    <row r="1572" spans="4:21" s="110" customFormat="1" ht="15.75" customHeight="1">
      <c r="D1572" s="113"/>
      <c r="E1572" s="60"/>
      <c r="F1572" s="60"/>
      <c r="G1572" s="60"/>
      <c r="H1572" s="60"/>
      <c r="I1572" s="60"/>
      <c r="J1572" s="114"/>
      <c r="K1572" s="60"/>
      <c r="L1572" s="109"/>
      <c r="M1572" s="109"/>
      <c r="N1572" s="109"/>
      <c r="O1572" s="109"/>
      <c r="P1572" s="109"/>
      <c r="Q1572" s="109"/>
      <c r="S1572" s="111"/>
      <c r="T1572" s="60"/>
      <c r="U1572" s="112"/>
    </row>
    <row r="1573" spans="4:21" s="110" customFormat="1" ht="15.75" customHeight="1">
      <c r="D1573" s="113"/>
      <c r="E1573" s="60"/>
      <c r="F1573" s="60"/>
      <c r="G1573" s="60"/>
      <c r="H1573" s="60"/>
      <c r="I1573" s="60"/>
      <c r="J1573" s="114"/>
      <c r="K1573" s="60"/>
      <c r="L1573" s="109"/>
      <c r="M1573" s="109"/>
      <c r="N1573" s="109"/>
      <c r="O1573" s="109"/>
      <c r="P1573" s="109"/>
      <c r="Q1573" s="109"/>
      <c r="S1573" s="111"/>
      <c r="T1573" s="60"/>
      <c r="U1573" s="112"/>
    </row>
    <row r="1574" spans="4:21" s="110" customFormat="1" ht="15.75" customHeight="1">
      <c r="D1574" s="113"/>
      <c r="E1574" s="60"/>
      <c r="F1574" s="60"/>
      <c r="G1574" s="60"/>
      <c r="H1574" s="60"/>
      <c r="I1574" s="60"/>
      <c r="J1574" s="114"/>
      <c r="K1574" s="60"/>
      <c r="L1574" s="109"/>
      <c r="M1574" s="109"/>
      <c r="N1574" s="109"/>
      <c r="O1574" s="109"/>
      <c r="P1574" s="109"/>
      <c r="Q1574" s="109"/>
      <c r="S1574" s="111"/>
      <c r="T1574" s="60"/>
      <c r="U1574" s="112"/>
    </row>
    <row r="1575" spans="4:21" s="110" customFormat="1" ht="15.75" customHeight="1">
      <c r="D1575" s="113"/>
      <c r="E1575" s="60"/>
      <c r="F1575" s="60"/>
      <c r="G1575" s="60"/>
      <c r="H1575" s="60"/>
      <c r="I1575" s="60"/>
      <c r="J1575" s="114"/>
      <c r="K1575" s="60"/>
      <c r="L1575" s="109"/>
      <c r="M1575" s="109"/>
      <c r="N1575" s="109"/>
      <c r="O1575" s="109"/>
      <c r="P1575" s="109"/>
      <c r="Q1575" s="109"/>
      <c r="S1575" s="111"/>
      <c r="T1575" s="60"/>
      <c r="U1575" s="112"/>
    </row>
    <row r="1576" spans="4:21" s="110" customFormat="1" ht="15.75" customHeight="1">
      <c r="D1576" s="113"/>
      <c r="E1576" s="60"/>
      <c r="F1576" s="60"/>
      <c r="G1576" s="60"/>
      <c r="H1576" s="60"/>
      <c r="I1576" s="60"/>
      <c r="J1576" s="114"/>
      <c r="K1576" s="60"/>
      <c r="L1576" s="109"/>
      <c r="M1576" s="109"/>
      <c r="N1576" s="109"/>
      <c r="O1576" s="109"/>
      <c r="P1576" s="109"/>
      <c r="Q1576" s="109"/>
      <c r="S1576" s="111"/>
      <c r="T1576" s="60"/>
      <c r="U1576" s="112"/>
    </row>
    <row r="1577" spans="4:21" s="110" customFormat="1" ht="15.75" customHeight="1">
      <c r="D1577" s="113"/>
      <c r="E1577" s="60"/>
      <c r="F1577" s="60"/>
      <c r="G1577" s="60"/>
      <c r="H1577" s="60"/>
      <c r="I1577" s="60"/>
      <c r="J1577" s="114"/>
      <c r="K1577" s="60"/>
      <c r="L1577" s="109"/>
      <c r="M1577" s="109"/>
      <c r="N1577" s="109"/>
      <c r="O1577" s="109"/>
      <c r="P1577" s="109"/>
      <c r="Q1577" s="109"/>
      <c r="S1577" s="111"/>
      <c r="T1577" s="60"/>
      <c r="U1577" s="112"/>
    </row>
    <row r="1578" spans="4:21" s="110" customFormat="1" ht="15.75" customHeight="1">
      <c r="D1578" s="113"/>
      <c r="E1578" s="60"/>
      <c r="F1578" s="60"/>
      <c r="G1578" s="60"/>
      <c r="H1578" s="60"/>
      <c r="I1578" s="60"/>
      <c r="J1578" s="114"/>
      <c r="K1578" s="60"/>
      <c r="L1578" s="109"/>
      <c r="M1578" s="109"/>
      <c r="N1578" s="109"/>
      <c r="O1578" s="109"/>
      <c r="P1578" s="109"/>
      <c r="Q1578" s="109"/>
      <c r="S1578" s="111"/>
      <c r="T1578" s="60"/>
      <c r="U1578" s="112"/>
    </row>
    <row r="1579" spans="4:21" s="110" customFormat="1" ht="15.75" customHeight="1">
      <c r="D1579" s="113"/>
      <c r="E1579" s="60"/>
      <c r="F1579" s="60"/>
      <c r="G1579" s="60"/>
      <c r="H1579" s="60"/>
      <c r="I1579" s="60"/>
      <c r="J1579" s="114"/>
      <c r="K1579" s="60"/>
      <c r="L1579" s="109"/>
      <c r="M1579" s="109"/>
      <c r="N1579" s="109"/>
      <c r="O1579" s="109"/>
      <c r="P1579" s="109"/>
      <c r="Q1579" s="109"/>
      <c r="S1579" s="111"/>
      <c r="T1579" s="60"/>
      <c r="U1579" s="112"/>
    </row>
    <row r="1580" spans="4:21" s="110" customFormat="1" ht="15.75" customHeight="1">
      <c r="D1580" s="113"/>
      <c r="E1580" s="60"/>
      <c r="F1580" s="60"/>
      <c r="G1580" s="60"/>
      <c r="H1580" s="60"/>
      <c r="I1580" s="60"/>
      <c r="J1580" s="114"/>
      <c r="K1580" s="60"/>
      <c r="L1580" s="109"/>
      <c r="M1580" s="109"/>
      <c r="N1580" s="109"/>
      <c r="O1580" s="109"/>
      <c r="P1580" s="109"/>
      <c r="Q1580" s="109"/>
      <c r="S1580" s="111"/>
      <c r="T1580" s="60"/>
      <c r="U1580" s="112"/>
    </row>
    <row r="1581" spans="4:21" s="110" customFormat="1" ht="15.75" customHeight="1">
      <c r="D1581" s="113"/>
      <c r="E1581" s="60"/>
      <c r="F1581" s="60"/>
      <c r="G1581" s="60"/>
      <c r="H1581" s="60"/>
      <c r="I1581" s="60"/>
      <c r="J1581" s="114"/>
      <c r="K1581" s="60"/>
      <c r="L1581" s="109"/>
      <c r="M1581" s="109"/>
      <c r="N1581" s="109"/>
      <c r="O1581" s="109"/>
      <c r="P1581" s="109"/>
      <c r="Q1581" s="109"/>
      <c r="S1581" s="111"/>
      <c r="T1581" s="60"/>
      <c r="U1581" s="112"/>
    </row>
    <row r="1582" spans="4:21" s="110" customFormat="1" ht="15.75" customHeight="1">
      <c r="D1582" s="113"/>
      <c r="E1582" s="60"/>
      <c r="F1582" s="60"/>
      <c r="G1582" s="60"/>
      <c r="H1582" s="60"/>
      <c r="I1582" s="60"/>
      <c r="J1582" s="114"/>
      <c r="K1582" s="60"/>
      <c r="L1582" s="109"/>
      <c r="M1582" s="109"/>
      <c r="N1582" s="109"/>
      <c r="O1582" s="109"/>
      <c r="P1582" s="109"/>
      <c r="Q1582" s="109"/>
      <c r="S1582" s="111"/>
      <c r="T1582" s="60"/>
      <c r="U1582" s="112"/>
    </row>
    <row r="1583" spans="4:21" s="110" customFormat="1" ht="15.75" customHeight="1">
      <c r="D1583" s="113"/>
      <c r="E1583" s="60"/>
      <c r="F1583" s="60"/>
      <c r="G1583" s="60"/>
      <c r="H1583" s="60"/>
      <c r="I1583" s="60"/>
      <c r="J1583" s="114"/>
      <c r="K1583" s="60"/>
      <c r="L1583" s="109"/>
      <c r="M1583" s="109"/>
      <c r="N1583" s="109"/>
      <c r="O1583" s="109"/>
      <c r="P1583" s="109"/>
      <c r="Q1583" s="109"/>
      <c r="S1583" s="111"/>
      <c r="T1583" s="60"/>
      <c r="U1583" s="112"/>
    </row>
    <row r="1584" spans="4:21" s="110" customFormat="1" ht="15.75" customHeight="1">
      <c r="D1584" s="113"/>
      <c r="E1584" s="60"/>
      <c r="F1584" s="60"/>
      <c r="G1584" s="60"/>
      <c r="H1584" s="60"/>
      <c r="I1584" s="60"/>
      <c r="J1584" s="114"/>
      <c r="K1584" s="60"/>
      <c r="L1584" s="109"/>
      <c r="M1584" s="109"/>
      <c r="N1584" s="109"/>
      <c r="O1584" s="109"/>
      <c r="P1584" s="109"/>
      <c r="Q1584" s="109"/>
      <c r="S1584" s="111"/>
      <c r="T1584" s="60"/>
      <c r="U1584" s="112"/>
    </row>
    <row r="1585" spans="4:21" s="110" customFormat="1" ht="15.75" customHeight="1">
      <c r="D1585" s="113"/>
      <c r="E1585" s="60"/>
      <c r="F1585" s="60"/>
      <c r="G1585" s="60"/>
      <c r="H1585" s="60"/>
      <c r="I1585" s="60"/>
      <c r="J1585" s="114"/>
      <c r="K1585" s="60"/>
      <c r="L1585" s="109"/>
      <c r="M1585" s="109"/>
      <c r="N1585" s="109"/>
      <c r="O1585" s="109"/>
      <c r="P1585" s="109"/>
      <c r="Q1585" s="109"/>
      <c r="S1585" s="111"/>
      <c r="T1585" s="60"/>
      <c r="U1585" s="112"/>
    </row>
    <row r="1586" spans="4:21" s="110" customFormat="1" ht="15.75" customHeight="1">
      <c r="D1586" s="113"/>
      <c r="E1586" s="60"/>
      <c r="F1586" s="60"/>
      <c r="G1586" s="60"/>
      <c r="H1586" s="60"/>
      <c r="I1586" s="60"/>
      <c r="J1586" s="114"/>
      <c r="K1586" s="60"/>
      <c r="L1586" s="109"/>
      <c r="M1586" s="109"/>
      <c r="N1586" s="109"/>
      <c r="O1586" s="109"/>
      <c r="P1586" s="109"/>
      <c r="Q1586" s="109"/>
      <c r="S1586" s="111"/>
      <c r="T1586" s="60"/>
      <c r="U1586" s="112"/>
    </row>
    <row r="1587" spans="4:21" s="110" customFormat="1" ht="15.75" customHeight="1">
      <c r="D1587" s="113"/>
      <c r="E1587" s="60"/>
      <c r="F1587" s="60"/>
      <c r="G1587" s="60"/>
      <c r="H1587" s="60"/>
      <c r="I1587" s="60"/>
      <c r="J1587" s="114"/>
      <c r="K1587" s="60"/>
      <c r="L1587" s="109"/>
      <c r="M1587" s="109"/>
      <c r="N1587" s="109"/>
      <c r="O1587" s="109"/>
      <c r="P1587" s="109"/>
      <c r="Q1587" s="109"/>
      <c r="S1587" s="111"/>
      <c r="T1587" s="60"/>
      <c r="U1587" s="112"/>
    </row>
    <row r="1588" spans="4:21" s="110" customFormat="1" ht="15.75" customHeight="1">
      <c r="D1588" s="113"/>
      <c r="E1588" s="60"/>
      <c r="F1588" s="60"/>
      <c r="G1588" s="60"/>
      <c r="H1588" s="60"/>
      <c r="I1588" s="60"/>
      <c r="J1588" s="114"/>
      <c r="K1588" s="60"/>
      <c r="L1588" s="109"/>
      <c r="M1588" s="109"/>
      <c r="N1588" s="109"/>
      <c r="O1588" s="109"/>
      <c r="P1588" s="109"/>
      <c r="Q1588" s="109"/>
      <c r="S1588" s="111"/>
      <c r="T1588" s="60"/>
      <c r="U1588" s="112"/>
    </row>
    <row r="1589" spans="4:21" s="110" customFormat="1" ht="15.75" customHeight="1">
      <c r="D1589" s="113"/>
      <c r="E1589" s="60"/>
      <c r="F1589" s="60"/>
      <c r="G1589" s="60"/>
      <c r="H1589" s="60"/>
      <c r="I1589" s="60"/>
      <c r="J1589" s="114"/>
      <c r="K1589" s="60"/>
      <c r="L1589" s="109"/>
      <c r="M1589" s="109"/>
      <c r="N1589" s="109"/>
      <c r="O1589" s="109"/>
      <c r="P1589" s="109"/>
      <c r="Q1589" s="109"/>
      <c r="S1589" s="111"/>
      <c r="T1589" s="60"/>
      <c r="U1589" s="112"/>
    </row>
    <row r="1590" spans="4:21" s="110" customFormat="1" ht="15.75" customHeight="1">
      <c r="D1590" s="113"/>
      <c r="E1590" s="60"/>
      <c r="F1590" s="60"/>
      <c r="G1590" s="60"/>
      <c r="H1590" s="60"/>
      <c r="I1590" s="60"/>
      <c r="J1590" s="114"/>
      <c r="K1590" s="60"/>
      <c r="L1590" s="109"/>
      <c r="M1590" s="109"/>
      <c r="N1590" s="109"/>
      <c r="O1590" s="109"/>
      <c r="P1590" s="109"/>
      <c r="Q1590" s="109"/>
      <c r="S1590" s="111"/>
      <c r="T1590" s="60"/>
      <c r="U1590" s="112"/>
    </row>
    <row r="1591" spans="4:21" s="110" customFormat="1" ht="15.75" customHeight="1">
      <c r="D1591" s="113"/>
      <c r="E1591" s="60"/>
      <c r="F1591" s="60"/>
      <c r="G1591" s="60"/>
      <c r="H1591" s="60"/>
      <c r="I1591" s="60"/>
      <c r="J1591" s="114"/>
      <c r="K1591" s="60"/>
      <c r="L1591" s="109"/>
      <c r="M1591" s="109"/>
      <c r="N1591" s="109"/>
      <c r="O1591" s="109"/>
      <c r="P1591" s="109"/>
      <c r="Q1591" s="109"/>
      <c r="S1591" s="111"/>
      <c r="T1591" s="60"/>
      <c r="U1591" s="112"/>
    </row>
    <row r="1592" spans="4:21" s="110" customFormat="1" ht="15.75" customHeight="1">
      <c r="D1592" s="113"/>
      <c r="E1592" s="60"/>
      <c r="F1592" s="60"/>
      <c r="G1592" s="60"/>
      <c r="H1592" s="60"/>
      <c r="I1592" s="60"/>
      <c r="J1592" s="114"/>
      <c r="K1592" s="60"/>
      <c r="L1592" s="109"/>
      <c r="M1592" s="109"/>
      <c r="N1592" s="109"/>
      <c r="O1592" s="109"/>
      <c r="P1592" s="109"/>
      <c r="Q1592" s="109"/>
      <c r="S1592" s="111"/>
      <c r="T1592" s="60"/>
      <c r="U1592" s="112"/>
    </row>
    <row r="1593" spans="4:21" s="110" customFormat="1" ht="15.75" customHeight="1">
      <c r="D1593" s="113"/>
      <c r="E1593" s="60"/>
      <c r="F1593" s="60"/>
      <c r="G1593" s="60"/>
      <c r="H1593" s="60"/>
      <c r="I1593" s="60"/>
      <c r="J1593" s="114"/>
      <c r="K1593" s="60"/>
      <c r="L1593" s="109"/>
      <c r="M1593" s="109"/>
      <c r="N1593" s="109"/>
      <c r="O1593" s="109"/>
      <c r="P1593" s="109"/>
      <c r="Q1593" s="109"/>
      <c r="S1593" s="111"/>
      <c r="T1593" s="60"/>
      <c r="U1593" s="112"/>
    </row>
    <row r="1594" spans="4:21" s="110" customFormat="1" ht="15.75" customHeight="1">
      <c r="D1594" s="113"/>
      <c r="E1594" s="60"/>
      <c r="F1594" s="60"/>
      <c r="G1594" s="60"/>
      <c r="H1594" s="60"/>
      <c r="I1594" s="60"/>
      <c r="J1594" s="114"/>
      <c r="K1594" s="60"/>
      <c r="L1594" s="109"/>
      <c r="M1594" s="109"/>
      <c r="N1594" s="109"/>
      <c r="O1594" s="109"/>
      <c r="P1594" s="109"/>
      <c r="Q1594" s="109"/>
      <c r="S1594" s="111"/>
      <c r="T1594" s="60"/>
      <c r="U1594" s="112"/>
    </row>
    <row r="1595" spans="4:21" s="110" customFormat="1" ht="15.75" customHeight="1">
      <c r="D1595" s="113"/>
      <c r="E1595" s="60"/>
      <c r="F1595" s="60"/>
      <c r="G1595" s="60"/>
      <c r="H1595" s="60"/>
      <c r="I1595" s="60"/>
      <c r="J1595" s="114"/>
      <c r="K1595" s="60"/>
      <c r="L1595" s="109"/>
      <c r="M1595" s="109"/>
      <c r="N1595" s="109"/>
      <c r="O1595" s="109"/>
      <c r="P1595" s="109"/>
      <c r="Q1595" s="109"/>
      <c r="S1595" s="111"/>
      <c r="T1595" s="60"/>
      <c r="U1595" s="112"/>
    </row>
    <row r="1596" spans="4:21" s="110" customFormat="1" ht="15.75" customHeight="1">
      <c r="D1596" s="113"/>
      <c r="E1596" s="60"/>
      <c r="F1596" s="60"/>
      <c r="G1596" s="60"/>
      <c r="H1596" s="60"/>
      <c r="I1596" s="60"/>
      <c r="J1596" s="114"/>
      <c r="K1596" s="60"/>
      <c r="L1596" s="109"/>
      <c r="M1596" s="109"/>
      <c r="N1596" s="109"/>
      <c r="O1596" s="109"/>
      <c r="P1596" s="109"/>
      <c r="Q1596" s="109"/>
      <c r="S1596" s="111"/>
      <c r="T1596" s="60"/>
      <c r="U1596" s="112"/>
    </row>
    <row r="1597" spans="4:21" s="110" customFormat="1" ht="15.75" customHeight="1">
      <c r="D1597" s="113"/>
      <c r="E1597" s="60"/>
      <c r="F1597" s="60"/>
      <c r="G1597" s="60"/>
      <c r="H1597" s="60"/>
      <c r="I1597" s="60"/>
      <c r="J1597" s="114"/>
      <c r="K1597" s="60"/>
      <c r="L1597" s="109"/>
      <c r="M1597" s="109"/>
      <c r="N1597" s="109"/>
      <c r="O1597" s="109"/>
      <c r="P1597" s="109"/>
      <c r="Q1597" s="109"/>
      <c r="S1597" s="111"/>
      <c r="T1597" s="60"/>
      <c r="U1597" s="112"/>
    </row>
    <row r="1598" spans="4:21" s="110" customFormat="1" ht="15.75" customHeight="1">
      <c r="D1598" s="113"/>
      <c r="E1598" s="60"/>
      <c r="F1598" s="60"/>
      <c r="G1598" s="60"/>
      <c r="H1598" s="60"/>
      <c r="I1598" s="60"/>
      <c r="J1598" s="114"/>
      <c r="K1598" s="60"/>
      <c r="L1598" s="109"/>
      <c r="M1598" s="109"/>
      <c r="N1598" s="109"/>
      <c r="O1598" s="109"/>
      <c r="P1598" s="109"/>
      <c r="Q1598" s="109"/>
      <c r="S1598" s="111"/>
      <c r="T1598" s="60"/>
      <c r="U1598" s="112"/>
    </row>
    <row r="1599" spans="4:21" s="110" customFormat="1" ht="15.75" customHeight="1">
      <c r="D1599" s="113"/>
      <c r="E1599" s="60"/>
      <c r="F1599" s="60"/>
      <c r="G1599" s="60"/>
      <c r="H1599" s="60"/>
      <c r="I1599" s="60"/>
      <c r="J1599" s="114"/>
      <c r="K1599" s="60"/>
      <c r="L1599" s="109"/>
      <c r="M1599" s="109"/>
      <c r="N1599" s="109"/>
      <c r="O1599" s="109"/>
      <c r="P1599" s="109"/>
      <c r="Q1599" s="109"/>
      <c r="S1599" s="111"/>
      <c r="T1599" s="60"/>
      <c r="U1599" s="112"/>
    </row>
    <row r="1600" spans="4:21" s="110" customFormat="1" ht="15.75" customHeight="1">
      <c r="D1600" s="113"/>
      <c r="E1600" s="60"/>
      <c r="F1600" s="60"/>
      <c r="G1600" s="60"/>
      <c r="H1600" s="60"/>
      <c r="I1600" s="60"/>
      <c r="J1600" s="114"/>
      <c r="K1600" s="60"/>
      <c r="L1600" s="109"/>
      <c r="M1600" s="109"/>
      <c r="N1600" s="109"/>
      <c r="O1600" s="109"/>
      <c r="P1600" s="109"/>
      <c r="Q1600" s="109"/>
      <c r="S1600" s="111"/>
      <c r="T1600" s="60"/>
      <c r="U1600" s="112"/>
    </row>
    <row r="1601" spans="4:21" s="110" customFormat="1" ht="15.75" customHeight="1">
      <c r="D1601" s="113"/>
      <c r="E1601" s="60"/>
      <c r="F1601" s="60"/>
      <c r="G1601" s="60"/>
      <c r="H1601" s="60"/>
      <c r="I1601" s="60"/>
      <c r="J1601" s="114"/>
      <c r="K1601" s="60"/>
      <c r="L1601" s="109"/>
      <c r="M1601" s="109"/>
      <c r="N1601" s="109"/>
      <c r="O1601" s="109"/>
      <c r="P1601" s="109"/>
      <c r="Q1601" s="109"/>
      <c r="S1601" s="111"/>
      <c r="T1601" s="60"/>
      <c r="U1601" s="112"/>
    </row>
    <row r="1602" spans="4:21" s="110" customFormat="1" ht="15.75" customHeight="1">
      <c r="D1602" s="113"/>
      <c r="E1602" s="60"/>
      <c r="F1602" s="60"/>
      <c r="G1602" s="60"/>
      <c r="H1602" s="60"/>
      <c r="I1602" s="60"/>
      <c r="J1602" s="114"/>
      <c r="K1602" s="60"/>
      <c r="L1602" s="109"/>
      <c r="M1602" s="109"/>
      <c r="N1602" s="109"/>
      <c r="O1602" s="109"/>
      <c r="P1602" s="109"/>
      <c r="Q1602" s="109"/>
      <c r="S1602" s="111"/>
      <c r="T1602" s="60"/>
      <c r="U1602" s="112"/>
    </row>
    <row r="1603" spans="4:21" s="110" customFormat="1" ht="15.75" customHeight="1">
      <c r="D1603" s="113"/>
      <c r="E1603" s="60"/>
      <c r="F1603" s="60"/>
      <c r="G1603" s="60"/>
      <c r="H1603" s="60"/>
      <c r="I1603" s="60"/>
      <c r="J1603" s="114"/>
      <c r="K1603" s="60"/>
      <c r="L1603" s="109"/>
      <c r="M1603" s="109"/>
      <c r="N1603" s="109"/>
      <c r="O1603" s="109"/>
      <c r="P1603" s="109"/>
      <c r="Q1603" s="109"/>
      <c r="S1603" s="111"/>
      <c r="T1603" s="60"/>
      <c r="U1603" s="112"/>
    </row>
    <row r="1604" spans="4:21" s="110" customFormat="1" ht="15.75" customHeight="1">
      <c r="D1604" s="113"/>
      <c r="E1604" s="60"/>
      <c r="F1604" s="60"/>
      <c r="G1604" s="60"/>
      <c r="H1604" s="60"/>
      <c r="I1604" s="60"/>
      <c r="J1604" s="114"/>
      <c r="K1604" s="60"/>
      <c r="L1604" s="109"/>
      <c r="M1604" s="109"/>
      <c r="N1604" s="109"/>
      <c r="O1604" s="109"/>
      <c r="P1604" s="109"/>
      <c r="Q1604" s="109"/>
      <c r="S1604" s="111"/>
      <c r="T1604" s="60"/>
      <c r="U1604" s="112"/>
    </row>
    <row r="1605" spans="4:21" s="110" customFormat="1" ht="15.75" customHeight="1">
      <c r="D1605" s="113"/>
      <c r="E1605" s="60"/>
      <c r="F1605" s="60"/>
      <c r="G1605" s="60"/>
      <c r="H1605" s="60"/>
      <c r="I1605" s="60"/>
      <c r="J1605" s="114"/>
      <c r="K1605" s="60"/>
      <c r="L1605" s="109"/>
      <c r="M1605" s="109"/>
      <c r="N1605" s="109"/>
      <c r="O1605" s="109"/>
      <c r="P1605" s="109"/>
      <c r="Q1605" s="109"/>
      <c r="S1605" s="111"/>
      <c r="T1605" s="60"/>
      <c r="U1605" s="112"/>
    </row>
    <row r="1606" spans="4:21" s="110" customFormat="1" ht="15.75" customHeight="1">
      <c r="D1606" s="113"/>
      <c r="E1606" s="60"/>
      <c r="F1606" s="60"/>
      <c r="G1606" s="60"/>
      <c r="H1606" s="60"/>
      <c r="I1606" s="60"/>
      <c r="J1606" s="114"/>
      <c r="K1606" s="60"/>
      <c r="L1606" s="109"/>
      <c r="M1606" s="109"/>
      <c r="N1606" s="109"/>
      <c r="O1606" s="109"/>
      <c r="P1606" s="109"/>
      <c r="Q1606" s="109"/>
      <c r="S1606" s="111"/>
      <c r="T1606" s="60"/>
      <c r="U1606" s="112"/>
    </row>
    <row r="1607" spans="4:21" s="110" customFormat="1" ht="15.75" customHeight="1">
      <c r="D1607" s="113"/>
      <c r="E1607" s="60"/>
      <c r="F1607" s="60"/>
      <c r="G1607" s="60"/>
      <c r="H1607" s="60"/>
      <c r="I1607" s="60"/>
      <c r="J1607" s="114"/>
      <c r="K1607" s="60"/>
      <c r="L1607" s="109"/>
      <c r="M1607" s="109"/>
      <c r="N1607" s="109"/>
      <c r="O1607" s="109"/>
      <c r="P1607" s="109"/>
      <c r="Q1607" s="109"/>
      <c r="S1607" s="111"/>
      <c r="T1607" s="60"/>
      <c r="U1607" s="112"/>
    </row>
    <row r="1608" spans="4:21" s="110" customFormat="1" ht="15.75" customHeight="1">
      <c r="D1608" s="113"/>
      <c r="E1608" s="60"/>
      <c r="F1608" s="60"/>
      <c r="G1608" s="60"/>
      <c r="H1608" s="60"/>
      <c r="I1608" s="60"/>
      <c r="J1608" s="114"/>
      <c r="K1608" s="60"/>
      <c r="L1608" s="109"/>
      <c r="M1608" s="109"/>
      <c r="N1608" s="109"/>
      <c r="O1608" s="109"/>
      <c r="P1608" s="109"/>
      <c r="Q1608" s="109"/>
      <c r="S1608" s="111"/>
      <c r="T1608" s="60"/>
      <c r="U1608" s="112"/>
    </row>
    <row r="1609" spans="4:21" s="110" customFormat="1" ht="15.75" customHeight="1">
      <c r="D1609" s="113"/>
      <c r="E1609" s="60"/>
      <c r="F1609" s="60"/>
      <c r="G1609" s="60"/>
      <c r="H1609" s="60"/>
      <c r="I1609" s="60"/>
      <c r="J1609" s="114"/>
      <c r="K1609" s="60"/>
      <c r="L1609" s="109"/>
      <c r="M1609" s="109"/>
      <c r="N1609" s="109"/>
      <c r="O1609" s="109"/>
      <c r="P1609" s="109"/>
      <c r="Q1609" s="109"/>
      <c r="S1609" s="111"/>
      <c r="T1609" s="60"/>
      <c r="U1609" s="112"/>
    </row>
    <row r="1610" spans="4:21" s="110" customFormat="1" ht="15.75" customHeight="1">
      <c r="D1610" s="113"/>
      <c r="E1610" s="60"/>
      <c r="F1610" s="60"/>
      <c r="G1610" s="60"/>
      <c r="H1610" s="60"/>
      <c r="I1610" s="60"/>
      <c r="J1610" s="114"/>
      <c r="K1610" s="60"/>
      <c r="L1610" s="109"/>
      <c r="M1610" s="109"/>
      <c r="N1610" s="109"/>
      <c r="O1610" s="109"/>
      <c r="P1610" s="109"/>
      <c r="Q1610" s="109"/>
      <c r="S1610" s="111"/>
      <c r="T1610" s="60"/>
      <c r="U1610" s="112"/>
    </row>
    <row r="1611" spans="4:21" s="110" customFormat="1" ht="15.75" customHeight="1">
      <c r="D1611" s="113"/>
      <c r="E1611" s="60"/>
      <c r="F1611" s="60"/>
      <c r="G1611" s="60"/>
      <c r="H1611" s="60"/>
      <c r="I1611" s="60"/>
      <c r="J1611" s="114"/>
      <c r="K1611" s="60"/>
      <c r="L1611" s="109"/>
      <c r="M1611" s="109"/>
      <c r="N1611" s="109"/>
      <c r="O1611" s="109"/>
      <c r="P1611" s="109"/>
      <c r="Q1611" s="109"/>
      <c r="S1611" s="111"/>
      <c r="T1611" s="60"/>
      <c r="U1611" s="112"/>
    </row>
    <row r="1612" spans="4:21" s="110" customFormat="1" ht="15.75" customHeight="1">
      <c r="D1612" s="113"/>
      <c r="E1612" s="60"/>
      <c r="F1612" s="60"/>
      <c r="G1612" s="60"/>
      <c r="H1612" s="60"/>
      <c r="I1612" s="60"/>
      <c r="J1612" s="114"/>
      <c r="K1612" s="60"/>
      <c r="L1612" s="109"/>
      <c r="M1612" s="109"/>
      <c r="N1612" s="109"/>
      <c r="O1612" s="109"/>
      <c r="P1612" s="109"/>
      <c r="Q1612" s="109"/>
      <c r="S1612" s="111"/>
      <c r="T1612" s="60"/>
      <c r="U1612" s="112"/>
    </row>
    <row r="1613" spans="4:21" s="110" customFormat="1" ht="15.75" customHeight="1">
      <c r="D1613" s="113"/>
      <c r="E1613" s="60"/>
      <c r="F1613" s="60"/>
      <c r="G1613" s="60"/>
      <c r="H1613" s="60"/>
      <c r="I1613" s="60"/>
      <c r="J1613" s="114"/>
      <c r="K1613" s="60"/>
      <c r="L1613" s="109"/>
      <c r="M1613" s="109"/>
      <c r="N1613" s="109"/>
      <c r="O1613" s="109"/>
      <c r="P1613" s="109"/>
      <c r="Q1613" s="109"/>
      <c r="S1613" s="111"/>
      <c r="T1613" s="60"/>
      <c r="U1613" s="112"/>
    </row>
    <row r="1614" spans="4:21" s="110" customFormat="1" ht="15.75" customHeight="1">
      <c r="D1614" s="113"/>
      <c r="E1614" s="60"/>
      <c r="F1614" s="60"/>
      <c r="G1614" s="60"/>
      <c r="H1614" s="60"/>
      <c r="I1614" s="60"/>
      <c r="J1614" s="114"/>
      <c r="K1614" s="60"/>
      <c r="L1614" s="109"/>
      <c r="M1614" s="109"/>
      <c r="N1614" s="109"/>
      <c r="O1614" s="109"/>
      <c r="P1614" s="109"/>
      <c r="Q1614" s="109"/>
      <c r="S1614" s="111"/>
      <c r="T1614" s="60"/>
      <c r="U1614" s="112"/>
    </row>
    <row r="1615" spans="4:21" s="110" customFormat="1" ht="15.75" customHeight="1">
      <c r="D1615" s="113"/>
      <c r="E1615" s="60"/>
      <c r="F1615" s="60"/>
      <c r="G1615" s="60"/>
      <c r="H1615" s="60"/>
      <c r="I1615" s="60"/>
      <c r="J1615" s="114"/>
      <c r="K1615" s="60"/>
      <c r="L1615" s="109"/>
      <c r="M1615" s="109"/>
      <c r="N1615" s="109"/>
      <c r="O1615" s="109"/>
      <c r="P1615" s="109"/>
      <c r="Q1615" s="109"/>
      <c r="S1615" s="111"/>
      <c r="T1615" s="60"/>
      <c r="U1615" s="112"/>
    </row>
    <row r="1616" spans="4:21" s="110" customFormat="1" ht="15.75" customHeight="1">
      <c r="D1616" s="113"/>
      <c r="E1616" s="60"/>
      <c r="F1616" s="60"/>
      <c r="G1616" s="60"/>
      <c r="H1616" s="60"/>
      <c r="I1616" s="60"/>
      <c r="J1616" s="114"/>
      <c r="K1616" s="60"/>
      <c r="L1616" s="109"/>
      <c r="M1616" s="109"/>
      <c r="N1616" s="109"/>
      <c r="O1616" s="109"/>
      <c r="P1616" s="109"/>
      <c r="Q1616" s="109"/>
      <c r="S1616" s="111"/>
      <c r="T1616" s="60"/>
      <c r="U1616" s="112"/>
    </row>
    <row r="1617" spans="4:21" s="110" customFormat="1" ht="15.75" customHeight="1">
      <c r="D1617" s="113"/>
      <c r="E1617" s="60"/>
      <c r="F1617" s="60"/>
      <c r="G1617" s="60"/>
      <c r="H1617" s="60"/>
      <c r="I1617" s="60"/>
      <c r="J1617" s="114"/>
      <c r="K1617" s="60"/>
      <c r="L1617" s="109"/>
      <c r="M1617" s="109"/>
      <c r="N1617" s="109"/>
      <c r="O1617" s="109"/>
      <c r="P1617" s="109"/>
      <c r="Q1617" s="109"/>
      <c r="S1617" s="111"/>
      <c r="T1617" s="60"/>
      <c r="U1617" s="112"/>
    </row>
    <row r="1618" spans="4:21" s="110" customFormat="1" ht="15.75" customHeight="1">
      <c r="D1618" s="113"/>
      <c r="E1618" s="60"/>
      <c r="F1618" s="60"/>
      <c r="G1618" s="60"/>
      <c r="H1618" s="60"/>
      <c r="I1618" s="60"/>
      <c r="J1618" s="114"/>
      <c r="K1618" s="60"/>
      <c r="L1618" s="109"/>
      <c r="M1618" s="109"/>
      <c r="N1618" s="109"/>
      <c r="O1618" s="109"/>
      <c r="P1618" s="109"/>
      <c r="Q1618" s="109"/>
      <c r="S1618" s="111"/>
      <c r="T1618" s="60"/>
      <c r="U1618" s="112"/>
    </row>
    <row r="1619" spans="4:21" s="110" customFormat="1" ht="15.75" customHeight="1">
      <c r="D1619" s="113"/>
      <c r="E1619" s="60"/>
      <c r="F1619" s="60"/>
      <c r="G1619" s="60"/>
      <c r="H1619" s="60"/>
      <c r="I1619" s="60"/>
      <c r="J1619" s="114"/>
      <c r="K1619" s="60"/>
      <c r="L1619" s="109"/>
      <c r="M1619" s="109"/>
      <c r="N1619" s="109"/>
      <c r="O1619" s="109"/>
      <c r="P1619" s="109"/>
      <c r="Q1619" s="109"/>
      <c r="S1619" s="111"/>
      <c r="T1619" s="60"/>
      <c r="U1619" s="112"/>
    </row>
    <row r="1620" spans="4:21" s="110" customFormat="1" ht="15.75" customHeight="1">
      <c r="D1620" s="113"/>
      <c r="E1620" s="60"/>
      <c r="F1620" s="60"/>
      <c r="G1620" s="60"/>
      <c r="H1620" s="60"/>
      <c r="I1620" s="60"/>
      <c r="J1620" s="114"/>
      <c r="K1620" s="60"/>
      <c r="L1620" s="109"/>
      <c r="M1620" s="109"/>
      <c r="N1620" s="109"/>
      <c r="O1620" s="109"/>
      <c r="P1620" s="109"/>
      <c r="Q1620" s="109"/>
      <c r="S1620" s="111"/>
      <c r="T1620" s="60"/>
      <c r="U1620" s="112"/>
    </row>
    <row r="1621" spans="4:21" s="110" customFormat="1" ht="15.75" customHeight="1">
      <c r="D1621" s="113"/>
      <c r="E1621" s="60"/>
      <c r="F1621" s="60"/>
      <c r="G1621" s="60"/>
      <c r="H1621" s="60"/>
      <c r="I1621" s="60"/>
      <c r="J1621" s="114"/>
      <c r="K1621" s="60"/>
      <c r="L1621" s="109"/>
      <c r="M1621" s="109"/>
      <c r="N1621" s="109"/>
      <c r="O1621" s="109"/>
      <c r="P1621" s="109"/>
      <c r="Q1621" s="109"/>
      <c r="S1621" s="111"/>
      <c r="T1621" s="60"/>
      <c r="U1621" s="112"/>
    </row>
    <row r="1622" spans="4:21" s="110" customFormat="1" ht="15.75" customHeight="1">
      <c r="D1622" s="113"/>
      <c r="E1622" s="60"/>
      <c r="F1622" s="60"/>
      <c r="G1622" s="60"/>
      <c r="H1622" s="60"/>
      <c r="I1622" s="60"/>
      <c r="J1622" s="114"/>
      <c r="K1622" s="60"/>
      <c r="L1622" s="109"/>
      <c r="M1622" s="109"/>
      <c r="N1622" s="109"/>
      <c r="O1622" s="109"/>
      <c r="P1622" s="109"/>
      <c r="Q1622" s="109"/>
      <c r="S1622" s="111"/>
      <c r="T1622" s="60"/>
      <c r="U1622" s="112"/>
    </row>
    <row r="1623" spans="4:21" s="110" customFormat="1" ht="15.75" customHeight="1">
      <c r="D1623" s="113"/>
      <c r="E1623" s="60"/>
      <c r="F1623" s="60"/>
      <c r="G1623" s="60"/>
      <c r="H1623" s="60"/>
      <c r="I1623" s="60"/>
      <c r="J1623" s="114"/>
      <c r="K1623" s="60"/>
      <c r="L1623" s="109"/>
      <c r="M1623" s="109"/>
      <c r="N1623" s="109"/>
      <c r="O1623" s="109"/>
      <c r="P1623" s="109"/>
      <c r="Q1623" s="109"/>
      <c r="S1623" s="111"/>
      <c r="T1623" s="60"/>
      <c r="U1623" s="112"/>
    </row>
    <row r="1624" spans="4:21" s="110" customFormat="1" ht="15.75" customHeight="1">
      <c r="D1624" s="113"/>
      <c r="E1624" s="60"/>
      <c r="F1624" s="60"/>
      <c r="G1624" s="60"/>
      <c r="H1624" s="60"/>
      <c r="I1624" s="60"/>
      <c r="J1624" s="114"/>
      <c r="K1624" s="60"/>
      <c r="L1624" s="109"/>
      <c r="M1624" s="109"/>
      <c r="N1624" s="109"/>
      <c r="O1624" s="109"/>
      <c r="P1624" s="109"/>
      <c r="Q1624" s="109"/>
      <c r="S1624" s="111"/>
      <c r="T1624" s="60"/>
      <c r="U1624" s="112"/>
    </row>
    <row r="1625" spans="4:21" s="110" customFormat="1" ht="15.75" customHeight="1">
      <c r="D1625" s="113"/>
      <c r="E1625" s="60"/>
      <c r="F1625" s="60"/>
      <c r="G1625" s="60"/>
      <c r="H1625" s="60"/>
      <c r="I1625" s="60"/>
      <c r="J1625" s="114"/>
      <c r="K1625" s="60"/>
      <c r="L1625" s="109"/>
      <c r="M1625" s="109"/>
      <c r="N1625" s="109"/>
      <c r="O1625" s="109"/>
      <c r="P1625" s="109"/>
      <c r="Q1625" s="109"/>
      <c r="S1625" s="111"/>
      <c r="T1625" s="60"/>
      <c r="U1625" s="112"/>
    </row>
    <row r="1626" spans="4:21" s="110" customFormat="1" ht="15.75" customHeight="1">
      <c r="D1626" s="113"/>
      <c r="E1626" s="60"/>
      <c r="F1626" s="60"/>
      <c r="G1626" s="60"/>
      <c r="H1626" s="60"/>
      <c r="I1626" s="60"/>
      <c r="J1626" s="114"/>
      <c r="K1626" s="60"/>
      <c r="L1626" s="109"/>
      <c r="M1626" s="109"/>
      <c r="N1626" s="109"/>
      <c r="O1626" s="109"/>
      <c r="P1626" s="109"/>
      <c r="Q1626" s="109"/>
      <c r="S1626" s="111"/>
      <c r="T1626" s="60"/>
      <c r="U1626" s="112"/>
    </row>
    <row r="1627" spans="4:21" s="110" customFormat="1" ht="15.75" customHeight="1">
      <c r="D1627" s="113"/>
      <c r="E1627" s="60"/>
      <c r="F1627" s="60"/>
      <c r="G1627" s="60"/>
      <c r="H1627" s="60"/>
      <c r="I1627" s="60"/>
      <c r="J1627" s="114"/>
      <c r="K1627" s="60"/>
      <c r="L1627" s="109"/>
      <c r="M1627" s="109"/>
      <c r="N1627" s="109"/>
      <c r="O1627" s="109"/>
      <c r="P1627" s="109"/>
      <c r="Q1627" s="109"/>
      <c r="S1627" s="111"/>
      <c r="T1627" s="60"/>
      <c r="U1627" s="112"/>
    </row>
    <row r="1628" spans="4:21" s="110" customFormat="1" ht="15.75" customHeight="1">
      <c r="D1628" s="113"/>
      <c r="E1628" s="60"/>
      <c r="F1628" s="60"/>
      <c r="G1628" s="60"/>
      <c r="H1628" s="60"/>
      <c r="I1628" s="60"/>
      <c r="J1628" s="114"/>
      <c r="K1628" s="60"/>
      <c r="L1628" s="109"/>
      <c r="M1628" s="109"/>
      <c r="N1628" s="109"/>
      <c r="O1628" s="109"/>
      <c r="P1628" s="109"/>
      <c r="Q1628" s="109"/>
      <c r="S1628" s="111"/>
      <c r="T1628" s="60"/>
      <c r="U1628" s="112"/>
    </row>
    <row r="1629" spans="4:21" s="110" customFormat="1" ht="15.75" customHeight="1">
      <c r="D1629" s="113"/>
      <c r="E1629" s="60"/>
      <c r="F1629" s="60"/>
      <c r="G1629" s="60"/>
      <c r="H1629" s="60"/>
      <c r="I1629" s="60"/>
      <c r="J1629" s="114"/>
      <c r="K1629" s="60"/>
      <c r="L1629" s="109"/>
      <c r="M1629" s="109"/>
      <c r="N1629" s="109"/>
      <c r="O1629" s="109"/>
      <c r="P1629" s="109"/>
      <c r="Q1629" s="109"/>
      <c r="S1629" s="111"/>
      <c r="T1629" s="60"/>
      <c r="U1629" s="112"/>
    </row>
    <row r="1630" spans="4:21" s="110" customFormat="1" ht="15.75" customHeight="1">
      <c r="D1630" s="113"/>
      <c r="E1630" s="60"/>
      <c r="F1630" s="60"/>
      <c r="G1630" s="60"/>
      <c r="H1630" s="60"/>
      <c r="I1630" s="60"/>
      <c r="J1630" s="114"/>
      <c r="K1630" s="60"/>
      <c r="L1630" s="109"/>
      <c r="M1630" s="109"/>
      <c r="N1630" s="109"/>
      <c r="O1630" s="109"/>
      <c r="P1630" s="109"/>
      <c r="Q1630" s="109"/>
      <c r="S1630" s="111"/>
      <c r="T1630" s="60"/>
      <c r="U1630" s="112"/>
    </row>
    <row r="1631" spans="4:21" s="110" customFormat="1" ht="15.75" customHeight="1">
      <c r="D1631" s="113"/>
      <c r="E1631" s="60"/>
      <c r="F1631" s="60"/>
      <c r="G1631" s="60"/>
      <c r="H1631" s="60"/>
      <c r="I1631" s="60"/>
      <c r="J1631" s="114"/>
      <c r="K1631" s="60"/>
      <c r="L1631" s="109"/>
      <c r="M1631" s="109"/>
      <c r="N1631" s="109"/>
      <c r="O1631" s="109"/>
      <c r="P1631" s="109"/>
      <c r="Q1631" s="109"/>
      <c r="S1631" s="111"/>
      <c r="T1631" s="60"/>
      <c r="U1631" s="112"/>
    </row>
    <row r="1632" spans="4:21" s="110" customFormat="1" ht="15.75" customHeight="1">
      <c r="D1632" s="113"/>
      <c r="E1632" s="60"/>
      <c r="F1632" s="60"/>
      <c r="G1632" s="60"/>
      <c r="H1632" s="60"/>
      <c r="I1632" s="60"/>
      <c r="J1632" s="114"/>
      <c r="K1632" s="60"/>
      <c r="L1632" s="109"/>
      <c r="M1632" s="109"/>
      <c r="N1632" s="109"/>
      <c r="O1632" s="109"/>
      <c r="P1632" s="109"/>
      <c r="Q1632" s="109"/>
      <c r="S1632" s="111"/>
      <c r="T1632" s="60"/>
      <c r="U1632" s="112"/>
    </row>
    <row r="1633" spans="4:21" s="110" customFormat="1" ht="15.75" customHeight="1">
      <c r="D1633" s="113"/>
      <c r="E1633" s="60"/>
      <c r="F1633" s="60"/>
      <c r="G1633" s="60"/>
      <c r="H1633" s="60"/>
      <c r="I1633" s="60"/>
      <c r="J1633" s="114"/>
      <c r="K1633" s="60"/>
      <c r="L1633" s="109"/>
      <c r="M1633" s="109"/>
      <c r="N1633" s="109"/>
      <c r="O1633" s="109"/>
      <c r="P1633" s="109"/>
      <c r="Q1633" s="109"/>
      <c r="S1633" s="111"/>
      <c r="T1633" s="60"/>
      <c r="U1633" s="112"/>
    </row>
    <row r="1634" spans="4:21" s="110" customFormat="1" ht="15.75" customHeight="1">
      <c r="D1634" s="113"/>
      <c r="E1634" s="60"/>
      <c r="F1634" s="60"/>
      <c r="G1634" s="60"/>
      <c r="H1634" s="60"/>
      <c r="I1634" s="60"/>
      <c r="J1634" s="114"/>
      <c r="K1634" s="60"/>
      <c r="L1634" s="109"/>
      <c r="M1634" s="109"/>
      <c r="N1634" s="109"/>
      <c r="O1634" s="109"/>
      <c r="P1634" s="109"/>
      <c r="Q1634" s="109"/>
      <c r="S1634" s="111"/>
      <c r="T1634" s="60"/>
      <c r="U1634" s="112"/>
    </row>
    <row r="1635" spans="4:21" s="110" customFormat="1" ht="15.75" customHeight="1">
      <c r="D1635" s="113"/>
      <c r="E1635" s="60"/>
      <c r="F1635" s="60"/>
      <c r="G1635" s="60"/>
      <c r="H1635" s="60"/>
      <c r="I1635" s="60"/>
      <c r="J1635" s="114"/>
      <c r="K1635" s="60"/>
      <c r="L1635" s="109"/>
      <c r="M1635" s="109"/>
      <c r="N1635" s="109"/>
      <c r="O1635" s="109"/>
      <c r="P1635" s="109"/>
      <c r="Q1635" s="109"/>
      <c r="S1635" s="111"/>
      <c r="T1635" s="60"/>
      <c r="U1635" s="112"/>
    </row>
    <row r="1636" spans="4:21" s="110" customFormat="1" ht="15.75" customHeight="1">
      <c r="D1636" s="113"/>
      <c r="E1636" s="60"/>
      <c r="F1636" s="60"/>
      <c r="G1636" s="60"/>
      <c r="H1636" s="60"/>
      <c r="I1636" s="60"/>
      <c r="J1636" s="114"/>
      <c r="K1636" s="60"/>
      <c r="L1636" s="109"/>
      <c r="M1636" s="109"/>
      <c r="N1636" s="109"/>
      <c r="O1636" s="109"/>
      <c r="P1636" s="109"/>
      <c r="Q1636" s="109"/>
      <c r="S1636" s="111"/>
      <c r="T1636" s="60"/>
      <c r="U1636" s="112"/>
    </row>
    <row r="1637" spans="4:21" s="110" customFormat="1" ht="15.75" customHeight="1">
      <c r="D1637" s="113"/>
      <c r="E1637" s="60"/>
      <c r="F1637" s="60"/>
      <c r="G1637" s="60"/>
      <c r="H1637" s="60"/>
      <c r="I1637" s="60"/>
      <c r="J1637" s="114"/>
      <c r="K1637" s="60"/>
      <c r="L1637" s="109"/>
      <c r="M1637" s="109"/>
      <c r="N1637" s="109"/>
      <c r="O1637" s="109"/>
      <c r="P1637" s="109"/>
      <c r="Q1637" s="109"/>
      <c r="S1637" s="111"/>
      <c r="T1637" s="60"/>
      <c r="U1637" s="112"/>
    </row>
    <row r="1638" spans="4:21" s="110" customFormat="1" ht="15.75" customHeight="1">
      <c r="D1638" s="113"/>
      <c r="E1638" s="60"/>
      <c r="F1638" s="60"/>
      <c r="G1638" s="60"/>
      <c r="H1638" s="60"/>
      <c r="I1638" s="60"/>
      <c r="J1638" s="114"/>
      <c r="K1638" s="60"/>
      <c r="L1638" s="109"/>
      <c r="M1638" s="109"/>
      <c r="N1638" s="109"/>
      <c r="O1638" s="109"/>
      <c r="P1638" s="109"/>
      <c r="Q1638" s="109"/>
      <c r="S1638" s="111"/>
      <c r="T1638" s="60"/>
      <c r="U1638" s="112"/>
    </row>
    <row r="1639" spans="4:21" s="110" customFormat="1" ht="15.75" customHeight="1">
      <c r="D1639" s="113"/>
      <c r="E1639" s="60"/>
      <c r="F1639" s="60"/>
      <c r="G1639" s="60"/>
      <c r="H1639" s="60"/>
      <c r="I1639" s="60"/>
      <c r="J1639" s="114"/>
      <c r="K1639" s="60"/>
      <c r="L1639" s="109"/>
      <c r="M1639" s="109"/>
      <c r="N1639" s="109"/>
      <c r="O1639" s="109"/>
      <c r="P1639" s="109"/>
      <c r="Q1639" s="109"/>
      <c r="S1639" s="111"/>
      <c r="T1639" s="60"/>
      <c r="U1639" s="112"/>
    </row>
    <row r="1640" spans="4:21" s="110" customFormat="1" ht="15.75" customHeight="1">
      <c r="D1640" s="113"/>
      <c r="E1640" s="60"/>
      <c r="F1640" s="60"/>
      <c r="G1640" s="60"/>
      <c r="H1640" s="60"/>
      <c r="I1640" s="60"/>
      <c r="J1640" s="114"/>
      <c r="K1640" s="60"/>
      <c r="L1640" s="109"/>
      <c r="M1640" s="109"/>
      <c r="N1640" s="109"/>
      <c r="O1640" s="109"/>
      <c r="P1640" s="109"/>
      <c r="Q1640" s="109"/>
      <c r="S1640" s="111"/>
      <c r="T1640" s="60"/>
      <c r="U1640" s="112"/>
    </row>
    <row r="1641" spans="4:21" s="110" customFormat="1" ht="15.75" customHeight="1">
      <c r="D1641" s="113"/>
      <c r="E1641" s="60"/>
      <c r="F1641" s="60"/>
      <c r="G1641" s="60"/>
      <c r="H1641" s="60"/>
      <c r="I1641" s="60"/>
      <c r="J1641" s="114"/>
      <c r="K1641" s="60"/>
      <c r="L1641" s="109"/>
      <c r="M1641" s="109"/>
      <c r="N1641" s="109"/>
      <c r="O1641" s="109"/>
      <c r="P1641" s="109"/>
      <c r="Q1641" s="109"/>
      <c r="S1641" s="111"/>
      <c r="T1641" s="60"/>
      <c r="U1641" s="112"/>
    </row>
    <row r="1642" spans="4:21" s="110" customFormat="1" ht="15.75" customHeight="1">
      <c r="D1642" s="113"/>
      <c r="E1642" s="60"/>
      <c r="F1642" s="60"/>
      <c r="G1642" s="60"/>
      <c r="H1642" s="60"/>
      <c r="I1642" s="60"/>
      <c r="J1642" s="114"/>
      <c r="K1642" s="60"/>
      <c r="L1642" s="109"/>
      <c r="M1642" s="109"/>
      <c r="N1642" s="109"/>
      <c r="O1642" s="109"/>
      <c r="P1642" s="109"/>
      <c r="Q1642" s="109"/>
      <c r="S1642" s="111"/>
      <c r="T1642" s="60"/>
      <c r="U1642" s="112"/>
    </row>
    <row r="1643" spans="4:21" s="110" customFormat="1" ht="15.75" customHeight="1">
      <c r="D1643" s="113"/>
      <c r="E1643" s="60"/>
      <c r="F1643" s="60"/>
      <c r="G1643" s="60"/>
      <c r="H1643" s="60"/>
      <c r="I1643" s="60"/>
      <c r="J1643" s="114"/>
      <c r="K1643" s="60"/>
      <c r="L1643" s="109"/>
      <c r="M1643" s="109"/>
      <c r="N1643" s="109"/>
      <c r="O1643" s="109"/>
      <c r="P1643" s="109"/>
      <c r="Q1643" s="109"/>
      <c r="S1643" s="111"/>
      <c r="T1643" s="60"/>
      <c r="U1643" s="112"/>
    </row>
    <row r="1644" spans="4:21" s="110" customFormat="1" ht="15.75" customHeight="1">
      <c r="D1644" s="113"/>
      <c r="E1644" s="60"/>
      <c r="F1644" s="60"/>
      <c r="G1644" s="60"/>
      <c r="H1644" s="60"/>
      <c r="I1644" s="60"/>
      <c r="J1644" s="114"/>
      <c r="K1644" s="60"/>
      <c r="L1644" s="109"/>
      <c r="M1644" s="109"/>
      <c r="N1644" s="109"/>
      <c r="O1644" s="109"/>
      <c r="P1644" s="109"/>
      <c r="Q1644" s="109"/>
      <c r="S1644" s="111"/>
      <c r="T1644" s="60"/>
      <c r="U1644" s="112"/>
    </row>
    <row r="1645" spans="4:21" s="110" customFormat="1" ht="15.75" customHeight="1">
      <c r="D1645" s="113"/>
      <c r="E1645" s="60"/>
      <c r="F1645" s="60"/>
      <c r="G1645" s="60"/>
      <c r="H1645" s="60"/>
      <c r="I1645" s="60"/>
      <c r="J1645" s="114"/>
      <c r="K1645" s="60"/>
      <c r="L1645" s="109"/>
      <c r="M1645" s="109"/>
      <c r="N1645" s="109"/>
      <c r="O1645" s="109"/>
      <c r="P1645" s="109"/>
      <c r="Q1645" s="109"/>
      <c r="S1645" s="111"/>
      <c r="T1645" s="60"/>
      <c r="U1645" s="112"/>
    </row>
    <row r="1646" spans="4:21" s="110" customFormat="1" ht="15.75" customHeight="1">
      <c r="D1646" s="113"/>
      <c r="E1646" s="60"/>
      <c r="F1646" s="60"/>
      <c r="G1646" s="60"/>
      <c r="H1646" s="60"/>
      <c r="I1646" s="60"/>
      <c r="J1646" s="114"/>
      <c r="K1646" s="60"/>
      <c r="L1646" s="109"/>
      <c r="M1646" s="109"/>
      <c r="N1646" s="109"/>
      <c r="O1646" s="109"/>
      <c r="P1646" s="109"/>
      <c r="Q1646" s="109"/>
      <c r="S1646" s="111"/>
      <c r="T1646" s="60"/>
      <c r="U1646" s="112"/>
    </row>
    <row r="1647" spans="4:21" s="110" customFormat="1" ht="15.75" customHeight="1">
      <c r="D1647" s="113"/>
      <c r="E1647" s="60"/>
      <c r="F1647" s="60"/>
      <c r="G1647" s="60"/>
      <c r="H1647" s="60"/>
      <c r="I1647" s="60"/>
      <c r="J1647" s="114"/>
      <c r="K1647" s="60"/>
      <c r="L1647" s="109"/>
      <c r="M1647" s="109"/>
      <c r="N1647" s="109"/>
      <c r="O1647" s="109"/>
      <c r="P1647" s="109"/>
      <c r="Q1647" s="109"/>
      <c r="S1647" s="111"/>
      <c r="T1647" s="60"/>
      <c r="U1647" s="112"/>
    </row>
    <row r="1648" spans="4:21" s="110" customFormat="1" ht="15.75" customHeight="1">
      <c r="D1648" s="113"/>
      <c r="E1648" s="60"/>
      <c r="F1648" s="60"/>
      <c r="G1648" s="60"/>
      <c r="H1648" s="60"/>
      <c r="I1648" s="60"/>
      <c r="J1648" s="114"/>
      <c r="K1648" s="60"/>
      <c r="L1648" s="109"/>
      <c r="M1648" s="109"/>
      <c r="N1648" s="109"/>
      <c r="O1648" s="109"/>
      <c r="P1648" s="109"/>
      <c r="Q1648" s="109"/>
      <c r="S1648" s="111"/>
      <c r="T1648" s="60"/>
      <c r="U1648" s="112"/>
    </row>
    <row r="1649" spans="4:21" s="110" customFormat="1" ht="15.75" customHeight="1">
      <c r="D1649" s="113"/>
      <c r="E1649" s="60"/>
      <c r="F1649" s="60"/>
      <c r="G1649" s="60"/>
      <c r="H1649" s="60"/>
      <c r="I1649" s="60"/>
      <c r="J1649" s="114"/>
      <c r="K1649" s="60"/>
      <c r="L1649" s="109"/>
      <c r="M1649" s="109"/>
      <c r="N1649" s="109"/>
      <c r="O1649" s="109"/>
      <c r="P1649" s="109"/>
      <c r="Q1649" s="109"/>
      <c r="S1649" s="111"/>
      <c r="T1649" s="60"/>
      <c r="U1649" s="112"/>
    </row>
    <row r="1650" spans="4:21" s="110" customFormat="1" ht="15.75" customHeight="1">
      <c r="D1650" s="113"/>
      <c r="E1650" s="60"/>
      <c r="F1650" s="60"/>
      <c r="G1650" s="60"/>
      <c r="H1650" s="60"/>
      <c r="I1650" s="60"/>
      <c r="J1650" s="114"/>
      <c r="K1650" s="60"/>
      <c r="L1650" s="109"/>
      <c r="M1650" s="109"/>
      <c r="N1650" s="109"/>
      <c r="O1650" s="109"/>
      <c r="P1650" s="109"/>
      <c r="Q1650" s="109"/>
      <c r="S1650" s="111"/>
      <c r="T1650" s="60"/>
      <c r="U1650" s="112"/>
    </row>
    <row r="1651" spans="4:21" s="110" customFormat="1" ht="15.75" customHeight="1">
      <c r="D1651" s="113"/>
      <c r="E1651" s="60"/>
      <c r="F1651" s="60"/>
      <c r="G1651" s="60"/>
      <c r="H1651" s="60"/>
      <c r="I1651" s="60"/>
      <c r="J1651" s="114"/>
      <c r="K1651" s="60"/>
      <c r="L1651" s="109"/>
      <c r="M1651" s="109"/>
      <c r="N1651" s="109"/>
      <c r="O1651" s="109"/>
      <c r="P1651" s="109"/>
      <c r="Q1651" s="109"/>
      <c r="S1651" s="111"/>
      <c r="T1651" s="60"/>
      <c r="U1651" s="112"/>
    </row>
    <row r="1652" spans="4:21" s="110" customFormat="1" ht="15.75" customHeight="1">
      <c r="D1652" s="113"/>
      <c r="E1652" s="60"/>
      <c r="F1652" s="60"/>
      <c r="G1652" s="60"/>
      <c r="H1652" s="60"/>
      <c r="I1652" s="60"/>
      <c r="J1652" s="114"/>
      <c r="K1652" s="60"/>
      <c r="L1652" s="109"/>
      <c r="M1652" s="109"/>
      <c r="N1652" s="109"/>
      <c r="O1652" s="109"/>
      <c r="P1652" s="109"/>
      <c r="Q1652" s="109"/>
      <c r="S1652" s="111"/>
      <c r="T1652" s="60"/>
      <c r="U1652" s="112"/>
    </row>
    <row r="1653" spans="4:21" s="110" customFormat="1" ht="15.75" customHeight="1">
      <c r="D1653" s="113"/>
      <c r="E1653" s="60"/>
      <c r="F1653" s="60"/>
      <c r="G1653" s="60"/>
      <c r="H1653" s="60"/>
      <c r="I1653" s="60"/>
      <c r="J1653" s="114"/>
      <c r="K1653" s="60"/>
      <c r="L1653" s="109"/>
      <c r="M1653" s="109"/>
      <c r="N1653" s="109"/>
      <c r="O1653" s="109"/>
      <c r="P1653" s="109"/>
      <c r="Q1653" s="109"/>
      <c r="S1653" s="111"/>
      <c r="T1653" s="60"/>
      <c r="U1653" s="112"/>
    </row>
    <row r="1654" spans="4:21" s="110" customFormat="1" ht="15.75" customHeight="1">
      <c r="D1654" s="113"/>
      <c r="E1654" s="60"/>
      <c r="F1654" s="60"/>
      <c r="G1654" s="60"/>
      <c r="H1654" s="60"/>
      <c r="I1654" s="60"/>
      <c r="J1654" s="114"/>
      <c r="K1654" s="60"/>
      <c r="L1654" s="109"/>
      <c r="M1654" s="109"/>
      <c r="N1654" s="109"/>
      <c r="O1654" s="109"/>
      <c r="P1654" s="109"/>
      <c r="Q1654" s="109"/>
      <c r="S1654" s="111"/>
      <c r="T1654" s="60"/>
      <c r="U1654" s="112"/>
    </row>
    <row r="1655" spans="4:21" s="110" customFormat="1" ht="15.75" customHeight="1">
      <c r="D1655" s="113"/>
      <c r="E1655" s="60"/>
      <c r="F1655" s="60"/>
      <c r="G1655" s="60"/>
      <c r="H1655" s="60"/>
      <c r="I1655" s="60"/>
      <c r="J1655" s="114"/>
      <c r="K1655" s="60"/>
      <c r="L1655" s="109"/>
      <c r="M1655" s="109"/>
      <c r="N1655" s="109"/>
      <c r="O1655" s="109"/>
      <c r="P1655" s="109"/>
      <c r="Q1655" s="109"/>
      <c r="S1655" s="111"/>
      <c r="T1655" s="60"/>
      <c r="U1655" s="112"/>
    </row>
    <row r="1656" spans="4:21" s="110" customFormat="1" ht="15.75" customHeight="1">
      <c r="D1656" s="113"/>
      <c r="E1656" s="60"/>
      <c r="F1656" s="60"/>
      <c r="G1656" s="60"/>
      <c r="H1656" s="60"/>
      <c r="I1656" s="60"/>
      <c r="J1656" s="114"/>
      <c r="K1656" s="60"/>
      <c r="L1656" s="109"/>
      <c r="M1656" s="109"/>
      <c r="N1656" s="109"/>
      <c r="O1656" s="109"/>
      <c r="P1656" s="109"/>
      <c r="Q1656" s="109"/>
      <c r="S1656" s="111"/>
      <c r="T1656" s="60"/>
      <c r="U1656" s="112"/>
    </row>
    <row r="1657" spans="4:21" s="110" customFormat="1" ht="15.75" customHeight="1">
      <c r="D1657" s="113"/>
      <c r="E1657" s="60"/>
      <c r="F1657" s="60"/>
      <c r="G1657" s="60"/>
      <c r="H1657" s="60"/>
      <c r="I1657" s="60"/>
      <c r="J1657" s="114"/>
      <c r="K1657" s="60"/>
      <c r="L1657" s="109"/>
      <c r="M1657" s="109"/>
      <c r="N1657" s="109"/>
      <c r="O1657" s="109"/>
      <c r="P1657" s="109"/>
      <c r="Q1657" s="109"/>
      <c r="S1657" s="111"/>
      <c r="T1657" s="60"/>
      <c r="U1657" s="112"/>
    </row>
    <row r="1658" spans="4:21" s="110" customFormat="1" ht="15.75" customHeight="1">
      <c r="D1658" s="113"/>
      <c r="E1658" s="60"/>
      <c r="F1658" s="60"/>
      <c r="G1658" s="60"/>
      <c r="H1658" s="60"/>
      <c r="I1658" s="60"/>
      <c r="J1658" s="114"/>
      <c r="K1658" s="60"/>
      <c r="L1658" s="109"/>
      <c r="M1658" s="109"/>
      <c r="N1658" s="109"/>
      <c r="O1658" s="109"/>
      <c r="P1658" s="109"/>
      <c r="Q1658" s="109"/>
      <c r="S1658" s="111"/>
      <c r="T1658" s="60"/>
      <c r="U1658" s="112"/>
    </row>
    <row r="1659" spans="4:21" s="110" customFormat="1" ht="15.75" customHeight="1">
      <c r="D1659" s="113"/>
      <c r="E1659" s="60"/>
      <c r="F1659" s="60"/>
      <c r="G1659" s="60"/>
      <c r="H1659" s="60"/>
      <c r="I1659" s="60"/>
      <c r="J1659" s="114"/>
      <c r="K1659" s="60"/>
      <c r="L1659" s="109"/>
      <c r="M1659" s="109"/>
      <c r="N1659" s="109"/>
      <c r="O1659" s="109"/>
      <c r="P1659" s="109"/>
      <c r="Q1659" s="109"/>
      <c r="S1659" s="111"/>
      <c r="T1659" s="60"/>
      <c r="U1659" s="112"/>
    </row>
    <row r="1660" spans="4:21" s="110" customFormat="1" ht="15.75" customHeight="1">
      <c r="D1660" s="113"/>
      <c r="E1660" s="60"/>
      <c r="F1660" s="60"/>
      <c r="G1660" s="60"/>
      <c r="H1660" s="60"/>
      <c r="I1660" s="60"/>
      <c r="J1660" s="114"/>
      <c r="K1660" s="60"/>
      <c r="L1660" s="109"/>
      <c r="M1660" s="109"/>
      <c r="N1660" s="109"/>
      <c r="O1660" s="109"/>
      <c r="P1660" s="109"/>
      <c r="Q1660" s="109"/>
      <c r="S1660" s="111"/>
      <c r="T1660" s="60"/>
      <c r="U1660" s="112"/>
    </row>
    <row r="1661" spans="4:21" s="110" customFormat="1" ht="15.75" customHeight="1">
      <c r="D1661" s="113"/>
      <c r="E1661" s="60"/>
      <c r="F1661" s="60"/>
      <c r="G1661" s="60"/>
      <c r="H1661" s="60"/>
      <c r="I1661" s="60"/>
      <c r="J1661" s="114"/>
      <c r="K1661" s="60"/>
      <c r="L1661" s="109"/>
      <c r="M1661" s="109"/>
      <c r="N1661" s="109"/>
      <c r="O1661" s="109"/>
      <c r="P1661" s="109"/>
      <c r="Q1661" s="109"/>
      <c r="S1661" s="111"/>
      <c r="T1661" s="60"/>
      <c r="U1661" s="112"/>
    </row>
    <row r="1662" spans="4:21" s="110" customFormat="1" ht="15.75" customHeight="1">
      <c r="D1662" s="113"/>
      <c r="E1662" s="60"/>
      <c r="F1662" s="60"/>
      <c r="G1662" s="60"/>
      <c r="H1662" s="60"/>
      <c r="I1662" s="60"/>
      <c r="J1662" s="114"/>
      <c r="K1662" s="60"/>
      <c r="L1662" s="109"/>
      <c r="M1662" s="109"/>
      <c r="N1662" s="109"/>
      <c r="O1662" s="109"/>
      <c r="P1662" s="109"/>
      <c r="Q1662" s="109"/>
      <c r="S1662" s="111"/>
      <c r="T1662" s="60"/>
      <c r="U1662" s="112"/>
    </row>
    <row r="1663" spans="4:21" s="110" customFormat="1" ht="15.75" customHeight="1">
      <c r="D1663" s="113"/>
      <c r="E1663" s="60"/>
      <c r="F1663" s="60"/>
      <c r="G1663" s="60"/>
      <c r="H1663" s="60"/>
      <c r="I1663" s="60"/>
      <c r="J1663" s="114"/>
      <c r="K1663" s="60"/>
      <c r="L1663" s="109"/>
      <c r="M1663" s="109"/>
      <c r="N1663" s="109"/>
      <c r="O1663" s="109"/>
      <c r="P1663" s="109"/>
      <c r="Q1663" s="109"/>
      <c r="S1663" s="111"/>
      <c r="T1663" s="60"/>
      <c r="U1663" s="112"/>
    </row>
    <row r="1664" spans="4:21" s="110" customFormat="1" ht="15.75" customHeight="1">
      <c r="D1664" s="113"/>
      <c r="E1664" s="60"/>
      <c r="F1664" s="60"/>
      <c r="G1664" s="60"/>
      <c r="H1664" s="60"/>
      <c r="I1664" s="60"/>
      <c r="J1664" s="114"/>
      <c r="K1664" s="60"/>
      <c r="L1664" s="109"/>
      <c r="M1664" s="109"/>
      <c r="N1664" s="109"/>
      <c r="O1664" s="109"/>
      <c r="P1664" s="109"/>
      <c r="Q1664" s="109"/>
      <c r="S1664" s="111"/>
      <c r="T1664" s="60"/>
      <c r="U1664" s="112"/>
    </row>
    <row r="1665" spans="4:21" s="110" customFormat="1" ht="15.75" customHeight="1">
      <c r="D1665" s="113"/>
      <c r="E1665" s="60"/>
      <c r="F1665" s="60"/>
      <c r="G1665" s="60"/>
      <c r="H1665" s="60"/>
      <c r="I1665" s="60"/>
      <c r="J1665" s="114"/>
      <c r="K1665" s="60"/>
      <c r="L1665" s="109"/>
      <c r="M1665" s="109"/>
      <c r="N1665" s="109"/>
      <c r="O1665" s="109"/>
      <c r="P1665" s="109"/>
      <c r="Q1665" s="109"/>
      <c r="S1665" s="111"/>
      <c r="T1665" s="60"/>
      <c r="U1665" s="112"/>
    </row>
    <row r="1666" spans="4:21" s="110" customFormat="1" ht="15.75" customHeight="1">
      <c r="D1666" s="113"/>
      <c r="E1666" s="60"/>
      <c r="F1666" s="60"/>
      <c r="G1666" s="60"/>
      <c r="H1666" s="60"/>
      <c r="I1666" s="60"/>
      <c r="J1666" s="114"/>
      <c r="K1666" s="60"/>
      <c r="L1666" s="109"/>
      <c r="M1666" s="109"/>
      <c r="N1666" s="109"/>
      <c r="O1666" s="109"/>
      <c r="P1666" s="109"/>
      <c r="Q1666" s="109"/>
      <c r="S1666" s="111"/>
      <c r="T1666" s="60"/>
      <c r="U1666" s="112"/>
    </row>
    <row r="1667" spans="4:21" s="110" customFormat="1" ht="15.75" customHeight="1">
      <c r="D1667" s="113"/>
      <c r="E1667" s="60"/>
      <c r="F1667" s="60"/>
      <c r="G1667" s="60"/>
      <c r="H1667" s="60"/>
      <c r="I1667" s="60"/>
      <c r="J1667" s="114"/>
      <c r="K1667" s="60"/>
      <c r="L1667" s="109"/>
      <c r="M1667" s="109"/>
      <c r="N1667" s="109"/>
      <c r="O1667" s="109"/>
      <c r="P1667" s="109"/>
      <c r="Q1667" s="109"/>
      <c r="S1667" s="111"/>
      <c r="T1667" s="60"/>
      <c r="U1667" s="112"/>
    </row>
    <row r="1668" spans="4:21" s="110" customFormat="1" ht="15.75" customHeight="1">
      <c r="D1668" s="113"/>
      <c r="E1668" s="60"/>
      <c r="F1668" s="60"/>
      <c r="G1668" s="60"/>
      <c r="H1668" s="60"/>
      <c r="I1668" s="60"/>
      <c r="J1668" s="114"/>
      <c r="K1668" s="60"/>
      <c r="L1668" s="109"/>
      <c r="M1668" s="109"/>
      <c r="N1668" s="109"/>
      <c r="O1668" s="109"/>
      <c r="P1668" s="109"/>
      <c r="Q1668" s="109"/>
      <c r="S1668" s="111"/>
      <c r="T1668" s="60"/>
      <c r="U1668" s="112"/>
    </row>
    <row r="1669" spans="4:21" s="110" customFormat="1" ht="15.75" customHeight="1">
      <c r="D1669" s="113"/>
      <c r="E1669" s="60"/>
      <c r="F1669" s="60"/>
      <c r="G1669" s="60"/>
      <c r="H1669" s="60"/>
      <c r="I1669" s="60"/>
      <c r="J1669" s="114"/>
      <c r="K1669" s="60"/>
      <c r="L1669" s="109"/>
      <c r="M1669" s="109"/>
      <c r="N1669" s="109"/>
      <c r="O1669" s="109"/>
      <c r="P1669" s="109"/>
      <c r="Q1669" s="109"/>
      <c r="S1669" s="111"/>
      <c r="T1669" s="60"/>
      <c r="U1669" s="112"/>
    </row>
    <row r="1670" spans="4:21" s="110" customFormat="1" ht="15.75" customHeight="1">
      <c r="D1670" s="113"/>
      <c r="E1670" s="60"/>
      <c r="F1670" s="60"/>
      <c r="G1670" s="60"/>
      <c r="H1670" s="60"/>
      <c r="I1670" s="60"/>
      <c r="J1670" s="114"/>
      <c r="K1670" s="60"/>
      <c r="L1670" s="109"/>
      <c r="M1670" s="109"/>
      <c r="N1670" s="109"/>
      <c r="O1670" s="109"/>
      <c r="P1670" s="109"/>
      <c r="Q1670" s="109"/>
      <c r="S1670" s="111"/>
      <c r="T1670" s="60"/>
      <c r="U1670" s="112"/>
    </row>
    <row r="1671" spans="4:21" s="110" customFormat="1" ht="15.75" customHeight="1">
      <c r="D1671" s="113"/>
      <c r="E1671" s="60"/>
      <c r="F1671" s="60"/>
      <c r="G1671" s="60"/>
      <c r="H1671" s="60"/>
      <c r="I1671" s="60"/>
      <c r="J1671" s="114"/>
      <c r="K1671" s="60"/>
      <c r="L1671" s="109"/>
      <c r="M1671" s="109"/>
      <c r="N1671" s="109"/>
      <c r="O1671" s="109"/>
      <c r="P1671" s="109"/>
      <c r="Q1671" s="109"/>
      <c r="S1671" s="111"/>
      <c r="T1671" s="60"/>
      <c r="U1671" s="112"/>
    </row>
    <row r="1672" spans="4:21" s="110" customFormat="1" ht="15.75" customHeight="1">
      <c r="D1672" s="113"/>
      <c r="E1672" s="60"/>
      <c r="F1672" s="60"/>
      <c r="G1672" s="60"/>
      <c r="H1672" s="60"/>
      <c r="I1672" s="60"/>
      <c r="J1672" s="114"/>
      <c r="K1672" s="60"/>
      <c r="L1672" s="109"/>
      <c r="M1672" s="109"/>
      <c r="N1672" s="109"/>
      <c r="O1672" s="109"/>
      <c r="P1672" s="109"/>
      <c r="Q1672" s="109"/>
      <c r="S1672" s="111"/>
      <c r="T1672" s="60"/>
      <c r="U1672" s="112"/>
    </row>
    <row r="1673" spans="4:21" s="110" customFormat="1" ht="15.75" customHeight="1">
      <c r="D1673" s="113"/>
      <c r="E1673" s="60"/>
      <c r="F1673" s="60"/>
      <c r="G1673" s="60"/>
      <c r="H1673" s="60"/>
      <c r="I1673" s="60"/>
      <c r="J1673" s="114"/>
      <c r="K1673" s="60"/>
      <c r="L1673" s="109"/>
      <c r="M1673" s="109"/>
      <c r="N1673" s="109"/>
      <c r="O1673" s="109"/>
      <c r="P1673" s="109"/>
      <c r="Q1673" s="109"/>
      <c r="S1673" s="111"/>
      <c r="T1673" s="60"/>
      <c r="U1673" s="112"/>
    </row>
    <row r="1674" spans="4:21" s="110" customFormat="1" ht="15.75" customHeight="1">
      <c r="D1674" s="113"/>
      <c r="E1674" s="60"/>
      <c r="F1674" s="60"/>
      <c r="G1674" s="60"/>
      <c r="H1674" s="60"/>
      <c r="I1674" s="60"/>
      <c r="J1674" s="114"/>
      <c r="K1674" s="60"/>
      <c r="L1674" s="109"/>
      <c r="M1674" s="109"/>
      <c r="N1674" s="109"/>
      <c r="O1674" s="109"/>
      <c r="P1674" s="109"/>
      <c r="Q1674" s="109"/>
      <c r="S1674" s="111"/>
      <c r="T1674" s="60"/>
      <c r="U1674" s="112"/>
    </row>
    <row r="1675" spans="4:21" s="110" customFormat="1" ht="15.75" customHeight="1">
      <c r="D1675" s="113"/>
      <c r="E1675" s="60"/>
      <c r="F1675" s="60"/>
      <c r="G1675" s="60"/>
      <c r="H1675" s="60"/>
      <c r="I1675" s="60"/>
      <c r="J1675" s="114"/>
      <c r="K1675" s="60"/>
      <c r="L1675" s="109"/>
      <c r="M1675" s="109"/>
      <c r="N1675" s="109"/>
      <c r="O1675" s="109"/>
      <c r="P1675" s="109"/>
      <c r="Q1675" s="109"/>
      <c r="S1675" s="111"/>
      <c r="T1675" s="60"/>
      <c r="U1675" s="112"/>
    </row>
    <row r="1676" spans="4:21" s="110" customFormat="1" ht="15.75" customHeight="1">
      <c r="D1676" s="113"/>
      <c r="E1676" s="60"/>
      <c r="F1676" s="60"/>
      <c r="G1676" s="60"/>
      <c r="H1676" s="60"/>
      <c r="I1676" s="60"/>
      <c r="J1676" s="114"/>
      <c r="K1676" s="60"/>
      <c r="L1676" s="109"/>
      <c r="M1676" s="109"/>
      <c r="N1676" s="109"/>
      <c r="O1676" s="109"/>
      <c r="P1676" s="109"/>
      <c r="Q1676" s="109"/>
      <c r="S1676" s="111"/>
      <c r="T1676" s="60"/>
      <c r="U1676" s="112"/>
    </row>
    <row r="1677" spans="4:21" s="110" customFormat="1" ht="15.75" customHeight="1">
      <c r="D1677" s="113"/>
      <c r="E1677" s="60"/>
      <c r="F1677" s="60"/>
      <c r="G1677" s="60"/>
      <c r="H1677" s="60"/>
      <c r="I1677" s="60"/>
      <c r="J1677" s="114"/>
      <c r="K1677" s="60"/>
      <c r="L1677" s="109"/>
      <c r="M1677" s="109"/>
      <c r="N1677" s="109"/>
      <c r="O1677" s="109"/>
      <c r="P1677" s="109"/>
      <c r="Q1677" s="109"/>
      <c r="S1677" s="111"/>
      <c r="T1677" s="60"/>
      <c r="U1677" s="112"/>
    </row>
    <row r="1678" spans="4:21" s="110" customFormat="1" ht="15.75" customHeight="1">
      <c r="D1678" s="113"/>
      <c r="E1678" s="60"/>
      <c r="F1678" s="60"/>
      <c r="G1678" s="60"/>
      <c r="H1678" s="60"/>
      <c r="I1678" s="60"/>
      <c r="J1678" s="114"/>
      <c r="K1678" s="60"/>
      <c r="L1678" s="109"/>
      <c r="M1678" s="109"/>
      <c r="N1678" s="109"/>
      <c r="O1678" s="109"/>
      <c r="P1678" s="109"/>
      <c r="Q1678" s="109"/>
      <c r="S1678" s="111"/>
      <c r="T1678" s="60"/>
      <c r="U1678" s="112"/>
    </row>
    <row r="1679" spans="4:21" s="110" customFormat="1" ht="15.75" customHeight="1">
      <c r="D1679" s="113"/>
      <c r="E1679" s="60"/>
      <c r="F1679" s="60"/>
      <c r="G1679" s="60"/>
      <c r="H1679" s="60"/>
      <c r="I1679" s="60"/>
      <c r="J1679" s="114"/>
      <c r="K1679" s="60"/>
      <c r="L1679" s="109"/>
      <c r="M1679" s="109"/>
      <c r="N1679" s="109"/>
      <c r="O1679" s="109"/>
      <c r="P1679" s="109"/>
      <c r="Q1679" s="109"/>
      <c r="S1679" s="111"/>
      <c r="T1679" s="60"/>
      <c r="U1679" s="112"/>
    </row>
    <row r="1680" spans="4:21" s="110" customFormat="1" ht="15.75" customHeight="1">
      <c r="D1680" s="113"/>
      <c r="E1680" s="60"/>
      <c r="F1680" s="60"/>
      <c r="G1680" s="60"/>
      <c r="H1680" s="60"/>
      <c r="I1680" s="60"/>
      <c r="J1680" s="114"/>
      <c r="K1680" s="60"/>
      <c r="L1680" s="109"/>
      <c r="M1680" s="109"/>
      <c r="N1680" s="109"/>
      <c r="O1680" s="109"/>
      <c r="P1680" s="109"/>
      <c r="Q1680" s="109"/>
      <c r="S1680" s="111"/>
      <c r="T1680" s="60"/>
      <c r="U1680" s="112"/>
    </row>
    <row r="1681" spans="4:21" s="110" customFormat="1" ht="15.75" customHeight="1">
      <c r="D1681" s="113"/>
      <c r="E1681" s="60"/>
      <c r="F1681" s="60"/>
      <c r="G1681" s="60"/>
      <c r="H1681" s="60"/>
      <c r="I1681" s="60"/>
      <c r="J1681" s="114"/>
      <c r="K1681" s="60"/>
      <c r="L1681" s="109"/>
      <c r="M1681" s="109"/>
      <c r="N1681" s="109"/>
      <c r="O1681" s="109"/>
      <c r="P1681" s="109"/>
      <c r="Q1681" s="109"/>
      <c r="S1681" s="111"/>
      <c r="T1681" s="60"/>
      <c r="U1681" s="112"/>
    </row>
    <row r="1682" spans="4:21" s="110" customFormat="1" ht="15.75" customHeight="1">
      <c r="D1682" s="113"/>
      <c r="E1682" s="60"/>
      <c r="F1682" s="60"/>
      <c r="G1682" s="60"/>
      <c r="H1682" s="60"/>
      <c r="I1682" s="60"/>
      <c r="J1682" s="114"/>
      <c r="K1682" s="60"/>
      <c r="L1682" s="109"/>
      <c r="M1682" s="109"/>
      <c r="N1682" s="109"/>
      <c r="O1682" s="109"/>
      <c r="P1682" s="109"/>
      <c r="Q1682" s="109"/>
      <c r="S1682" s="111"/>
      <c r="T1682" s="60"/>
      <c r="U1682" s="112"/>
    </row>
    <row r="1683" spans="4:21" s="110" customFormat="1" ht="15.75" customHeight="1">
      <c r="D1683" s="113"/>
      <c r="E1683" s="60"/>
      <c r="F1683" s="60"/>
      <c r="G1683" s="60"/>
      <c r="H1683" s="60"/>
      <c r="I1683" s="60"/>
      <c r="J1683" s="114"/>
      <c r="K1683" s="60"/>
      <c r="L1683" s="109"/>
      <c r="M1683" s="109"/>
      <c r="N1683" s="109"/>
      <c r="O1683" s="109"/>
      <c r="P1683" s="109"/>
      <c r="Q1683" s="109"/>
      <c r="S1683" s="111"/>
      <c r="T1683" s="60"/>
      <c r="U1683" s="112"/>
    </row>
    <row r="1684" spans="4:21" s="110" customFormat="1" ht="15.75" customHeight="1">
      <c r="D1684" s="113"/>
      <c r="E1684" s="60"/>
      <c r="F1684" s="60"/>
      <c r="G1684" s="60"/>
      <c r="H1684" s="60"/>
      <c r="I1684" s="60"/>
      <c r="J1684" s="114"/>
      <c r="K1684" s="60"/>
      <c r="L1684" s="109"/>
      <c r="M1684" s="109"/>
      <c r="N1684" s="109"/>
      <c r="O1684" s="109"/>
      <c r="P1684" s="109"/>
      <c r="Q1684" s="109"/>
      <c r="S1684" s="111"/>
      <c r="T1684" s="60"/>
      <c r="U1684" s="112"/>
    </row>
    <row r="1685" spans="4:21" s="110" customFormat="1" ht="15.75" customHeight="1">
      <c r="D1685" s="113"/>
      <c r="E1685" s="60"/>
      <c r="F1685" s="60"/>
      <c r="G1685" s="60"/>
      <c r="H1685" s="60"/>
      <c r="I1685" s="60"/>
      <c r="J1685" s="114"/>
      <c r="K1685" s="60"/>
      <c r="L1685" s="109"/>
      <c r="M1685" s="109"/>
      <c r="N1685" s="109"/>
      <c r="O1685" s="109"/>
      <c r="P1685" s="109"/>
      <c r="Q1685" s="109"/>
      <c r="S1685" s="111"/>
      <c r="T1685" s="60"/>
      <c r="U1685" s="112"/>
    </row>
    <row r="1686" spans="4:21" s="110" customFormat="1" ht="15.75" customHeight="1">
      <c r="D1686" s="113"/>
      <c r="E1686" s="60"/>
      <c r="F1686" s="60"/>
      <c r="G1686" s="60"/>
      <c r="H1686" s="60"/>
      <c r="I1686" s="60"/>
      <c r="J1686" s="114"/>
      <c r="K1686" s="60"/>
      <c r="L1686" s="109"/>
      <c r="M1686" s="109"/>
      <c r="N1686" s="109"/>
      <c r="O1686" s="109"/>
      <c r="P1686" s="109"/>
      <c r="Q1686" s="109"/>
      <c r="S1686" s="111"/>
      <c r="T1686" s="60"/>
      <c r="U1686" s="112"/>
    </row>
    <row r="1687" spans="4:21" s="110" customFormat="1" ht="15.75" customHeight="1">
      <c r="D1687" s="113"/>
      <c r="E1687" s="60"/>
      <c r="F1687" s="60"/>
      <c r="G1687" s="60"/>
      <c r="H1687" s="60"/>
      <c r="I1687" s="60"/>
      <c r="J1687" s="114"/>
      <c r="K1687" s="60"/>
      <c r="L1687" s="109"/>
      <c r="M1687" s="109"/>
      <c r="N1687" s="109"/>
      <c r="O1687" s="109"/>
      <c r="P1687" s="109"/>
      <c r="Q1687" s="109"/>
      <c r="S1687" s="111"/>
      <c r="T1687" s="60"/>
      <c r="U1687" s="112"/>
    </row>
    <row r="1688" spans="4:21" s="110" customFormat="1" ht="15.75" customHeight="1">
      <c r="D1688" s="113"/>
      <c r="E1688" s="60"/>
      <c r="F1688" s="60"/>
      <c r="G1688" s="60"/>
      <c r="H1688" s="60"/>
      <c r="I1688" s="60"/>
      <c r="J1688" s="114"/>
      <c r="K1688" s="60"/>
      <c r="L1688" s="109"/>
      <c r="M1688" s="109"/>
      <c r="N1688" s="109"/>
      <c r="O1688" s="109"/>
      <c r="P1688" s="109"/>
      <c r="Q1688" s="109"/>
      <c r="S1688" s="111"/>
      <c r="T1688" s="60"/>
      <c r="U1688" s="112"/>
    </row>
    <row r="1689" spans="4:21" s="110" customFormat="1" ht="15.75" customHeight="1">
      <c r="D1689" s="113"/>
      <c r="E1689" s="60"/>
      <c r="F1689" s="60"/>
      <c r="G1689" s="60"/>
      <c r="H1689" s="60"/>
      <c r="I1689" s="60"/>
      <c r="J1689" s="114"/>
      <c r="K1689" s="60"/>
      <c r="L1689" s="109"/>
      <c r="M1689" s="109"/>
      <c r="N1689" s="109"/>
      <c r="O1689" s="109"/>
      <c r="P1689" s="109"/>
      <c r="Q1689" s="109"/>
      <c r="S1689" s="111"/>
      <c r="T1689" s="60"/>
      <c r="U1689" s="112"/>
    </row>
    <row r="1690" spans="4:21" s="110" customFormat="1" ht="15.75" customHeight="1">
      <c r="D1690" s="113"/>
      <c r="E1690" s="60"/>
      <c r="F1690" s="60"/>
      <c r="G1690" s="60"/>
      <c r="H1690" s="60"/>
      <c r="I1690" s="60"/>
      <c r="J1690" s="114"/>
      <c r="K1690" s="60"/>
      <c r="L1690" s="109"/>
      <c r="M1690" s="109"/>
      <c r="N1690" s="109"/>
      <c r="O1690" s="109"/>
      <c r="P1690" s="109"/>
      <c r="Q1690" s="109"/>
      <c r="S1690" s="111"/>
      <c r="T1690" s="60"/>
      <c r="U1690" s="112"/>
    </row>
    <row r="1691" spans="4:21" s="110" customFormat="1" ht="15.75" customHeight="1">
      <c r="D1691" s="113"/>
      <c r="E1691" s="60"/>
      <c r="F1691" s="60"/>
      <c r="G1691" s="60"/>
      <c r="H1691" s="60"/>
      <c r="I1691" s="60"/>
      <c r="J1691" s="114"/>
      <c r="K1691" s="60"/>
      <c r="L1691" s="109"/>
      <c r="M1691" s="109"/>
      <c r="N1691" s="109"/>
      <c r="O1691" s="109"/>
      <c r="P1691" s="109"/>
      <c r="Q1691" s="109"/>
      <c r="S1691" s="111"/>
      <c r="T1691" s="60"/>
      <c r="U1691" s="112"/>
    </row>
    <row r="1692" spans="4:21" s="110" customFormat="1" ht="15.75" customHeight="1">
      <c r="D1692" s="113"/>
      <c r="E1692" s="60"/>
      <c r="F1692" s="60"/>
      <c r="G1692" s="60"/>
      <c r="H1692" s="60"/>
      <c r="I1692" s="60"/>
      <c r="J1692" s="114"/>
      <c r="K1692" s="60"/>
      <c r="L1692" s="109"/>
      <c r="M1692" s="109"/>
      <c r="N1692" s="109"/>
      <c r="O1692" s="109"/>
      <c r="P1692" s="109"/>
      <c r="Q1692" s="109"/>
      <c r="S1692" s="111"/>
      <c r="T1692" s="60"/>
      <c r="U1692" s="112"/>
    </row>
    <row r="1693" spans="4:21" s="110" customFormat="1" ht="15.75" customHeight="1">
      <c r="D1693" s="113"/>
      <c r="E1693" s="60"/>
      <c r="F1693" s="60"/>
      <c r="G1693" s="60"/>
      <c r="H1693" s="60"/>
      <c r="I1693" s="60"/>
      <c r="J1693" s="114"/>
      <c r="K1693" s="60"/>
      <c r="L1693" s="109"/>
      <c r="M1693" s="109"/>
      <c r="N1693" s="109"/>
      <c r="O1693" s="109"/>
      <c r="P1693" s="109"/>
      <c r="Q1693" s="109"/>
      <c r="S1693" s="111"/>
      <c r="T1693" s="60"/>
      <c r="U1693" s="112"/>
    </row>
    <row r="1694" spans="4:21" s="110" customFormat="1" ht="15.75" customHeight="1">
      <c r="D1694" s="113"/>
      <c r="E1694" s="60"/>
      <c r="F1694" s="60"/>
      <c r="G1694" s="60"/>
      <c r="H1694" s="60"/>
      <c r="I1694" s="60"/>
      <c r="J1694" s="114"/>
      <c r="K1694" s="60"/>
      <c r="L1694" s="109"/>
      <c r="M1694" s="109"/>
      <c r="N1694" s="109"/>
      <c r="O1694" s="109"/>
      <c r="P1694" s="109"/>
      <c r="Q1694" s="109"/>
      <c r="S1694" s="111"/>
      <c r="T1694" s="60"/>
      <c r="U1694" s="112"/>
    </row>
    <row r="1695" spans="4:21" s="110" customFormat="1" ht="15.75" customHeight="1">
      <c r="D1695" s="113"/>
      <c r="E1695" s="60"/>
      <c r="F1695" s="60"/>
      <c r="G1695" s="60"/>
      <c r="H1695" s="60"/>
      <c r="I1695" s="60"/>
      <c r="J1695" s="114"/>
      <c r="K1695" s="60"/>
      <c r="L1695" s="109"/>
      <c r="M1695" s="109"/>
      <c r="N1695" s="109"/>
      <c r="O1695" s="109"/>
      <c r="P1695" s="109"/>
      <c r="Q1695" s="109"/>
      <c r="S1695" s="111"/>
      <c r="T1695" s="60"/>
      <c r="U1695" s="112"/>
    </row>
    <row r="1696" spans="4:21" s="110" customFormat="1" ht="15.75" customHeight="1">
      <c r="D1696" s="113"/>
      <c r="E1696" s="60"/>
      <c r="F1696" s="60"/>
      <c r="G1696" s="60"/>
      <c r="H1696" s="60"/>
      <c r="I1696" s="60"/>
      <c r="J1696" s="114"/>
      <c r="K1696" s="60"/>
      <c r="L1696" s="109"/>
      <c r="M1696" s="109"/>
      <c r="N1696" s="109"/>
      <c r="O1696" s="109"/>
      <c r="P1696" s="109"/>
      <c r="Q1696" s="109"/>
      <c r="S1696" s="111"/>
      <c r="T1696" s="60"/>
      <c r="U1696" s="112"/>
    </row>
    <row r="1697" spans="4:21" s="110" customFormat="1" ht="15.75" customHeight="1">
      <c r="D1697" s="113"/>
      <c r="E1697" s="60"/>
      <c r="F1697" s="60"/>
      <c r="G1697" s="60"/>
      <c r="H1697" s="60"/>
      <c r="I1697" s="60"/>
      <c r="J1697" s="114"/>
      <c r="K1697" s="60"/>
      <c r="L1697" s="109"/>
      <c r="M1697" s="109"/>
      <c r="N1697" s="109"/>
      <c r="O1697" s="109"/>
      <c r="P1697" s="109"/>
      <c r="Q1697" s="109"/>
      <c r="S1697" s="111"/>
      <c r="T1697" s="60"/>
      <c r="U1697" s="112"/>
    </row>
    <row r="1698" spans="4:21" s="110" customFormat="1" ht="15.75" customHeight="1">
      <c r="D1698" s="113"/>
      <c r="E1698" s="60"/>
      <c r="F1698" s="60"/>
      <c r="G1698" s="60"/>
      <c r="H1698" s="60"/>
      <c r="I1698" s="60"/>
      <c r="J1698" s="114"/>
      <c r="K1698" s="60"/>
      <c r="L1698" s="109"/>
      <c r="M1698" s="109"/>
      <c r="N1698" s="109"/>
      <c r="O1698" s="109"/>
      <c r="P1698" s="109"/>
      <c r="Q1698" s="109"/>
      <c r="S1698" s="111"/>
      <c r="T1698" s="60"/>
      <c r="U1698" s="112"/>
    </row>
    <row r="1699" spans="4:21" s="110" customFormat="1" ht="15.75" customHeight="1">
      <c r="D1699" s="113"/>
      <c r="E1699" s="60"/>
      <c r="F1699" s="60"/>
      <c r="G1699" s="60"/>
      <c r="H1699" s="60"/>
      <c r="I1699" s="60"/>
      <c r="J1699" s="114"/>
      <c r="K1699" s="60"/>
      <c r="L1699" s="109"/>
      <c r="M1699" s="109"/>
      <c r="N1699" s="109"/>
      <c r="O1699" s="109"/>
      <c r="P1699" s="109"/>
      <c r="Q1699" s="109"/>
      <c r="S1699" s="111"/>
      <c r="T1699" s="60"/>
      <c r="U1699" s="112"/>
    </row>
    <row r="1700" spans="4:21" s="110" customFormat="1" ht="15.75" customHeight="1">
      <c r="D1700" s="113"/>
      <c r="E1700" s="60"/>
      <c r="F1700" s="60"/>
      <c r="G1700" s="60"/>
      <c r="H1700" s="60"/>
      <c r="I1700" s="60"/>
      <c r="J1700" s="114"/>
      <c r="K1700" s="60"/>
      <c r="L1700" s="109"/>
      <c r="M1700" s="109"/>
      <c r="N1700" s="109"/>
      <c r="O1700" s="109"/>
      <c r="P1700" s="109"/>
      <c r="Q1700" s="109"/>
      <c r="S1700" s="111"/>
      <c r="T1700" s="60"/>
      <c r="U1700" s="112"/>
    </row>
    <row r="1701" spans="4:21" s="110" customFormat="1" ht="15.75" customHeight="1">
      <c r="D1701" s="113"/>
      <c r="E1701" s="60"/>
      <c r="F1701" s="60"/>
      <c r="G1701" s="60"/>
      <c r="H1701" s="60"/>
      <c r="I1701" s="60"/>
      <c r="J1701" s="114"/>
      <c r="K1701" s="60"/>
      <c r="L1701" s="109"/>
      <c r="M1701" s="109"/>
      <c r="N1701" s="109"/>
      <c r="O1701" s="109"/>
      <c r="P1701" s="109"/>
      <c r="Q1701" s="109"/>
      <c r="S1701" s="111"/>
      <c r="T1701" s="60"/>
      <c r="U1701" s="112"/>
    </row>
    <row r="1702" spans="4:21" s="110" customFormat="1" ht="15.75" customHeight="1">
      <c r="D1702" s="113"/>
      <c r="E1702" s="60"/>
      <c r="F1702" s="60"/>
      <c r="G1702" s="60"/>
      <c r="H1702" s="60"/>
      <c r="I1702" s="60"/>
      <c r="J1702" s="114"/>
      <c r="K1702" s="60"/>
      <c r="L1702" s="109"/>
      <c r="M1702" s="109"/>
      <c r="N1702" s="109"/>
      <c r="O1702" s="109"/>
      <c r="P1702" s="109"/>
      <c r="Q1702" s="109"/>
      <c r="S1702" s="111"/>
      <c r="T1702" s="60"/>
      <c r="U1702" s="112"/>
    </row>
    <row r="1703" spans="4:21" s="110" customFormat="1" ht="15.75" customHeight="1">
      <c r="D1703" s="113"/>
      <c r="E1703" s="60"/>
      <c r="F1703" s="60"/>
      <c r="G1703" s="60"/>
      <c r="H1703" s="60"/>
      <c r="I1703" s="60"/>
      <c r="J1703" s="114"/>
      <c r="K1703" s="60"/>
      <c r="L1703" s="109"/>
      <c r="M1703" s="109"/>
      <c r="N1703" s="109"/>
      <c r="O1703" s="109"/>
      <c r="P1703" s="109"/>
      <c r="Q1703" s="109"/>
      <c r="S1703" s="111"/>
      <c r="T1703" s="60"/>
      <c r="U1703" s="112"/>
    </row>
    <row r="1704" spans="4:21" s="110" customFormat="1" ht="15.75" customHeight="1">
      <c r="D1704" s="113"/>
      <c r="E1704" s="60"/>
      <c r="F1704" s="60"/>
      <c r="G1704" s="60"/>
      <c r="H1704" s="60"/>
      <c r="I1704" s="60"/>
      <c r="J1704" s="114"/>
      <c r="K1704" s="60"/>
      <c r="L1704" s="109"/>
      <c r="M1704" s="109"/>
      <c r="N1704" s="109"/>
      <c r="O1704" s="109"/>
      <c r="P1704" s="109"/>
      <c r="Q1704" s="109"/>
      <c r="S1704" s="111"/>
      <c r="T1704" s="60"/>
      <c r="U1704" s="112"/>
    </row>
    <row r="1705" spans="4:21" s="110" customFormat="1" ht="15.75" customHeight="1">
      <c r="D1705" s="113"/>
      <c r="E1705" s="60"/>
      <c r="F1705" s="60"/>
      <c r="G1705" s="60"/>
      <c r="H1705" s="60"/>
      <c r="I1705" s="60"/>
      <c r="J1705" s="114"/>
      <c r="K1705" s="60"/>
      <c r="L1705" s="109"/>
      <c r="M1705" s="109"/>
      <c r="N1705" s="109"/>
      <c r="O1705" s="109"/>
      <c r="P1705" s="109"/>
      <c r="Q1705" s="109"/>
      <c r="S1705" s="111"/>
      <c r="T1705" s="60"/>
      <c r="U1705" s="112"/>
    </row>
    <row r="1706" spans="4:21" s="110" customFormat="1" ht="15.75" customHeight="1">
      <c r="D1706" s="113"/>
      <c r="E1706" s="60"/>
      <c r="F1706" s="60"/>
      <c r="G1706" s="60"/>
      <c r="H1706" s="60"/>
      <c r="I1706" s="60"/>
      <c r="J1706" s="114"/>
      <c r="K1706" s="60"/>
      <c r="L1706" s="109"/>
      <c r="M1706" s="109"/>
      <c r="N1706" s="109"/>
      <c r="O1706" s="109"/>
      <c r="P1706" s="109"/>
      <c r="Q1706" s="109"/>
      <c r="S1706" s="111"/>
      <c r="T1706" s="60"/>
      <c r="U1706" s="112"/>
    </row>
    <row r="1707" spans="4:21" s="110" customFormat="1" ht="15.75" customHeight="1">
      <c r="D1707" s="113"/>
      <c r="E1707" s="60"/>
      <c r="F1707" s="60"/>
      <c r="G1707" s="60"/>
      <c r="H1707" s="60"/>
      <c r="I1707" s="60"/>
      <c r="J1707" s="114"/>
      <c r="K1707" s="60"/>
      <c r="L1707" s="109"/>
      <c r="M1707" s="109"/>
      <c r="N1707" s="109"/>
      <c r="O1707" s="109"/>
      <c r="P1707" s="109"/>
      <c r="Q1707" s="109"/>
      <c r="S1707" s="111"/>
      <c r="T1707" s="60"/>
      <c r="U1707" s="112"/>
    </row>
    <row r="1708" spans="4:21" s="110" customFormat="1" ht="15.75" customHeight="1">
      <c r="D1708" s="113"/>
      <c r="E1708" s="60"/>
      <c r="F1708" s="60"/>
      <c r="G1708" s="60"/>
      <c r="H1708" s="60"/>
      <c r="I1708" s="60"/>
      <c r="J1708" s="114"/>
      <c r="K1708" s="60"/>
      <c r="L1708" s="109"/>
      <c r="M1708" s="109"/>
      <c r="N1708" s="109"/>
      <c r="O1708" s="109"/>
      <c r="P1708" s="109"/>
      <c r="Q1708" s="109"/>
      <c r="S1708" s="111"/>
      <c r="T1708" s="60"/>
      <c r="U1708" s="112"/>
    </row>
    <row r="1709" spans="4:21" s="110" customFormat="1" ht="15.75" customHeight="1">
      <c r="D1709" s="113"/>
      <c r="E1709" s="60"/>
      <c r="F1709" s="60"/>
      <c r="G1709" s="60"/>
      <c r="H1709" s="60"/>
      <c r="I1709" s="60"/>
      <c r="J1709" s="114"/>
      <c r="K1709" s="60"/>
      <c r="L1709" s="109"/>
      <c r="M1709" s="109"/>
      <c r="N1709" s="109"/>
      <c r="O1709" s="109"/>
      <c r="P1709" s="109"/>
      <c r="Q1709" s="109"/>
      <c r="S1709" s="111"/>
      <c r="T1709" s="60"/>
      <c r="U1709" s="112"/>
    </row>
    <row r="1710" spans="4:21" s="110" customFormat="1" ht="15.75" customHeight="1">
      <c r="D1710" s="113"/>
      <c r="E1710" s="60"/>
      <c r="F1710" s="60"/>
      <c r="G1710" s="60"/>
      <c r="H1710" s="60"/>
      <c r="I1710" s="60"/>
      <c r="J1710" s="114"/>
      <c r="K1710" s="60"/>
      <c r="L1710" s="109"/>
      <c r="M1710" s="109"/>
      <c r="N1710" s="109"/>
      <c r="O1710" s="109"/>
      <c r="P1710" s="109"/>
      <c r="Q1710" s="109"/>
      <c r="S1710" s="111"/>
      <c r="T1710" s="60"/>
      <c r="U1710" s="112"/>
    </row>
    <row r="1711" spans="4:21" s="110" customFormat="1" ht="15.75" customHeight="1">
      <c r="D1711" s="113"/>
      <c r="E1711" s="60"/>
      <c r="F1711" s="60"/>
      <c r="G1711" s="60"/>
      <c r="H1711" s="60"/>
      <c r="I1711" s="60"/>
      <c r="J1711" s="114"/>
      <c r="K1711" s="60"/>
      <c r="L1711" s="109"/>
      <c r="M1711" s="109"/>
      <c r="N1711" s="109"/>
      <c r="O1711" s="109"/>
      <c r="P1711" s="109"/>
      <c r="Q1711" s="109"/>
      <c r="S1711" s="111"/>
      <c r="T1711" s="60"/>
      <c r="U1711" s="112"/>
    </row>
    <row r="1712" spans="4:21" s="110" customFormat="1" ht="15.75" customHeight="1">
      <c r="D1712" s="113"/>
      <c r="E1712" s="60"/>
      <c r="F1712" s="60"/>
      <c r="G1712" s="60"/>
      <c r="H1712" s="60"/>
      <c r="I1712" s="60"/>
      <c r="J1712" s="114"/>
      <c r="K1712" s="60"/>
      <c r="L1712" s="109"/>
      <c r="M1712" s="109"/>
      <c r="N1712" s="109"/>
      <c r="O1712" s="109"/>
      <c r="P1712" s="109"/>
      <c r="Q1712" s="109"/>
      <c r="S1712" s="111"/>
      <c r="T1712" s="60"/>
      <c r="U1712" s="112"/>
    </row>
    <row r="1713" spans="4:21" s="110" customFormat="1" ht="15.75" customHeight="1">
      <c r="D1713" s="113"/>
      <c r="E1713" s="60"/>
      <c r="F1713" s="60"/>
      <c r="G1713" s="60"/>
      <c r="H1713" s="60"/>
      <c r="I1713" s="60"/>
      <c r="J1713" s="114"/>
      <c r="K1713" s="60"/>
      <c r="L1713" s="109"/>
      <c r="M1713" s="109"/>
      <c r="N1713" s="109"/>
      <c r="O1713" s="109"/>
      <c r="P1713" s="109"/>
      <c r="Q1713" s="109"/>
      <c r="S1713" s="111"/>
      <c r="T1713" s="60"/>
      <c r="U1713" s="112"/>
    </row>
    <row r="1714" spans="4:21" s="110" customFormat="1" ht="15.75" customHeight="1">
      <c r="D1714" s="113"/>
      <c r="E1714" s="60"/>
      <c r="F1714" s="60"/>
      <c r="G1714" s="60"/>
      <c r="H1714" s="60"/>
      <c r="I1714" s="60"/>
      <c r="J1714" s="114"/>
      <c r="K1714" s="60"/>
      <c r="L1714" s="109"/>
      <c r="M1714" s="109"/>
      <c r="N1714" s="109"/>
      <c r="O1714" s="109"/>
      <c r="P1714" s="109"/>
      <c r="Q1714" s="109"/>
      <c r="S1714" s="111"/>
      <c r="T1714" s="60"/>
      <c r="U1714" s="112"/>
    </row>
    <row r="1715" spans="4:21" s="110" customFormat="1" ht="15.75" customHeight="1">
      <c r="D1715" s="113"/>
      <c r="E1715" s="60"/>
      <c r="F1715" s="60"/>
      <c r="G1715" s="60"/>
      <c r="H1715" s="60"/>
      <c r="I1715" s="60"/>
      <c r="J1715" s="114"/>
      <c r="K1715" s="60"/>
      <c r="L1715" s="109"/>
      <c r="M1715" s="109"/>
      <c r="N1715" s="109"/>
      <c r="O1715" s="109"/>
      <c r="P1715" s="109"/>
      <c r="Q1715" s="109"/>
      <c r="S1715" s="111"/>
      <c r="T1715" s="60"/>
      <c r="U1715" s="112"/>
    </row>
    <row r="1716" spans="4:21" s="110" customFormat="1" ht="15.75" customHeight="1">
      <c r="D1716" s="113"/>
      <c r="E1716" s="60"/>
      <c r="F1716" s="60"/>
      <c r="G1716" s="60"/>
      <c r="H1716" s="60"/>
      <c r="I1716" s="60"/>
      <c r="J1716" s="114"/>
      <c r="K1716" s="60"/>
      <c r="L1716" s="109"/>
      <c r="M1716" s="109"/>
      <c r="N1716" s="109"/>
      <c r="O1716" s="109"/>
      <c r="P1716" s="109"/>
      <c r="Q1716" s="109"/>
      <c r="S1716" s="111"/>
      <c r="T1716" s="60"/>
      <c r="U1716" s="112"/>
    </row>
    <row r="1717" spans="4:21" s="110" customFormat="1" ht="15.75" customHeight="1">
      <c r="D1717" s="113"/>
      <c r="E1717" s="60"/>
      <c r="F1717" s="60"/>
      <c r="G1717" s="60"/>
      <c r="H1717" s="60"/>
      <c r="I1717" s="60"/>
      <c r="J1717" s="114"/>
      <c r="K1717" s="60"/>
      <c r="L1717" s="109"/>
      <c r="M1717" s="109"/>
      <c r="N1717" s="109"/>
      <c r="O1717" s="109"/>
      <c r="P1717" s="109"/>
      <c r="Q1717" s="109"/>
      <c r="S1717" s="111"/>
      <c r="T1717" s="60"/>
      <c r="U1717" s="112"/>
    </row>
    <row r="1718" spans="4:21" s="110" customFormat="1" ht="15.75" customHeight="1">
      <c r="D1718" s="113"/>
      <c r="E1718" s="60"/>
      <c r="F1718" s="60"/>
      <c r="G1718" s="60"/>
      <c r="H1718" s="60"/>
      <c r="I1718" s="60"/>
      <c r="J1718" s="114"/>
      <c r="K1718" s="60"/>
      <c r="L1718" s="109"/>
      <c r="M1718" s="109"/>
      <c r="N1718" s="109"/>
      <c r="O1718" s="109"/>
      <c r="P1718" s="109"/>
      <c r="Q1718" s="109"/>
      <c r="S1718" s="111"/>
      <c r="T1718" s="60"/>
      <c r="U1718" s="112"/>
    </row>
    <row r="1719" spans="4:21" s="110" customFormat="1" ht="15.75" customHeight="1">
      <c r="D1719" s="113"/>
      <c r="E1719" s="60"/>
      <c r="F1719" s="60"/>
      <c r="G1719" s="60"/>
      <c r="H1719" s="60"/>
      <c r="I1719" s="60"/>
      <c r="J1719" s="114"/>
      <c r="K1719" s="60"/>
      <c r="L1719" s="109"/>
      <c r="M1719" s="109"/>
      <c r="N1719" s="109"/>
      <c r="O1719" s="109"/>
      <c r="P1719" s="109"/>
      <c r="Q1719" s="109"/>
      <c r="S1719" s="111"/>
      <c r="T1719" s="60"/>
      <c r="U1719" s="112"/>
    </row>
    <row r="1720" spans="4:21" s="110" customFormat="1" ht="15.75" customHeight="1">
      <c r="D1720" s="113"/>
      <c r="E1720" s="60"/>
      <c r="F1720" s="60"/>
      <c r="G1720" s="60"/>
      <c r="H1720" s="60"/>
      <c r="I1720" s="60"/>
      <c r="J1720" s="114"/>
      <c r="K1720" s="60"/>
      <c r="L1720" s="109"/>
      <c r="M1720" s="109"/>
      <c r="N1720" s="109"/>
      <c r="O1720" s="109"/>
      <c r="P1720" s="109"/>
      <c r="Q1720" s="109"/>
      <c r="S1720" s="111"/>
      <c r="T1720" s="60"/>
      <c r="U1720" s="112"/>
    </row>
    <row r="1721" spans="4:21" s="110" customFormat="1" ht="15.75" customHeight="1">
      <c r="D1721" s="113"/>
      <c r="E1721" s="60"/>
      <c r="F1721" s="60"/>
      <c r="G1721" s="60"/>
      <c r="H1721" s="60"/>
      <c r="I1721" s="60"/>
      <c r="J1721" s="114"/>
      <c r="K1721" s="60"/>
      <c r="L1721" s="109"/>
      <c r="M1721" s="109"/>
      <c r="N1721" s="109"/>
      <c r="O1721" s="109"/>
      <c r="P1721" s="109"/>
      <c r="Q1721" s="109"/>
      <c r="S1721" s="111"/>
      <c r="T1721" s="60"/>
      <c r="U1721" s="112"/>
    </row>
    <row r="1722" spans="4:21" s="110" customFormat="1" ht="15.75" customHeight="1">
      <c r="D1722" s="113"/>
      <c r="E1722" s="60"/>
      <c r="F1722" s="60"/>
      <c r="G1722" s="60"/>
      <c r="H1722" s="60"/>
      <c r="I1722" s="60"/>
      <c r="J1722" s="114"/>
      <c r="K1722" s="60"/>
      <c r="L1722" s="109"/>
      <c r="M1722" s="109"/>
      <c r="N1722" s="109"/>
      <c r="O1722" s="109"/>
      <c r="P1722" s="109"/>
      <c r="Q1722" s="109"/>
      <c r="S1722" s="111"/>
      <c r="T1722" s="60"/>
      <c r="U1722" s="112"/>
    </row>
    <row r="1723" spans="4:21" s="110" customFormat="1" ht="15.75" customHeight="1">
      <c r="D1723" s="113"/>
      <c r="E1723" s="60"/>
      <c r="F1723" s="60"/>
      <c r="G1723" s="60"/>
      <c r="H1723" s="60"/>
      <c r="I1723" s="60"/>
      <c r="J1723" s="114"/>
      <c r="K1723" s="60"/>
      <c r="L1723" s="109"/>
      <c r="M1723" s="109"/>
      <c r="N1723" s="109"/>
      <c r="O1723" s="109"/>
      <c r="P1723" s="109"/>
      <c r="Q1723" s="109"/>
      <c r="S1723" s="111"/>
      <c r="T1723" s="60"/>
      <c r="U1723" s="112"/>
    </row>
    <row r="1724" spans="4:21" s="110" customFormat="1" ht="15.75" customHeight="1">
      <c r="D1724" s="113"/>
      <c r="E1724" s="60"/>
      <c r="F1724" s="60"/>
      <c r="G1724" s="60"/>
      <c r="H1724" s="60"/>
      <c r="I1724" s="60"/>
      <c r="J1724" s="114"/>
      <c r="K1724" s="60"/>
      <c r="L1724" s="109"/>
      <c r="M1724" s="109"/>
      <c r="N1724" s="109"/>
      <c r="O1724" s="109"/>
      <c r="P1724" s="109"/>
      <c r="Q1724" s="109"/>
      <c r="S1724" s="111"/>
      <c r="T1724" s="60"/>
      <c r="U1724" s="112"/>
    </row>
    <row r="1725" spans="4:21" s="110" customFormat="1" ht="15.75" customHeight="1">
      <c r="D1725" s="113"/>
      <c r="E1725" s="60"/>
      <c r="F1725" s="60"/>
      <c r="G1725" s="60"/>
      <c r="H1725" s="60"/>
      <c r="I1725" s="60"/>
      <c r="J1725" s="114"/>
      <c r="K1725" s="60"/>
      <c r="L1725" s="109"/>
      <c r="M1725" s="109"/>
      <c r="N1725" s="109"/>
      <c r="O1725" s="109"/>
      <c r="P1725" s="109"/>
      <c r="Q1725" s="109"/>
      <c r="S1725" s="111"/>
      <c r="T1725" s="60"/>
      <c r="U1725" s="112"/>
    </row>
    <row r="1726" spans="4:21" s="110" customFormat="1" ht="15.75" customHeight="1">
      <c r="D1726" s="113"/>
      <c r="E1726" s="60"/>
      <c r="F1726" s="60"/>
      <c r="G1726" s="60"/>
      <c r="H1726" s="60"/>
      <c r="I1726" s="60"/>
      <c r="J1726" s="114"/>
      <c r="K1726" s="60"/>
      <c r="L1726" s="109"/>
      <c r="M1726" s="109"/>
      <c r="N1726" s="109"/>
      <c r="O1726" s="109"/>
      <c r="P1726" s="109"/>
      <c r="Q1726" s="109"/>
      <c r="S1726" s="111"/>
      <c r="T1726" s="60"/>
      <c r="U1726" s="112"/>
    </row>
    <row r="1727" spans="4:21" s="110" customFormat="1" ht="15.75" customHeight="1">
      <c r="D1727" s="113"/>
      <c r="E1727" s="60"/>
      <c r="F1727" s="60"/>
      <c r="G1727" s="60"/>
      <c r="H1727" s="60"/>
      <c r="I1727" s="60"/>
      <c r="J1727" s="114"/>
      <c r="K1727" s="60"/>
      <c r="L1727" s="109"/>
      <c r="M1727" s="109"/>
      <c r="N1727" s="109"/>
      <c r="O1727" s="109"/>
      <c r="P1727" s="109"/>
      <c r="Q1727" s="109"/>
      <c r="S1727" s="111"/>
      <c r="T1727" s="60"/>
      <c r="U1727" s="112"/>
    </row>
    <row r="1728" spans="4:21" s="110" customFormat="1" ht="15.75" customHeight="1">
      <c r="D1728" s="113"/>
      <c r="E1728" s="60"/>
      <c r="F1728" s="60"/>
      <c r="G1728" s="60"/>
      <c r="H1728" s="60"/>
      <c r="I1728" s="60"/>
      <c r="J1728" s="114"/>
      <c r="K1728" s="60"/>
      <c r="L1728" s="109"/>
      <c r="M1728" s="109"/>
      <c r="N1728" s="109"/>
      <c r="O1728" s="109"/>
      <c r="P1728" s="109"/>
      <c r="Q1728" s="109"/>
      <c r="S1728" s="111"/>
      <c r="T1728" s="60"/>
      <c r="U1728" s="112"/>
    </row>
    <row r="1729" spans="4:21" s="110" customFormat="1" ht="15.75" customHeight="1">
      <c r="D1729" s="113"/>
      <c r="E1729" s="60"/>
      <c r="F1729" s="60"/>
      <c r="G1729" s="60"/>
      <c r="H1729" s="60"/>
      <c r="I1729" s="60"/>
      <c r="J1729" s="114"/>
      <c r="K1729" s="60"/>
      <c r="L1729" s="109"/>
      <c r="M1729" s="109"/>
      <c r="N1729" s="109"/>
      <c r="O1729" s="109"/>
      <c r="P1729" s="109"/>
      <c r="Q1729" s="109"/>
      <c r="S1729" s="111"/>
      <c r="T1729" s="60"/>
      <c r="U1729" s="112"/>
    </row>
    <row r="1730" spans="4:21" s="110" customFormat="1" ht="15.75" customHeight="1">
      <c r="D1730" s="113"/>
      <c r="E1730" s="60"/>
      <c r="F1730" s="60"/>
      <c r="G1730" s="60"/>
      <c r="H1730" s="60"/>
      <c r="I1730" s="60"/>
      <c r="J1730" s="114"/>
      <c r="K1730" s="60"/>
      <c r="L1730" s="109"/>
      <c r="M1730" s="109"/>
      <c r="N1730" s="109"/>
      <c r="O1730" s="109"/>
      <c r="P1730" s="109"/>
      <c r="Q1730" s="109"/>
      <c r="S1730" s="111"/>
      <c r="T1730" s="60"/>
      <c r="U1730" s="112"/>
    </row>
    <row r="1731" spans="4:21" s="110" customFormat="1" ht="15.75" customHeight="1">
      <c r="D1731" s="113"/>
      <c r="E1731" s="60"/>
      <c r="F1731" s="60"/>
      <c r="G1731" s="60"/>
      <c r="H1731" s="60"/>
      <c r="I1731" s="60"/>
      <c r="J1731" s="114"/>
      <c r="K1731" s="60"/>
      <c r="L1731" s="109"/>
      <c r="M1731" s="109"/>
      <c r="N1731" s="109"/>
      <c r="O1731" s="109"/>
      <c r="P1731" s="109"/>
      <c r="Q1731" s="109"/>
      <c r="S1731" s="111"/>
      <c r="T1731" s="60"/>
      <c r="U1731" s="112"/>
    </row>
    <row r="1732" spans="4:21" s="110" customFormat="1" ht="15.75" customHeight="1">
      <c r="D1732" s="113"/>
      <c r="E1732" s="60"/>
      <c r="F1732" s="60"/>
      <c r="G1732" s="60"/>
      <c r="H1732" s="60"/>
      <c r="I1732" s="60"/>
      <c r="J1732" s="114"/>
      <c r="K1732" s="60"/>
      <c r="L1732" s="109"/>
      <c r="M1732" s="109"/>
      <c r="N1732" s="109"/>
      <c r="O1732" s="109"/>
      <c r="P1732" s="109"/>
      <c r="Q1732" s="109"/>
      <c r="S1732" s="111"/>
      <c r="T1732" s="60"/>
      <c r="U1732" s="112"/>
    </row>
    <row r="1733" spans="4:21" s="110" customFormat="1" ht="15.75" customHeight="1">
      <c r="D1733" s="113"/>
      <c r="E1733" s="60"/>
      <c r="F1733" s="60"/>
      <c r="G1733" s="60"/>
      <c r="H1733" s="60"/>
      <c r="I1733" s="60"/>
      <c r="J1733" s="114"/>
      <c r="K1733" s="60"/>
      <c r="L1733" s="109"/>
      <c r="M1733" s="109"/>
      <c r="N1733" s="109"/>
      <c r="O1733" s="109"/>
      <c r="P1733" s="109"/>
      <c r="Q1733" s="109"/>
      <c r="S1733" s="111"/>
      <c r="T1733" s="60"/>
      <c r="U1733" s="112"/>
    </row>
    <row r="1734" spans="4:21" s="110" customFormat="1" ht="15.75" customHeight="1">
      <c r="D1734" s="113"/>
      <c r="E1734" s="60"/>
      <c r="F1734" s="60"/>
      <c r="G1734" s="60"/>
      <c r="H1734" s="60"/>
      <c r="I1734" s="60"/>
      <c r="J1734" s="114"/>
      <c r="K1734" s="60"/>
      <c r="L1734" s="109"/>
      <c r="M1734" s="109"/>
      <c r="N1734" s="109"/>
      <c r="O1734" s="109"/>
      <c r="P1734" s="109"/>
      <c r="Q1734" s="109"/>
      <c r="S1734" s="111"/>
      <c r="T1734" s="60"/>
      <c r="U1734" s="112"/>
    </row>
    <row r="1735" spans="4:21" s="110" customFormat="1" ht="15.75" customHeight="1">
      <c r="D1735" s="113"/>
      <c r="E1735" s="60"/>
      <c r="F1735" s="60"/>
      <c r="G1735" s="60"/>
      <c r="H1735" s="60"/>
      <c r="I1735" s="60"/>
      <c r="J1735" s="114"/>
      <c r="K1735" s="60"/>
      <c r="L1735" s="109"/>
      <c r="M1735" s="109"/>
      <c r="N1735" s="109"/>
      <c r="O1735" s="109"/>
      <c r="P1735" s="109"/>
      <c r="Q1735" s="109"/>
      <c r="S1735" s="111"/>
      <c r="T1735" s="60"/>
      <c r="U1735" s="112"/>
    </row>
    <row r="1736" spans="4:21" s="110" customFormat="1" ht="15.75" customHeight="1">
      <c r="D1736" s="113"/>
      <c r="E1736" s="60"/>
      <c r="F1736" s="60"/>
      <c r="G1736" s="60"/>
      <c r="H1736" s="60"/>
      <c r="I1736" s="60"/>
      <c r="J1736" s="114"/>
      <c r="K1736" s="60"/>
      <c r="L1736" s="109"/>
      <c r="M1736" s="109"/>
      <c r="N1736" s="109"/>
      <c r="O1736" s="109"/>
      <c r="P1736" s="109"/>
      <c r="Q1736" s="109"/>
      <c r="S1736" s="111"/>
      <c r="T1736" s="60"/>
      <c r="U1736" s="112"/>
    </row>
    <row r="1737" spans="4:21" s="110" customFormat="1" ht="15.75" customHeight="1">
      <c r="D1737" s="113"/>
      <c r="E1737" s="60"/>
      <c r="F1737" s="60"/>
      <c r="G1737" s="60"/>
      <c r="H1737" s="60"/>
      <c r="I1737" s="60"/>
      <c r="J1737" s="114"/>
      <c r="K1737" s="60"/>
      <c r="L1737" s="109"/>
      <c r="M1737" s="109"/>
      <c r="N1737" s="109"/>
      <c r="O1737" s="109"/>
      <c r="P1737" s="109"/>
      <c r="Q1737" s="109"/>
      <c r="S1737" s="111"/>
      <c r="T1737" s="60"/>
      <c r="U1737" s="112"/>
    </row>
    <row r="1738" spans="4:21" s="110" customFormat="1" ht="15.75" customHeight="1">
      <c r="D1738" s="113"/>
      <c r="E1738" s="60"/>
      <c r="F1738" s="60"/>
      <c r="G1738" s="60"/>
      <c r="H1738" s="60"/>
      <c r="I1738" s="60"/>
      <c r="J1738" s="114"/>
      <c r="K1738" s="60"/>
      <c r="L1738" s="109"/>
      <c r="M1738" s="109"/>
      <c r="N1738" s="109"/>
      <c r="O1738" s="109"/>
      <c r="P1738" s="109"/>
      <c r="Q1738" s="109"/>
      <c r="S1738" s="111"/>
      <c r="T1738" s="60"/>
      <c r="U1738" s="112"/>
    </row>
    <row r="1739" spans="4:21" s="110" customFormat="1" ht="15.75" customHeight="1">
      <c r="D1739" s="113"/>
      <c r="E1739" s="60"/>
      <c r="F1739" s="60"/>
      <c r="G1739" s="60"/>
      <c r="H1739" s="60"/>
      <c r="I1739" s="60"/>
      <c r="J1739" s="114"/>
      <c r="K1739" s="60"/>
      <c r="L1739" s="109"/>
      <c r="M1739" s="109"/>
      <c r="N1739" s="109"/>
      <c r="O1739" s="109"/>
      <c r="P1739" s="109"/>
      <c r="Q1739" s="109"/>
      <c r="S1739" s="111"/>
      <c r="T1739" s="60"/>
      <c r="U1739" s="112"/>
    </row>
    <row r="1740" spans="4:21" s="110" customFormat="1" ht="15.75" customHeight="1">
      <c r="D1740" s="113"/>
      <c r="E1740" s="60"/>
      <c r="F1740" s="60"/>
      <c r="G1740" s="60"/>
      <c r="H1740" s="60"/>
      <c r="I1740" s="60"/>
      <c r="J1740" s="114"/>
      <c r="K1740" s="60"/>
      <c r="L1740" s="109"/>
      <c r="M1740" s="109"/>
      <c r="N1740" s="109"/>
      <c r="O1740" s="109"/>
      <c r="P1740" s="109"/>
      <c r="Q1740" s="109"/>
      <c r="S1740" s="111"/>
      <c r="T1740" s="60"/>
      <c r="U1740" s="112"/>
    </row>
    <row r="1741" spans="4:21" s="110" customFormat="1" ht="15.75" customHeight="1">
      <c r="D1741" s="113"/>
      <c r="E1741" s="60"/>
      <c r="F1741" s="60"/>
      <c r="G1741" s="60"/>
      <c r="H1741" s="60"/>
      <c r="I1741" s="60"/>
      <c r="J1741" s="114"/>
      <c r="K1741" s="60"/>
      <c r="L1741" s="109"/>
      <c r="M1741" s="109"/>
      <c r="N1741" s="109"/>
      <c r="O1741" s="109"/>
      <c r="P1741" s="109"/>
      <c r="Q1741" s="109"/>
      <c r="S1741" s="111"/>
      <c r="T1741" s="60"/>
      <c r="U1741" s="112"/>
    </row>
    <row r="1742" spans="4:21" s="110" customFormat="1" ht="15.75" customHeight="1">
      <c r="D1742" s="113"/>
      <c r="E1742" s="60"/>
      <c r="F1742" s="60"/>
      <c r="G1742" s="60"/>
      <c r="H1742" s="60"/>
      <c r="I1742" s="60"/>
      <c r="J1742" s="114"/>
      <c r="K1742" s="60"/>
      <c r="L1742" s="109"/>
      <c r="M1742" s="109"/>
      <c r="N1742" s="109"/>
      <c r="O1742" s="109"/>
      <c r="P1742" s="109"/>
      <c r="Q1742" s="109"/>
      <c r="S1742" s="111"/>
      <c r="T1742" s="60"/>
      <c r="U1742" s="112"/>
    </row>
    <row r="1743" spans="4:21" s="110" customFormat="1" ht="15.75" customHeight="1">
      <c r="D1743" s="113"/>
      <c r="E1743" s="60"/>
      <c r="F1743" s="60"/>
      <c r="G1743" s="60"/>
      <c r="H1743" s="60"/>
      <c r="I1743" s="60"/>
      <c r="J1743" s="114"/>
      <c r="K1743" s="60"/>
      <c r="L1743" s="109"/>
      <c r="M1743" s="109"/>
      <c r="N1743" s="109"/>
      <c r="O1743" s="109"/>
      <c r="P1743" s="109"/>
      <c r="Q1743" s="109"/>
      <c r="S1743" s="111"/>
      <c r="T1743" s="60"/>
      <c r="U1743" s="112"/>
    </row>
    <row r="1744" spans="4:21" s="110" customFormat="1" ht="15.75" customHeight="1">
      <c r="D1744" s="113"/>
      <c r="E1744" s="60"/>
      <c r="F1744" s="60"/>
      <c r="G1744" s="60"/>
      <c r="H1744" s="60"/>
      <c r="I1744" s="60"/>
      <c r="J1744" s="114"/>
      <c r="K1744" s="60"/>
      <c r="L1744" s="109"/>
      <c r="M1744" s="109"/>
      <c r="N1744" s="109"/>
      <c r="O1744" s="109"/>
      <c r="P1744" s="109"/>
      <c r="Q1744" s="109"/>
      <c r="S1744" s="111"/>
      <c r="T1744" s="60"/>
      <c r="U1744" s="112"/>
    </row>
    <row r="1745" spans="4:21" s="110" customFormat="1" ht="15.75" customHeight="1">
      <c r="D1745" s="113"/>
      <c r="E1745" s="60"/>
      <c r="F1745" s="60"/>
      <c r="G1745" s="60"/>
      <c r="H1745" s="60"/>
      <c r="I1745" s="60"/>
      <c r="J1745" s="114"/>
      <c r="K1745" s="60"/>
      <c r="L1745" s="109"/>
      <c r="M1745" s="109"/>
      <c r="N1745" s="109"/>
      <c r="O1745" s="109"/>
      <c r="P1745" s="109"/>
      <c r="Q1745" s="109"/>
      <c r="S1745" s="111"/>
      <c r="T1745" s="60"/>
      <c r="U1745" s="112"/>
    </row>
    <row r="1746" spans="4:21" s="110" customFormat="1" ht="15.75" customHeight="1">
      <c r="D1746" s="113"/>
      <c r="E1746" s="60"/>
      <c r="F1746" s="60"/>
      <c r="G1746" s="60"/>
      <c r="H1746" s="60"/>
      <c r="I1746" s="60"/>
      <c r="J1746" s="114"/>
      <c r="K1746" s="60"/>
      <c r="L1746" s="109"/>
      <c r="M1746" s="109"/>
      <c r="N1746" s="109"/>
      <c r="O1746" s="109"/>
      <c r="P1746" s="109"/>
      <c r="Q1746" s="109"/>
      <c r="S1746" s="111"/>
      <c r="T1746" s="60"/>
      <c r="U1746" s="112"/>
    </row>
    <row r="1747" spans="4:21" s="110" customFormat="1" ht="15.75" customHeight="1">
      <c r="D1747" s="113"/>
      <c r="E1747" s="60"/>
      <c r="F1747" s="60"/>
      <c r="G1747" s="60"/>
      <c r="H1747" s="60"/>
      <c r="I1747" s="60"/>
      <c r="J1747" s="114"/>
      <c r="K1747" s="60"/>
      <c r="L1747" s="109"/>
      <c r="M1747" s="109"/>
      <c r="N1747" s="109"/>
      <c r="O1747" s="109"/>
      <c r="P1747" s="109"/>
      <c r="Q1747" s="109"/>
      <c r="S1747" s="111"/>
      <c r="T1747" s="60"/>
      <c r="U1747" s="112"/>
    </row>
    <row r="1748" spans="4:21" s="110" customFormat="1" ht="15.75" customHeight="1">
      <c r="D1748" s="113"/>
      <c r="E1748" s="60"/>
      <c r="F1748" s="60"/>
      <c r="G1748" s="60"/>
      <c r="H1748" s="60"/>
      <c r="I1748" s="60"/>
      <c r="J1748" s="114"/>
      <c r="K1748" s="60"/>
      <c r="L1748" s="109"/>
      <c r="M1748" s="109"/>
      <c r="N1748" s="109"/>
      <c r="O1748" s="109"/>
      <c r="P1748" s="109"/>
      <c r="Q1748" s="109"/>
      <c r="S1748" s="111"/>
      <c r="T1748" s="60"/>
      <c r="U1748" s="112"/>
    </row>
    <row r="1749" spans="4:21" s="110" customFormat="1" ht="15.75" customHeight="1">
      <c r="D1749" s="113"/>
      <c r="E1749" s="60"/>
      <c r="F1749" s="60"/>
      <c r="G1749" s="60"/>
      <c r="H1749" s="60"/>
      <c r="I1749" s="60"/>
      <c r="J1749" s="114"/>
      <c r="K1749" s="60"/>
      <c r="L1749" s="109"/>
      <c r="M1749" s="109"/>
      <c r="N1749" s="109"/>
      <c r="O1749" s="109"/>
      <c r="P1749" s="109"/>
      <c r="Q1749" s="109"/>
      <c r="S1749" s="111"/>
      <c r="T1749" s="60"/>
      <c r="U1749" s="112"/>
    </row>
    <row r="1750" spans="4:21" s="110" customFormat="1" ht="15.75" customHeight="1">
      <c r="D1750" s="113"/>
      <c r="E1750" s="60"/>
      <c r="F1750" s="60"/>
      <c r="G1750" s="60"/>
      <c r="H1750" s="60"/>
      <c r="I1750" s="60"/>
      <c r="J1750" s="114"/>
      <c r="K1750" s="60"/>
      <c r="L1750" s="109"/>
      <c r="M1750" s="109"/>
      <c r="N1750" s="109"/>
      <c r="O1750" s="109"/>
      <c r="P1750" s="109"/>
      <c r="Q1750" s="109"/>
      <c r="S1750" s="111"/>
      <c r="T1750" s="60"/>
      <c r="U1750" s="112"/>
    </row>
    <row r="1751" spans="4:21" s="110" customFormat="1" ht="15.75" customHeight="1">
      <c r="D1751" s="113"/>
      <c r="E1751" s="60"/>
      <c r="F1751" s="60"/>
      <c r="G1751" s="60"/>
      <c r="H1751" s="60"/>
      <c r="I1751" s="60"/>
      <c r="J1751" s="114"/>
      <c r="K1751" s="60"/>
      <c r="L1751" s="109"/>
      <c r="M1751" s="109"/>
      <c r="N1751" s="109"/>
      <c r="O1751" s="109"/>
      <c r="P1751" s="109"/>
      <c r="Q1751" s="109"/>
      <c r="S1751" s="111"/>
      <c r="T1751" s="60"/>
      <c r="U1751" s="112"/>
    </row>
    <row r="1752" spans="4:21" s="110" customFormat="1" ht="15.75" customHeight="1">
      <c r="D1752" s="113"/>
      <c r="E1752" s="60"/>
      <c r="F1752" s="60"/>
      <c r="G1752" s="60"/>
      <c r="H1752" s="60"/>
      <c r="I1752" s="60"/>
      <c r="J1752" s="114"/>
      <c r="K1752" s="60"/>
      <c r="L1752" s="109"/>
      <c r="M1752" s="109"/>
      <c r="N1752" s="109"/>
      <c r="O1752" s="109"/>
      <c r="P1752" s="109"/>
      <c r="Q1752" s="109"/>
      <c r="S1752" s="111"/>
      <c r="T1752" s="60"/>
      <c r="U1752" s="112"/>
    </row>
    <row r="1753" spans="4:21" s="110" customFormat="1" ht="15.75" customHeight="1">
      <c r="D1753" s="113"/>
      <c r="E1753" s="60"/>
      <c r="F1753" s="60"/>
      <c r="G1753" s="60"/>
      <c r="H1753" s="60"/>
      <c r="I1753" s="60"/>
      <c r="J1753" s="114"/>
      <c r="K1753" s="60"/>
      <c r="L1753" s="109"/>
      <c r="M1753" s="109"/>
      <c r="N1753" s="109"/>
      <c r="O1753" s="109"/>
      <c r="P1753" s="109"/>
      <c r="Q1753" s="109"/>
      <c r="S1753" s="111"/>
      <c r="T1753" s="60"/>
      <c r="U1753" s="112"/>
    </row>
    <row r="1754" spans="4:21" s="110" customFormat="1" ht="15.75" customHeight="1">
      <c r="D1754" s="113"/>
      <c r="E1754" s="60"/>
      <c r="F1754" s="60"/>
      <c r="G1754" s="60"/>
      <c r="H1754" s="60"/>
      <c r="I1754" s="60"/>
      <c r="J1754" s="114"/>
      <c r="K1754" s="60"/>
      <c r="L1754" s="109"/>
      <c r="M1754" s="109"/>
      <c r="N1754" s="109"/>
      <c r="O1754" s="109"/>
      <c r="P1754" s="109"/>
      <c r="Q1754" s="109"/>
      <c r="S1754" s="111"/>
      <c r="T1754" s="60"/>
      <c r="U1754" s="112"/>
    </row>
    <row r="1755" spans="4:21" s="110" customFormat="1" ht="15.75" customHeight="1">
      <c r="D1755" s="113"/>
      <c r="E1755" s="60"/>
      <c r="F1755" s="60"/>
      <c r="G1755" s="60"/>
      <c r="H1755" s="60"/>
      <c r="I1755" s="60"/>
      <c r="J1755" s="114"/>
      <c r="K1755" s="60"/>
      <c r="L1755" s="109"/>
      <c r="M1755" s="109"/>
      <c r="N1755" s="109"/>
      <c r="O1755" s="109"/>
      <c r="P1755" s="109"/>
      <c r="Q1755" s="109"/>
      <c r="S1755" s="111"/>
      <c r="T1755" s="60"/>
      <c r="U1755" s="112"/>
    </row>
    <row r="1756" spans="4:21" s="110" customFormat="1" ht="15.75" customHeight="1">
      <c r="D1756" s="113"/>
      <c r="E1756" s="60"/>
      <c r="F1756" s="60"/>
      <c r="G1756" s="60"/>
      <c r="H1756" s="60"/>
      <c r="I1756" s="60"/>
      <c r="J1756" s="114"/>
      <c r="K1756" s="60"/>
      <c r="L1756" s="109"/>
      <c r="M1756" s="109"/>
      <c r="N1756" s="109"/>
      <c r="O1756" s="109"/>
      <c r="P1756" s="109"/>
      <c r="Q1756" s="109"/>
      <c r="S1756" s="111"/>
      <c r="T1756" s="60"/>
      <c r="U1756" s="112"/>
    </row>
    <row r="1757" spans="4:21" s="110" customFormat="1" ht="15.75" customHeight="1">
      <c r="D1757" s="113"/>
      <c r="E1757" s="60"/>
      <c r="F1757" s="60"/>
      <c r="G1757" s="60"/>
      <c r="H1757" s="60"/>
      <c r="I1757" s="60"/>
      <c r="J1757" s="114"/>
      <c r="K1757" s="60"/>
      <c r="L1757" s="109"/>
      <c r="M1757" s="109"/>
      <c r="N1757" s="109"/>
      <c r="O1757" s="109"/>
      <c r="P1757" s="109"/>
      <c r="Q1757" s="109"/>
      <c r="S1757" s="111"/>
      <c r="T1757" s="60"/>
      <c r="U1757" s="112"/>
    </row>
    <row r="1758" spans="4:21" s="110" customFormat="1" ht="15.75" customHeight="1">
      <c r="D1758" s="113"/>
      <c r="E1758" s="60"/>
      <c r="F1758" s="60"/>
      <c r="G1758" s="60"/>
      <c r="H1758" s="60"/>
      <c r="I1758" s="60"/>
      <c r="J1758" s="114"/>
      <c r="K1758" s="60"/>
      <c r="L1758" s="109"/>
      <c r="M1758" s="109"/>
      <c r="N1758" s="109"/>
      <c r="O1758" s="109"/>
      <c r="P1758" s="109"/>
      <c r="Q1758" s="109"/>
      <c r="S1758" s="111"/>
      <c r="T1758" s="60"/>
      <c r="U1758" s="112"/>
    </row>
    <row r="1759" spans="4:21" s="110" customFormat="1" ht="15.75" customHeight="1">
      <c r="D1759" s="113"/>
      <c r="E1759" s="60"/>
      <c r="F1759" s="60"/>
      <c r="G1759" s="60"/>
      <c r="H1759" s="60"/>
      <c r="I1759" s="60"/>
      <c r="J1759" s="114"/>
      <c r="K1759" s="60"/>
      <c r="L1759" s="109"/>
      <c r="M1759" s="109"/>
      <c r="N1759" s="109"/>
      <c r="O1759" s="109"/>
      <c r="P1759" s="109"/>
      <c r="Q1759" s="109"/>
      <c r="S1759" s="111"/>
      <c r="T1759" s="60"/>
      <c r="U1759" s="112"/>
    </row>
    <row r="1760" spans="4:21" s="110" customFormat="1" ht="15.75" customHeight="1">
      <c r="D1760" s="113"/>
      <c r="E1760" s="60"/>
      <c r="F1760" s="60"/>
      <c r="G1760" s="60"/>
      <c r="H1760" s="60"/>
      <c r="I1760" s="60"/>
      <c r="J1760" s="114"/>
      <c r="K1760" s="60"/>
      <c r="L1760" s="109"/>
      <c r="M1760" s="109"/>
      <c r="N1760" s="109"/>
      <c r="O1760" s="109"/>
      <c r="P1760" s="109"/>
      <c r="Q1760" s="109"/>
      <c r="S1760" s="111"/>
      <c r="T1760" s="60"/>
      <c r="U1760" s="112"/>
    </row>
    <row r="1761" spans="4:21" s="110" customFormat="1" ht="15.75" customHeight="1">
      <c r="D1761" s="113"/>
      <c r="E1761" s="60"/>
      <c r="F1761" s="60"/>
      <c r="G1761" s="60"/>
      <c r="H1761" s="60"/>
      <c r="I1761" s="60"/>
      <c r="J1761" s="114"/>
      <c r="K1761" s="60"/>
      <c r="L1761" s="109"/>
      <c r="M1761" s="109"/>
      <c r="N1761" s="109"/>
      <c r="O1761" s="109"/>
      <c r="P1761" s="109"/>
      <c r="Q1761" s="109"/>
      <c r="S1761" s="111"/>
      <c r="T1761" s="60"/>
      <c r="U1761" s="112"/>
    </row>
    <row r="1762" spans="4:21" s="110" customFormat="1" ht="15.75" customHeight="1">
      <c r="D1762" s="113"/>
      <c r="E1762" s="60"/>
      <c r="F1762" s="60"/>
      <c r="G1762" s="60"/>
      <c r="H1762" s="60"/>
      <c r="I1762" s="60"/>
      <c r="J1762" s="114"/>
      <c r="K1762" s="60"/>
      <c r="L1762" s="109"/>
      <c r="M1762" s="109"/>
      <c r="N1762" s="109"/>
      <c r="O1762" s="109"/>
      <c r="P1762" s="109"/>
      <c r="Q1762" s="109"/>
      <c r="S1762" s="111"/>
      <c r="T1762" s="60"/>
      <c r="U1762" s="112"/>
    </row>
    <row r="1763" spans="4:21" s="110" customFormat="1" ht="15.75" customHeight="1">
      <c r="D1763" s="113"/>
      <c r="E1763" s="60"/>
      <c r="F1763" s="60"/>
      <c r="G1763" s="60"/>
      <c r="H1763" s="60"/>
      <c r="I1763" s="60"/>
      <c r="J1763" s="114"/>
      <c r="K1763" s="60"/>
      <c r="L1763" s="109"/>
      <c r="M1763" s="109"/>
      <c r="N1763" s="109"/>
      <c r="O1763" s="109"/>
      <c r="P1763" s="109"/>
      <c r="Q1763" s="109"/>
      <c r="S1763" s="111"/>
      <c r="T1763" s="60"/>
      <c r="U1763" s="112"/>
    </row>
    <row r="1764" spans="4:21" s="110" customFormat="1" ht="15.75" customHeight="1">
      <c r="D1764" s="113"/>
      <c r="E1764" s="60"/>
      <c r="F1764" s="60"/>
      <c r="G1764" s="60"/>
      <c r="H1764" s="60"/>
      <c r="I1764" s="60"/>
      <c r="J1764" s="114"/>
      <c r="K1764" s="60"/>
      <c r="L1764" s="109"/>
      <c r="M1764" s="109"/>
      <c r="N1764" s="109"/>
      <c r="O1764" s="109"/>
      <c r="P1764" s="109"/>
      <c r="Q1764" s="109"/>
      <c r="S1764" s="111"/>
      <c r="T1764" s="60"/>
      <c r="U1764" s="112"/>
    </row>
    <row r="1765" spans="4:21" s="110" customFormat="1" ht="15.75" customHeight="1">
      <c r="D1765" s="113"/>
      <c r="E1765" s="60"/>
      <c r="F1765" s="60"/>
      <c r="G1765" s="60"/>
      <c r="H1765" s="60"/>
      <c r="I1765" s="60"/>
      <c r="J1765" s="114"/>
      <c r="K1765" s="60"/>
      <c r="L1765" s="109"/>
      <c r="M1765" s="109"/>
      <c r="N1765" s="109"/>
      <c r="O1765" s="109"/>
      <c r="P1765" s="109"/>
      <c r="Q1765" s="109"/>
      <c r="S1765" s="111"/>
      <c r="T1765" s="60"/>
      <c r="U1765" s="112"/>
    </row>
    <row r="1766" spans="4:21" s="110" customFormat="1" ht="15.75" customHeight="1">
      <c r="D1766" s="113"/>
      <c r="E1766" s="60"/>
      <c r="F1766" s="60"/>
      <c r="G1766" s="60"/>
      <c r="H1766" s="60"/>
      <c r="I1766" s="60"/>
      <c r="J1766" s="114"/>
      <c r="K1766" s="60"/>
      <c r="L1766" s="109"/>
      <c r="M1766" s="109"/>
      <c r="N1766" s="109"/>
      <c r="O1766" s="109"/>
      <c r="P1766" s="109"/>
      <c r="Q1766" s="109"/>
      <c r="S1766" s="111"/>
      <c r="T1766" s="60"/>
      <c r="U1766" s="112"/>
    </row>
    <row r="1767" spans="4:21" s="110" customFormat="1" ht="15.75" customHeight="1">
      <c r="D1767" s="113"/>
      <c r="E1767" s="60"/>
      <c r="F1767" s="60"/>
      <c r="G1767" s="60"/>
      <c r="H1767" s="60"/>
      <c r="I1767" s="60"/>
      <c r="J1767" s="114"/>
      <c r="K1767" s="60"/>
      <c r="L1767" s="109"/>
      <c r="M1767" s="109"/>
      <c r="N1767" s="109"/>
      <c r="O1767" s="109"/>
      <c r="P1767" s="109"/>
      <c r="Q1767" s="109"/>
      <c r="S1767" s="111"/>
      <c r="T1767" s="60"/>
      <c r="U1767" s="112"/>
    </row>
    <row r="1768" spans="4:21" s="110" customFormat="1" ht="15.75" customHeight="1">
      <c r="D1768" s="113"/>
      <c r="E1768" s="60"/>
      <c r="F1768" s="60"/>
      <c r="G1768" s="60"/>
      <c r="H1768" s="60"/>
      <c r="I1768" s="60"/>
      <c r="J1768" s="114"/>
      <c r="K1768" s="60"/>
      <c r="L1768" s="109"/>
      <c r="M1768" s="109"/>
      <c r="N1768" s="109"/>
      <c r="O1768" s="109"/>
      <c r="P1768" s="109"/>
      <c r="Q1768" s="109"/>
      <c r="S1768" s="111"/>
      <c r="T1768" s="60"/>
      <c r="U1768" s="112"/>
    </row>
    <row r="1769" spans="4:21" s="110" customFormat="1" ht="15.75" customHeight="1">
      <c r="D1769" s="113"/>
      <c r="E1769" s="60"/>
      <c r="F1769" s="60"/>
      <c r="G1769" s="60"/>
      <c r="H1769" s="60"/>
      <c r="I1769" s="60"/>
      <c r="J1769" s="114"/>
      <c r="K1769" s="60"/>
      <c r="L1769" s="109"/>
      <c r="M1769" s="109"/>
      <c r="N1769" s="109"/>
      <c r="O1769" s="109"/>
      <c r="P1769" s="109"/>
      <c r="Q1769" s="109"/>
      <c r="S1769" s="111"/>
      <c r="T1769" s="60"/>
      <c r="U1769" s="112"/>
    </row>
    <row r="1770" spans="4:21" s="110" customFormat="1" ht="15.75" customHeight="1">
      <c r="D1770" s="113"/>
      <c r="E1770" s="60"/>
      <c r="F1770" s="60"/>
      <c r="G1770" s="60"/>
      <c r="H1770" s="60"/>
      <c r="I1770" s="60"/>
      <c r="J1770" s="114"/>
      <c r="K1770" s="60"/>
      <c r="L1770" s="109"/>
      <c r="M1770" s="109"/>
      <c r="N1770" s="109"/>
      <c r="O1770" s="109"/>
      <c r="P1770" s="109"/>
      <c r="Q1770" s="109"/>
      <c r="S1770" s="111"/>
      <c r="T1770" s="60"/>
      <c r="U1770" s="112"/>
    </row>
    <row r="1771" spans="4:21" s="110" customFormat="1" ht="15.75" customHeight="1">
      <c r="D1771" s="113"/>
      <c r="E1771" s="60"/>
      <c r="F1771" s="60"/>
      <c r="G1771" s="60"/>
      <c r="H1771" s="60"/>
      <c r="I1771" s="60"/>
      <c r="J1771" s="114"/>
      <c r="K1771" s="60"/>
      <c r="L1771" s="109"/>
      <c r="M1771" s="109"/>
      <c r="N1771" s="109"/>
      <c r="O1771" s="109"/>
      <c r="P1771" s="109"/>
      <c r="Q1771" s="109"/>
      <c r="S1771" s="111"/>
      <c r="T1771" s="60"/>
      <c r="U1771" s="112"/>
    </row>
    <row r="1772" spans="4:21" s="110" customFormat="1" ht="15.75" customHeight="1">
      <c r="D1772" s="113"/>
      <c r="E1772" s="60"/>
      <c r="F1772" s="60"/>
      <c r="G1772" s="60"/>
      <c r="H1772" s="60"/>
      <c r="I1772" s="60"/>
      <c r="J1772" s="114"/>
      <c r="K1772" s="60"/>
      <c r="L1772" s="109"/>
      <c r="M1772" s="109"/>
      <c r="N1772" s="109"/>
      <c r="O1772" s="109"/>
      <c r="P1772" s="109"/>
      <c r="Q1772" s="109"/>
      <c r="S1772" s="111"/>
      <c r="T1772" s="60"/>
      <c r="U1772" s="112"/>
    </row>
    <row r="1773" spans="4:21" s="110" customFormat="1" ht="15.75" customHeight="1">
      <c r="D1773" s="113"/>
      <c r="E1773" s="60"/>
      <c r="F1773" s="60"/>
      <c r="G1773" s="60"/>
      <c r="H1773" s="60"/>
      <c r="I1773" s="60"/>
      <c r="J1773" s="114"/>
      <c r="K1773" s="60"/>
      <c r="L1773" s="109"/>
      <c r="M1773" s="109"/>
      <c r="N1773" s="109"/>
      <c r="O1773" s="109"/>
      <c r="P1773" s="109"/>
      <c r="Q1773" s="109"/>
      <c r="S1773" s="111"/>
      <c r="T1773" s="60"/>
      <c r="U1773" s="112"/>
    </row>
    <row r="1774" spans="4:21" s="110" customFormat="1" ht="15.75" customHeight="1">
      <c r="D1774" s="113"/>
      <c r="E1774" s="60"/>
      <c r="F1774" s="60"/>
      <c r="G1774" s="60"/>
      <c r="H1774" s="60"/>
      <c r="I1774" s="60"/>
      <c r="J1774" s="114"/>
      <c r="K1774" s="60"/>
      <c r="L1774" s="109"/>
      <c r="M1774" s="109"/>
      <c r="N1774" s="109"/>
      <c r="O1774" s="109"/>
      <c r="P1774" s="109"/>
      <c r="Q1774" s="109"/>
      <c r="S1774" s="111"/>
      <c r="T1774" s="60"/>
      <c r="U1774" s="112"/>
    </row>
    <row r="1775" spans="4:21" s="110" customFormat="1" ht="15.75" customHeight="1">
      <c r="D1775" s="113"/>
      <c r="E1775" s="60"/>
      <c r="F1775" s="60"/>
      <c r="G1775" s="60"/>
      <c r="H1775" s="60"/>
      <c r="I1775" s="60"/>
      <c r="J1775" s="114"/>
      <c r="K1775" s="60"/>
      <c r="L1775" s="109"/>
      <c r="M1775" s="109"/>
      <c r="N1775" s="109"/>
      <c r="O1775" s="109"/>
      <c r="P1775" s="109"/>
      <c r="Q1775" s="109"/>
      <c r="S1775" s="111"/>
      <c r="T1775" s="60"/>
      <c r="U1775" s="112"/>
    </row>
    <row r="1776" spans="4:21" s="110" customFormat="1" ht="15.75" customHeight="1">
      <c r="D1776" s="113"/>
      <c r="E1776" s="60"/>
      <c r="F1776" s="60"/>
      <c r="G1776" s="60"/>
      <c r="H1776" s="60"/>
      <c r="I1776" s="60"/>
      <c r="J1776" s="114"/>
      <c r="K1776" s="60"/>
      <c r="L1776" s="109"/>
      <c r="M1776" s="109"/>
      <c r="N1776" s="109"/>
      <c r="O1776" s="109"/>
      <c r="P1776" s="109"/>
      <c r="Q1776" s="109"/>
      <c r="S1776" s="111"/>
      <c r="T1776" s="60"/>
      <c r="U1776" s="112"/>
    </row>
    <row r="1777" spans="4:21" s="110" customFormat="1" ht="15.75" customHeight="1">
      <c r="D1777" s="113"/>
      <c r="E1777" s="60"/>
      <c r="F1777" s="60"/>
      <c r="G1777" s="60"/>
      <c r="H1777" s="60"/>
      <c r="I1777" s="60"/>
      <c r="J1777" s="114"/>
      <c r="K1777" s="60"/>
      <c r="L1777" s="109"/>
      <c r="M1777" s="109"/>
      <c r="N1777" s="109"/>
      <c r="O1777" s="109"/>
      <c r="P1777" s="109"/>
      <c r="Q1777" s="109"/>
      <c r="S1777" s="111"/>
      <c r="T1777" s="60"/>
      <c r="U1777" s="112"/>
    </row>
    <row r="1778" spans="4:21" s="110" customFormat="1" ht="15.75" customHeight="1">
      <c r="D1778" s="113"/>
      <c r="E1778" s="60"/>
      <c r="F1778" s="60"/>
      <c r="G1778" s="60"/>
      <c r="H1778" s="60"/>
      <c r="I1778" s="60"/>
      <c r="J1778" s="114"/>
      <c r="K1778" s="60"/>
      <c r="L1778" s="109"/>
      <c r="M1778" s="109"/>
      <c r="N1778" s="109"/>
      <c r="O1778" s="109"/>
      <c r="P1778" s="109"/>
      <c r="Q1778" s="109"/>
      <c r="S1778" s="111"/>
      <c r="T1778" s="60"/>
      <c r="U1778" s="112"/>
    </row>
    <row r="1779" spans="4:21" s="110" customFormat="1" ht="15.75" customHeight="1">
      <c r="D1779" s="113"/>
      <c r="E1779" s="60"/>
      <c r="F1779" s="60"/>
      <c r="G1779" s="60"/>
      <c r="H1779" s="60"/>
      <c r="I1779" s="60"/>
      <c r="J1779" s="114"/>
      <c r="K1779" s="60"/>
      <c r="L1779" s="109"/>
      <c r="M1779" s="109"/>
      <c r="N1779" s="109"/>
      <c r="O1779" s="109"/>
      <c r="P1779" s="109"/>
      <c r="Q1779" s="109"/>
      <c r="S1779" s="111"/>
      <c r="T1779" s="60"/>
      <c r="U1779" s="112"/>
    </row>
    <row r="1780" spans="4:21" s="110" customFormat="1" ht="15.75" customHeight="1">
      <c r="D1780" s="113"/>
      <c r="E1780" s="60"/>
      <c r="F1780" s="60"/>
      <c r="G1780" s="60"/>
      <c r="H1780" s="60"/>
      <c r="I1780" s="60"/>
      <c r="J1780" s="114"/>
      <c r="K1780" s="60"/>
      <c r="L1780" s="109"/>
      <c r="M1780" s="109"/>
      <c r="N1780" s="109"/>
      <c r="O1780" s="109"/>
      <c r="P1780" s="109"/>
      <c r="Q1780" s="109"/>
      <c r="S1780" s="111"/>
      <c r="T1780" s="60"/>
      <c r="U1780" s="112"/>
    </row>
    <row r="1781" spans="4:21" s="110" customFormat="1" ht="15.75" customHeight="1">
      <c r="D1781" s="113"/>
      <c r="E1781" s="60"/>
      <c r="F1781" s="60"/>
      <c r="G1781" s="60"/>
      <c r="H1781" s="60"/>
      <c r="I1781" s="60"/>
      <c r="J1781" s="114"/>
      <c r="K1781" s="60"/>
      <c r="L1781" s="109"/>
      <c r="M1781" s="109"/>
      <c r="N1781" s="109"/>
      <c r="O1781" s="109"/>
      <c r="P1781" s="109"/>
      <c r="Q1781" s="109"/>
      <c r="S1781" s="111"/>
      <c r="T1781" s="60"/>
      <c r="U1781" s="112"/>
    </row>
    <row r="1782" spans="4:21" s="110" customFormat="1" ht="15.75" customHeight="1">
      <c r="D1782" s="113"/>
      <c r="E1782" s="60"/>
      <c r="F1782" s="60"/>
      <c r="G1782" s="60"/>
      <c r="H1782" s="60"/>
      <c r="I1782" s="60"/>
      <c r="J1782" s="114"/>
      <c r="K1782" s="60"/>
      <c r="L1782" s="109"/>
      <c r="M1782" s="109"/>
      <c r="N1782" s="109"/>
      <c r="O1782" s="109"/>
      <c r="P1782" s="109"/>
      <c r="Q1782" s="109"/>
      <c r="S1782" s="111"/>
      <c r="T1782" s="60"/>
      <c r="U1782" s="112"/>
    </row>
    <row r="1783" spans="4:21" s="110" customFormat="1" ht="15.75" customHeight="1">
      <c r="D1783" s="113"/>
      <c r="E1783" s="60"/>
      <c r="F1783" s="60"/>
      <c r="G1783" s="60"/>
      <c r="H1783" s="60"/>
      <c r="I1783" s="60"/>
      <c r="J1783" s="114"/>
      <c r="K1783" s="60"/>
      <c r="L1783" s="109"/>
      <c r="M1783" s="109"/>
      <c r="N1783" s="109"/>
      <c r="O1783" s="109"/>
      <c r="P1783" s="109"/>
      <c r="Q1783" s="109"/>
      <c r="S1783" s="111"/>
      <c r="T1783" s="60"/>
      <c r="U1783" s="112"/>
    </row>
    <row r="1784" spans="4:21" s="110" customFormat="1" ht="15.75" customHeight="1">
      <c r="D1784" s="113"/>
      <c r="E1784" s="60"/>
      <c r="F1784" s="60"/>
      <c r="G1784" s="60"/>
      <c r="H1784" s="60"/>
      <c r="I1784" s="60"/>
      <c r="J1784" s="114"/>
      <c r="K1784" s="60"/>
      <c r="L1784" s="109"/>
      <c r="M1784" s="109"/>
      <c r="N1784" s="109"/>
      <c r="O1784" s="109"/>
      <c r="P1784" s="109"/>
      <c r="Q1784" s="109"/>
      <c r="S1784" s="111"/>
      <c r="T1784" s="60"/>
      <c r="U1784" s="112"/>
    </row>
    <row r="1785" spans="4:21" s="110" customFormat="1" ht="15.75" customHeight="1">
      <c r="D1785" s="113"/>
      <c r="E1785" s="60"/>
      <c r="F1785" s="60"/>
      <c r="G1785" s="60"/>
      <c r="H1785" s="60"/>
      <c r="I1785" s="60"/>
      <c r="J1785" s="114"/>
      <c r="K1785" s="60"/>
      <c r="L1785" s="109"/>
      <c r="M1785" s="109"/>
      <c r="N1785" s="109"/>
      <c r="O1785" s="109"/>
      <c r="P1785" s="109"/>
      <c r="Q1785" s="109"/>
      <c r="S1785" s="111"/>
      <c r="T1785" s="60"/>
      <c r="U1785" s="112"/>
    </row>
    <row r="1786" spans="4:21" s="110" customFormat="1" ht="15.75" customHeight="1">
      <c r="D1786" s="113"/>
      <c r="E1786" s="60"/>
      <c r="F1786" s="60"/>
      <c r="G1786" s="60"/>
      <c r="H1786" s="60"/>
      <c r="I1786" s="60"/>
      <c r="J1786" s="114"/>
      <c r="K1786" s="60"/>
      <c r="L1786" s="109"/>
      <c r="M1786" s="109"/>
      <c r="N1786" s="109"/>
      <c r="O1786" s="109"/>
      <c r="P1786" s="109"/>
      <c r="Q1786" s="109"/>
      <c r="S1786" s="111"/>
      <c r="T1786" s="60"/>
      <c r="U1786" s="112"/>
    </row>
    <row r="1787" spans="4:21" s="110" customFormat="1" ht="15.75" customHeight="1">
      <c r="D1787" s="113"/>
      <c r="E1787" s="60"/>
      <c r="F1787" s="60"/>
      <c r="G1787" s="60"/>
      <c r="H1787" s="60"/>
      <c r="I1787" s="60"/>
      <c r="J1787" s="114"/>
      <c r="K1787" s="60"/>
      <c r="L1787" s="109"/>
      <c r="M1787" s="109"/>
      <c r="N1787" s="109"/>
      <c r="O1787" s="109"/>
      <c r="P1787" s="109"/>
      <c r="Q1787" s="109"/>
      <c r="S1787" s="111"/>
      <c r="T1787" s="60"/>
      <c r="U1787" s="112"/>
    </row>
    <row r="1788" spans="4:21" s="110" customFormat="1" ht="15.75" customHeight="1">
      <c r="D1788" s="113"/>
      <c r="E1788" s="60"/>
      <c r="F1788" s="60"/>
      <c r="G1788" s="60"/>
      <c r="H1788" s="60"/>
      <c r="I1788" s="60"/>
      <c r="J1788" s="114"/>
      <c r="K1788" s="60"/>
      <c r="L1788" s="109"/>
      <c r="M1788" s="109"/>
      <c r="N1788" s="109"/>
      <c r="O1788" s="109"/>
      <c r="P1788" s="109"/>
      <c r="Q1788" s="109"/>
      <c r="S1788" s="111"/>
      <c r="T1788" s="60"/>
      <c r="U1788" s="112"/>
    </row>
    <row r="1789" spans="4:21" s="110" customFormat="1" ht="15.75" customHeight="1">
      <c r="D1789" s="113"/>
      <c r="E1789" s="60"/>
      <c r="F1789" s="60"/>
      <c r="G1789" s="60"/>
      <c r="H1789" s="60"/>
      <c r="I1789" s="60"/>
      <c r="J1789" s="114"/>
      <c r="K1789" s="60"/>
      <c r="L1789" s="109"/>
      <c r="M1789" s="109"/>
      <c r="N1789" s="109"/>
      <c r="O1789" s="109"/>
      <c r="P1789" s="109"/>
      <c r="Q1789" s="109"/>
      <c r="S1789" s="111"/>
      <c r="T1789" s="60"/>
      <c r="U1789" s="112"/>
    </row>
    <row r="1790" spans="4:21" s="110" customFormat="1" ht="15.75" customHeight="1">
      <c r="D1790" s="113"/>
      <c r="E1790" s="60"/>
      <c r="F1790" s="60"/>
      <c r="G1790" s="60"/>
      <c r="H1790" s="60"/>
      <c r="I1790" s="60"/>
      <c r="J1790" s="114"/>
      <c r="K1790" s="60"/>
      <c r="L1790" s="109"/>
      <c r="M1790" s="109"/>
      <c r="N1790" s="109"/>
      <c r="O1790" s="109"/>
      <c r="P1790" s="109"/>
      <c r="Q1790" s="109"/>
      <c r="S1790" s="111"/>
      <c r="T1790" s="60"/>
      <c r="U1790" s="112"/>
    </row>
    <row r="1791" spans="4:21" s="110" customFormat="1" ht="15.75" customHeight="1">
      <c r="D1791" s="113"/>
      <c r="E1791" s="60"/>
      <c r="F1791" s="60"/>
      <c r="G1791" s="60"/>
      <c r="H1791" s="60"/>
      <c r="I1791" s="60"/>
      <c r="J1791" s="114"/>
      <c r="K1791" s="60"/>
      <c r="L1791" s="109"/>
      <c r="M1791" s="109"/>
      <c r="N1791" s="109"/>
      <c r="O1791" s="109"/>
      <c r="P1791" s="109"/>
      <c r="Q1791" s="109"/>
      <c r="S1791" s="111"/>
      <c r="T1791" s="60"/>
      <c r="U1791" s="112"/>
    </row>
    <row r="1792" spans="4:21" s="110" customFormat="1" ht="15.75" customHeight="1">
      <c r="D1792" s="113"/>
      <c r="E1792" s="60"/>
      <c r="F1792" s="60"/>
      <c r="G1792" s="60"/>
      <c r="H1792" s="60"/>
      <c r="I1792" s="60"/>
      <c r="J1792" s="114"/>
      <c r="K1792" s="60"/>
      <c r="L1792" s="109"/>
      <c r="M1792" s="109"/>
      <c r="N1792" s="109"/>
      <c r="O1792" s="109"/>
      <c r="P1792" s="109"/>
      <c r="Q1792" s="109"/>
      <c r="S1792" s="111"/>
      <c r="T1792" s="60"/>
      <c r="U1792" s="112"/>
    </row>
    <row r="1793" spans="4:21" s="110" customFormat="1" ht="15.75" customHeight="1">
      <c r="D1793" s="113"/>
      <c r="E1793" s="60"/>
      <c r="F1793" s="60"/>
      <c r="G1793" s="60"/>
      <c r="H1793" s="60"/>
      <c r="I1793" s="60"/>
      <c r="J1793" s="114"/>
      <c r="K1793" s="60"/>
      <c r="L1793" s="109"/>
      <c r="M1793" s="109"/>
      <c r="N1793" s="109"/>
      <c r="O1793" s="109"/>
      <c r="P1793" s="109"/>
      <c r="Q1793" s="109"/>
      <c r="S1793" s="111"/>
      <c r="T1793" s="60"/>
      <c r="U1793" s="112"/>
    </row>
    <row r="1794" spans="4:21" s="110" customFormat="1" ht="15.75" customHeight="1">
      <c r="D1794" s="113"/>
      <c r="E1794" s="60"/>
      <c r="F1794" s="60"/>
      <c r="G1794" s="60"/>
      <c r="H1794" s="60"/>
      <c r="I1794" s="60"/>
      <c r="J1794" s="114"/>
      <c r="K1794" s="60"/>
      <c r="L1794" s="109"/>
      <c r="M1794" s="109"/>
      <c r="N1794" s="109"/>
      <c r="O1794" s="109"/>
      <c r="P1794" s="109"/>
      <c r="Q1794" s="109"/>
      <c r="S1794" s="111"/>
      <c r="T1794" s="60"/>
      <c r="U1794" s="112"/>
    </row>
    <row r="1795" spans="4:21" s="110" customFormat="1" ht="15.75" customHeight="1">
      <c r="D1795" s="113"/>
      <c r="E1795" s="60"/>
      <c r="F1795" s="60"/>
      <c r="G1795" s="60"/>
      <c r="H1795" s="60"/>
      <c r="I1795" s="60"/>
      <c r="J1795" s="114"/>
      <c r="K1795" s="60"/>
      <c r="L1795" s="109"/>
      <c r="M1795" s="109"/>
      <c r="N1795" s="109"/>
      <c r="O1795" s="109"/>
      <c r="P1795" s="109"/>
      <c r="Q1795" s="109"/>
      <c r="S1795" s="111"/>
      <c r="T1795" s="60"/>
      <c r="U1795" s="112"/>
    </row>
    <row r="1796" spans="4:21" s="110" customFormat="1" ht="15.75" customHeight="1">
      <c r="D1796" s="113"/>
      <c r="E1796" s="60"/>
      <c r="F1796" s="60"/>
      <c r="G1796" s="60"/>
      <c r="H1796" s="60"/>
      <c r="I1796" s="60"/>
      <c r="J1796" s="114"/>
      <c r="K1796" s="60"/>
      <c r="L1796" s="109"/>
      <c r="M1796" s="109"/>
      <c r="N1796" s="109"/>
      <c r="O1796" s="109"/>
      <c r="P1796" s="109"/>
      <c r="Q1796" s="109"/>
      <c r="S1796" s="111"/>
      <c r="T1796" s="60"/>
      <c r="U1796" s="112"/>
    </row>
    <row r="1797" spans="4:21" s="110" customFormat="1" ht="15.75" customHeight="1">
      <c r="D1797" s="113"/>
      <c r="E1797" s="60"/>
      <c r="F1797" s="60"/>
      <c r="G1797" s="60"/>
      <c r="H1797" s="60"/>
      <c r="I1797" s="60"/>
      <c r="J1797" s="114"/>
      <c r="K1797" s="60"/>
      <c r="L1797" s="109"/>
      <c r="M1797" s="109"/>
      <c r="N1797" s="109"/>
      <c r="O1797" s="109"/>
      <c r="P1797" s="109"/>
      <c r="Q1797" s="109"/>
      <c r="S1797" s="111"/>
      <c r="T1797" s="60"/>
      <c r="U1797" s="112"/>
    </row>
    <row r="1798" spans="4:21" s="110" customFormat="1" ht="15.75" customHeight="1">
      <c r="D1798" s="113"/>
      <c r="E1798" s="60"/>
      <c r="F1798" s="60"/>
      <c r="G1798" s="60"/>
      <c r="H1798" s="60"/>
      <c r="I1798" s="60"/>
      <c r="J1798" s="114"/>
      <c r="K1798" s="60"/>
      <c r="L1798" s="109"/>
      <c r="M1798" s="109"/>
      <c r="N1798" s="109"/>
      <c r="O1798" s="109"/>
      <c r="P1798" s="109"/>
      <c r="Q1798" s="109"/>
      <c r="S1798" s="111"/>
      <c r="T1798" s="60"/>
      <c r="U1798" s="112"/>
    </row>
    <row r="1799" spans="4:21" s="110" customFormat="1" ht="15.75" customHeight="1">
      <c r="D1799" s="113"/>
      <c r="E1799" s="60"/>
      <c r="F1799" s="60"/>
      <c r="G1799" s="60"/>
      <c r="H1799" s="60"/>
      <c r="I1799" s="60"/>
      <c r="J1799" s="114"/>
      <c r="K1799" s="60"/>
      <c r="L1799" s="109"/>
      <c r="M1799" s="109"/>
      <c r="N1799" s="109"/>
      <c r="O1799" s="109"/>
      <c r="P1799" s="109"/>
      <c r="Q1799" s="109"/>
      <c r="S1799" s="111"/>
      <c r="T1799" s="60"/>
      <c r="U1799" s="112"/>
    </row>
    <row r="1800" spans="4:21" s="110" customFormat="1" ht="15.75" customHeight="1">
      <c r="D1800" s="113"/>
      <c r="E1800" s="60"/>
      <c r="F1800" s="60"/>
      <c r="G1800" s="60"/>
      <c r="H1800" s="60"/>
      <c r="I1800" s="60"/>
      <c r="J1800" s="114"/>
      <c r="K1800" s="60"/>
      <c r="L1800" s="109"/>
      <c r="M1800" s="109"/>
      <c r="N1800" s="109"/>
      <c r="O1800" s="109"/>
      <c r="P1800" s="109"/>
      <c r="Q1800" s="109"/>
      <c r="S1800" s="111"/>
      <c r="T1800" s="60"/>
      <c r="U1800" s="112"/>
    </row>
    <row r="1801" spans="4:21" s="110" customFormat="1" ht="15.75" customHeight="1">
      <c r="D1801" s="113"/>
      <c r="E1801" s="60"/>
      <c r="F1801" s="60"/>
      <c r="G1801" s="60"/>
      <c r="H1801" s="60"/>
      <c r="I1801" s="60"/>
      <c r="J1801" s="114"/>
      <c r="K1801" s="60"/>
      <c r="L1801" s="109"/>
      <c r="M1801" s="109"/>
      <c r="N1801" s="109"/>
      <c r="O1801" s="109"/>
      <c r="P1801" s="109"/>
      <c r="Q1801" s="109"/>
      <c r="S1801" s="111"/>
      <c r="T1801" s="60"/>
      <c r="U1801" s="112"/>
    </row>
    <row r="1802" spans="4:21" s="110" customFormat="1" ht="15.75" customHeight="1">
      <c r="D1802" s="113"/>
      <c r="E1802" s="60"/>
      <c r="F1802" s="60"/>
      <c r="G1802" s="60"/>
      <c r="H1802" s="60"/>
      <c r="I1802" s="60"/>
      <c r="J1802" s="114"/>
      <c r="K1802" s="60"/>
      <c r="L1802" s="109"/>
      <c r="M1802" s="109"/>
      <c r="N1802" s="109"/>
      <c r="O1802" s="109"/>
      <c r="P1802" s="109"/>
      <c r="Q1802" s="109"/>
      <c r="S1802" s="111"/>
      <c r="T1802" s="60"/>
      <c r="U1802" s="112"/>
    </row>
    <row r="1803" spans="4:21" s="110" customFormat="1" ht="15.75" customHeight="1">
      <c r="D1803" s="113"/>
      <c r="E1803" s="60"/>
      <c r="F1803" s="60"/>
      <c r="G1803" s="60"/>
      <c r="H1803" s="60"/>
      <c r="I1803" s="60"/>
      <c r="J1803" s="114"/>
      <c r="K1803" s="60"/>
      <c r="L1803" s="109"/>
      <c r="M1803" s="109"/>
      <c r="N1803" s="109"/>
      <c r="O1803" s="109"/>
      <c r="P1803" s="109"/>
      <c r="Q1803" s="109"/>
      <c r="S1803" s="111"/>
      <c r="T1803" s="60"/>
      <c r="U1803" s="112"/>
    </row>
    <row r="1804" spans="4:21" s="110" customFormat="1" ht="15.75" customHeight="1">
      <c r="D1804" s="113"/>
      <c r="E1804" s="60"/>
      <c r="F1804" s="60"/>
      <c r="G1804" s="60"/>
      <c r="H1804" s="60"/>
      <c r="I1804" s="60"/>
      <c r="J1804" s="114"/>
      <c r="K1804" s="60"/>
      <c r="L1804" s="109"/>
      <c r="M1804" s="109"/>
      <c r="N1804" s="109"/>
      <c r="O1804" s="109"/>
      <c r="P1804" s="109"/>
      <c r="Q1804" s="109"/>
      <c r="S1804" s="111"/>
      <c r="T1804" s="60"/>
      <c r="U1804" s="112"/>
    </row>
    <row r="1805" spans="4:21" s="110" customFormat="1" ht="15.75" customHeight="1">
      <c r="D1805" s="113"/>
      <c r="E1805" s="60"/>
      <c r="F1805" s="60"/>
      <c r="G1805" s="60"/>
      <c r="H1805" s="60"/>
      <c r="I1805" s="60"/>
      <c r="J1805" s="114"/>
      <c r="K1805" s="60"/>
      <c r="L1805" s="109"/>
      <c r="M1805" s="109"/>
      <c r="N1805" s="109"/>
      <c r="O1805" s="109"/>
      <c r="P1805" s="109"/>
      <c r="Q1805" s="109"/>
      <c r="S1805" s="111"/>
      <c r="T1805" s="60"/>
      <c r="U1805" s="112"/>
    </row>
    <row r="1806" spans="4:21" s="110" customFormat="1" ht="15.75" customHeight="1">
      <c r="D1806" s="113"/>
      <c r="E1806" s="60"/>
      <c r="F1806" s="60"/>
      <c r="G1806" s="60"/>
      <c r="H1806" s="60"/>
      <c r="I1806" s="60"/>
      <c r="J1806" s="114"/>
      <c r="K1806" s="60"/>
      <c r="L1806" s="109"/>
      <c r="M1806" s="109"/>
      <c r="N1806" s="109"/>
      <c r="O1806" s="109"/>
      <c r="P1806" s="109"/>
      <c r="Q1806" s="109"/>
      <c r="S1806" s="111"/>
      <c r="T1806" s="60"/>
      <c r="U1806" s="112"/>
    </row>
    <row r="1807" spans="4:21" s="110" customFormat="1" ht="15.75" customHeight="1">
      <c r="D1807" s="113"/>
      <c r="E1807" s="60"/>
      <c r="F1807" s="60"/>
      <c r="G1807" s="60"/>
      <c r="H1807" s="60"/>
      <c r="I1807" s="60"/>
      <c r="J1807" s="114"/>
      <c r="K1807" s="60"/>
      <c r="L1807" s="109"/>
      <c r="M1807" s="109"/>
      <c r="N1807" s="109"/>
      <c r="O1807" s="109"/>
      <c r="P1807" s="109"/>
      <c r="Q1807" s="109"/>
      <c r="S1807" s="111"/>
      <c r="T1807" s="60"/>
      <c r="U1807" s="112"/>
    </row>
    <row r="1808" spans="4:21" s="110" customFormat="1" ht="15.75" customHeight="1">
      <c r="D1808" s="113"/>
      <c r="E1808" s="60"/>
      <c r="F1808" s="60"/>
      <c r="G1808" s="60"/>
      <c r="H1808" s="60"/>
      <c r="I1808" s="60"/>
      <c r="J1808" s="114"/>
      <c r="K1808" s="60"/>
      <c r="L1808" s="109"/>
      <c r="M1808" s="109"/>
      <c r="N1808" s="109"/>
      <c r="O1808" s="109"/>
      <c r="P1808" s="109"/>
      <c r="Q1808" s="109"/>
      <c r="S1808" s="111"/>
      <c r="T1808" s="60"/>
      <c r="U1808" s="112"/>
    </row>
    <row r="1809" spans="4:21" s="110" customFormat="1" ht="15.75" customHeight="1">
      <c r="D1809" s="113"/>
      <c r="E1809" s="60"/>
      <c r="F1809" s="60"/>
      <c r="G1809" s="60"/>
      <c r="H1809" s="60"/>
      <c r="I1809" s="60"/>
      <c r="J1809" s="114"/>
      <c r="K1809" s="60"/>
      <c r="L1809" s="109"/>
      <c r="M1809" s="109"/>
      <c r="N1809" s="109"/>
      <c r="O1809" s="109"/>
      <c r="P1809" s="109"/>
      <c r="Q1809" s="109"/>
      <c r="S1809" s="111"/>
      <c r="T1809" s="60"/>
      <c r="U1809" s="112"/>
    </row>
    <row r="1810" spans="4:21" s="110" customFormat="1" ht="15.75" customHeight="1">
      <c r="D1810" s="113"/>
      <c r="E1810" s="60"/>
      <c r="F1810" s="60"/>
      <c r="G1810" s="60"/>
      <c r="H1810" s="60"/>
      <c r="I1810" s="60"/>
      <c r="J1810" s="114"/>
      <c r="K1810" s="60"/>
      <c r="L1810" s="109"/>
      <c r="M1810" s="109"/>
      <c r="N1810" s="109"/>
      <c r="O1810" s="109"/>
      <c r="P1810" s="109"/>
      <c r="Q1810" s="109"/>
      <c r="S1810" s="111"/>
      <c r="T1810" s="60"/>
      <c r="U1810" s="112"/>
    </row>
    <row r="1811" spans="4:21" s="110" customFormat="1" ht="15.75" customHeight="1">
      <c r="D1811" s="113"/>
      <c r="E1811" s="60"/>
      <c r="F1811" s="60"/>
      <c r="G1811" s="60"/>
      <c r="H1811" s="60"/>
      <c r="I1811" s="60"/>
      <c r="J1811" s="114"/>
      <c r="K1811" s="60"/>
      <c r="L1811" s="109"/>
      <c r="M1811" s="109"/>
      <c r="N1811" s="109"/>
      <c r="O1811" s="109"/>
      <c r="P1811" s="109"/>
      <c r="Q1811" s="109"/>
      <c r="S1811" s="111"/>
      <c r="T1811" s="60"/>
      <c r="U1811" s="112"/>
    </row>
    <row r="1812" spans="4:21" s="110" customFormat="1" ht="15.75" customHeight="1">
      <c r="D1812" s="113"/>
      <c r="E1812" s="60"/>
      <c r="F1812" s="60"/>
      <c r="G1812" s="60"/>
      <c r="H1812" s="60"/>
      <c r="I1812" s="60"/>
      <c r="J1812" s="114"/>
      <c r="K1812" s="60"/>
      <c r="L1812" s="109"/>
      <c r="M1812" s="109"/>
      <c r="N1812" s="109"/>
      <c r="O1812" s="109"/>
      <c r="P1812" s="109"/>
      <c r="Q1812" s="109"/>
      <c r="S1812" s="111"/>
      <c r="T1812" s="60"/>
      <c r="U1812" s="112"/>
    </row>
    <row r="1813" spans="4:21" s="110" customFormat="1" ht="15.75" customHeight="1">
      <c r="D1813" s="113"/>
      <c r="E1813" s="60"/>
      <c r="F1813" s="60"/>
      <c r="G1813" s="60"/>
      <c r="H1813" s="60"/>
      <c r="I1813" s="60"/>
      <c r="J1813" s="114"/>
      <c r="K1813" s="60"/>
      <c r="L1813" s="109"/>
      <c r="M1813" s="109"/>
      <c r="N1813" s="109"/>
      <c r="O1813" s="109"/>
      <c r="P1813" s="109"/>
      <c r="Q1813" s="109"/>
      <c r="S1813" s="111"/>
      <c r="T1813" s="60"/>
      <c r="U1813" s="112"/>
    </row>
    <row r="1814" spans="4:21" s="110" customFormat="1" ht="15.75" customHeight="1">
      <c r="D1814" s="113"/>
      <c r="E1814" s="60"/>
      <c r="F1814" s="60"/>
      <c r="G1814" s="60"/>
      <c r="H1814" s="60"/>
      <c r="I1814" s="60"/>
      <c r="J1814" s="114"/>
      <c r="K1814" s="60"/>
      <c r="L1814" s="109"/>
      <c r="M1814" s="109"/>
      <c r="N1814" s="109"/>
      <c r="O1814" s="109"/>
      <c r="P1814" s="109"/>
      <c r="Q1814" s="109"/>
      <c r="S1814" s="111"/>
      <c r="T1814" s="60"/>
      <c r="U1814" s="112"/>
    </row>
    <row r="1815" spans="4:21" s="110" customFormat="1" ht="15.75" customHeight="1">
      <c r="D1815" s="113"/>
      <c r="E1815" s="60"/>
      <c r="F1815" s="60"/>
      <c r="G1815" s="60"/>
      <c r="H1815" s="60"/>
      <c r="I1815" s="60"/>
      <c r="J1815" s="114"/>
      <c r="K1815" s="60"/>
      <c r="L1815" s="109"/>
      <c r="M1815" s="109"/>
      <c r="N1815" s="109"/>
      <c r="O1815" s="109"/>
      <c r="P1815" s="109"/>
      <c r="Q1815" s="109"/>
      <c r="S1815" s="111"/>
      <c r="T1815" s="60"/>
      <c r="U1815" s="112"/>
    </row>
    <row r="1816" spans="4:21" s="110" customFormat="1" ht="15.75" customHeight="1">
      <c r="D1816" s="113"/>
      <c r="E1816" s="60"/>
      <c r="F1816" s="60"/>
      <c r="G1816" s="60"/>
      <c r="H1816" s="60"/>
      <c r="I1816" s="60"/>
      <c r="J1816" s="114"/>
      <c r="K1816" s="60"/>
      <c r="L1816" s="109"/>
      <c r="M1816" s="109"/>
      <c r="N1816" s="109"/>
      <c r="O1816" s="109"/>
      <c r="P1816" s="109"/>
      <c r="Q1816" s="109"/>
      <c r="S1816" s="111"/>
      <c r="T1816" s="60"/>
      <c r="U1816" s="112"/>
    </row>
    <row r="1817" spans="4:21" s="110" customFormat="1" ht="15.75" customHeight="1">
      <c r="D1817" s="113"/>
      <c r="E1817" s="60"/>
      <c r="F1817" s="60"/>
      <c r="G1817" s="60"/>
      <c r="H1817" s="60"/>
      <c r="I1817" s="60"/>
      <c r="J1817" s="114"/>
      <c r="K1817" s="60"/>
      <c r="L1817" s="109"/>
      <c r="M1817" s="109"/>
      <c r="N1817" s="109"/>
      <c r="O1817" s="109"/>
      <c r="P1817" s="109"/>
      <c r="Q1817" s="109"/>
      <c r="S1817" s="111"/>
      <c r="T1817" s="60"/>
      <c r="U1817" s="112"/>
    </row>
    <row r="1818" spans="4:21" s="110" customFormat="1" ht="15.75" customHeight="1">
      <c r="D1818" s="113"/>
      <c r="E1818" s="60"/>
      <c r="F1818" s="60"/>
      <c r="G1818" s="60"/>
      <c r="H1818" s="60"/>
      <c r="I1818" s="60"/>
      <c r="J1818" s="114"/>
      <c r="K1818" s="60"/>
      <c r="L1818" s="109"/>
      <c r="M1818" s="109"/>
      <c r="N1818" s="109"/>
      <c r="O1818" s="109"/>
      <c r="P1818" s="109"/>
      <c r="Q1818" s="109"/>
      <c r="S1818" s="111"/>
      <c r="T1818" s="60"/>
      <c r="U1818" s="112"/>
    </row>
    <row r="1819" spans="4:21" s="110" customFormat="1" ht="15.75" customHeight="1">
      <c r="D1819" s="113"/>
      <c r="E1819" s="60"/>
      <c r="F1819" s="60"/>
      <c r="G1819" s="60"/>
      <c r="H1819" s="60"/>
      <c r="I1819" s="60"/>
      <c r="J1819" s="114"/>
      <c r="K1819" s="60"/>
      <c r="L1819" s="109"/>
      <c r="M1819" s="109"/>
      <c r="N1819" s="109"/>
      <c r="O1819" s="109"/>
      <c r="P1819" s="109"/>
      <c r="Q1819" s="109"/>
      <c r="S1819" s="111"/>
      <c r="T1819" s="60"/>
      <c r="U1819" s="112"/>
    </row>
    <row r="1820" spans="4:21" s="110" customFormat="1" ht="15.75" customHeight="1">
      <c r="D1820" s="113"/>
      <c r="E1820" s="60"/>
      <c r="F1820" s="60"/>
      <c r="G1820" s="60"/>
      <c r="H1820" s="60"/>
      <c r="I1820" s="60"/>
      <c r="J1820" s="114"/>
      <c r="K1820" s="60"/>
      <c r="L1820" s="109"/>
      <c r="M1820" s="109"/>
      <c r="N1820" s="109"/>
      <c r="O1820" s="109"/>
      <c r="P1820" s="109"/>
      <c r="Q1820" s="109"/>
      <c r="S1820" s="111"/>
      <c r="T1820" s="60"/>
      <c r="U1820" s="112"/>
    </row>
    <row r="1821" spans="4:21" s="110" customFormat="1" ht="15.75" customHeight="1">
      <c r="D1821" s="113"/>
      <c r="E1821" s="60"/>
      <c r="F1821" s="60"/>
      <c r="G1821" s="60"/>
      <c r="H1821" s="60"/>
      <c r="I1821" s="60"/>
      <c r="J1821" s="114"/>
      <c r="K1821" s="60"/>
      <c r="L1821" s="109"/>
      <c r="M1821" s="109"/>
      <c r="N1821" s="109"/>
      <c r="O1821" s="109"/>
      <c r="P1821" s="109"/>
      <c r="Q1821" s="109"/>
      <c r="S1821" s="111"/>
      <c r="T1821" s="60"/>
      <c r="U1821" s="112"/>
    </row>
    <row r="1822" spans="4:21" s="110" customFormat="1" ht="15.75" customHeight="1">
      <c r="D1822" s="113"/>
      <c r="E1822" s="60"/>
      <c r="F1822" s="60"/>
      <c r="G1822" s="60"/>
      <c r="H1822" s="60"/>
      <c r="I1822" s="60"/>
      <c r="J1822" s="114"/>
      <c r="K1822" s="60"/>
      <c r="L1822" s="109"/>
      <c r="M1822" s="109"/>
      <c r="N1822" s="109"/>
      <c r="O1822" s="109"/>
      <c r="P1822" s="109"/>
      <c r="Q1822" s="109"/>
      <c r="S1822" s="111"/>
      <c r="T1822" s="60"/>
      <c r="U1822" s="112"/>
    </row>
    <row r="1823" spans="4:21" s="110" customFormat="1" ht="15.75" customHeight="1">
      <c r="D1823" s="113"/>
      <c r="E1823" s="60"/>
      <c r="F1823" s="60"/>
      <c r="G1823" s="60"/>
      <c r="H1823" s="60"/>
      <c r="I1823" s="60"/>
      <c r="J1823" s="114"/>
      <c r="K1823" s="60"/>
      <c r="L1823" s="109"/>
      <c r="M1823" s="109"/>
      <c r="N1823" s="109"/>
      <c r="O1823" s="109"/>
      <c r="P1823" s="109"/>
      <c r="Q1823" s="109"/>
      <c r="S1823" s="111"/>
      <c r="T1823" s="60"/>
      <c r="U1823" s="112"/>
    </row>
    <row r="1824" spans="4:21" s="110" customFormat="1" ht="15.75" customHeight="1">
      <c r="D1824" s="113"/>
      <c r="E1824" s="60"/>
      <c r="F1824" s="60"/>
      <c r="G1824" s="60"/>
      <c r="H1824" s="60"/>
      <c r="I1824" s="60"/>
      <c r="J1824" s="114"/>
      <c r="K1824" s="60"/>
      <c r="L1824" s="109"/>
      <c r="M1824" s="109"/>
      <c r="N1824" s="109"/>
      <c r="O1824" s="109"/>
      <c r="P1824" s="109"/>
      <c r="Q1824" s="109"/>
      <c r="S1824" s="111"/>
      <c r="T1824" s="60"/>
      <c r="U1824" s="112"/>
    </row>
    <row r="1825" spans="4:21" s="110" customFormat="1" ht="15.75" customHeight="1">
      <c r="D1825" s="113"/>
      <c r="E1825" s="60"/>
      <c r="F1825" s="60"/>
      <c r="G1825" s="60"/>
      <c r="H1825" s="60"/>
      <c r="I1825" s="60"/>
      <c r="J1825" s="114"/>
      <c r="K1825" s="60"/>
      <c r="L1825" s="109"/>
      <c r="M1825" s="109"/>
      <c r="N1825" s="109"/>
      <c r="O1825" s="109"/>
      <c r="P1825" s="109"/>
      <c r="Q1825" s="109"/>
      <c r="S1825" s="111"/>
      <c r="T1825" s="60"/>
      <c r="U1825" s="112"/>
    </row>
    <row r="1826" spans="4:21" s="110" customFormat="1" ht="15.75" customHeight="1">
      <c r="D1826" s="113"/>
      <c r="E1826" s="60"/>
      <c r="F1826" s="60"/>
      <c r="G1826" s="60"/>
      <c r="H1826" s="60"/>
      <c r="I1826" s="60"/>
      <c r="J1826" s="114"/>
      <c r="K1826" s="60"/>
      <c r="L1826" s="109"/>
      <c r="M1826" s="109"/>
      <c r="N1826" s="109"/>
      <c r="O1826" s="109"/>
      <c r="P1826" s="109"/>
      <c r="Q1826" s="109"/>
      <c r="S1826" s="111"/>
      <c r="T1826" s="60"/>
      <c r="U1826" s="112"/>
    </row>
    <row r="1827" spans="4:21" s="110" customFormat="1" ht="15.75" customHeight="1">
      <c r="D1827" s="113"/>
      <c r="E1827" s="60"/>
      <c r="F1827" s="60"/>
      <c r="G1827" s="60"/>
      <c r="H1827" s="60"/>
      <c r="I1827" s="60"/>
      <c r="J1827" s="114"/>
      <c r="K1827" s="60"/>
      <c r="L1827" s="109"/>
      <c r="M1827" s="109"/>
      <c r="N1827" s="109"/>
      <c r="O1827" s="109"/>
      <c r="P1827" s="109"/>
      <c r="Q1827" s="109"/>
      <c r="S1827" s="111"/>
      <c r="T1827" s="60"/>
      <c r="U1827" s="112"/>
    </row>
    <row r="1828" spans="4:21" s="110" customFormat="1" ht="15.75" customHeight="1">
      <c r="D1828" s="113"/>
      <c r="E1828" s="60"/>
      <c r="F1828" s="60"/>
      <c r="G1828" s="60"/>
      <c r="H1828" s="60"/>
      <c r="I1828" s="60"/>
      <c r="J1828" s="114"/>
      <c r="K1828" s="60"/>
      <c r="L1828" s="109"/>
      <c r="M1828" s="109"/>
      <c r="N1828" s="109"/>
      <c r="O1828" s="109"/>
      <c r="P1828" s="109"/>
      <c r="Q1828" s="109"/>
      <c r="S1828" s="111"/>
      <c r="T1828" s="60"/>
      <c r="U1828" s="112"/>
    </row>
    <row r="1829" spans="4:21" s="110" customFormat="1" ht="15.75" customHeight="1">
      <c r="D1829" s="113"/>
      <c r="E1829" s="60"/>
      <c r="F1829" s="60"/>
      <c r="G1829" s="60"/>
      <c r="H1829" s="60"/>
      <c r="I1829" s="60"/>
      <c r="J1829" s="114"/>
      <c r="K1829" s="60"/>
      <c r="L1829" s="109"/>
      <c r="M1829" s="109"/>
      <c r="N1829" s="109"/>
      <c r="O1829" s="109"/>
      <c r="P1829" s="109"/>
      <c r="Q1829" s="109"/>
      <c r="S1829" s="111"/>
      <c r="T1829" s="60"/>
      <c r="U1829" s="112"/>
    </row>
    <row r="1830" spans="4:21" s="110" customFormat="1" ht="15.75" customHeight="1">
      <c r="D1830" s="113"/>
      <c r="E1830" s="60"/>
      <c r="F1830" s="60"/>
      <c r="G1830" s="60"/>
      <c r="H1830" s="60"/>
      <c r="I1830" s="60"/>
      <c r="J1830" s="114"/>
      <c r="K1830" s="60"/>
      <c r="L1830" s="109"/>
      <c r="M1830" s="109"/>
      <c r="N1830" s="109"/>
      <c r="O1830" s="109"/>
      <c r="P1830" s="109"/>
      <c r="Q1830" s="109"/>
      <c r="S1830" s="111"/>
      <c r="T1830" s="60"/>
      <c r="U1830" s="112"/>
    </row>
    <row r="1831" spans="4:21" s="110" customFormat="1" ht="15.75" customHeight="1">
      <c r="D1831" s="113"/>
      <c r="E1831" s="60"/>
      <c r="F1831" s="60"/>
      <c r="G1831" s="60"/>
      <c r="H1831" s="60"/>
      <c r="I1831" s="60"/>
      <c r="J1831" s="114"/>
      <c r="K1831" s="60"/>
      <c r="L1831" s="109"/>
      <c r="M1831" s="109"/>
      <c r="N1831" s="109"/>
      <c r="O1831" s="109"/>
      <c r="P1831" s="109"/>
      <c r="Q1831" s="109"/>
      <c r="S1831" s="111"/>
      <c r="T1831" s="60"/>
      <c r="U1831" s="112"/>
    </row>
    <row r="1832" spans="4:21" s="110" customFormat="1" ht="15.75" customHeight="1">
      <c r="D1832" s="113"/>
      <c r="E1832" s="60"/>
      <c r="F1832" s="60"/>
      <c r="G1832" s="60"/>
      <c r="H1832" s="60"/>
      <c r="I1832" s="60"/>
      <c r="J1832" s="114"/>
      <c r="K1832" s="60"/>
      <c r="L1832" s="109"/>
      <c r="M1832" s="109"/>
      <c r="N1832" s="109"/>
      <c r="O1832" s="109"/>
      <c r="P1832" s="109"/>
      <c r="Q1832" s="109"/>
      <c r="S1832" s="111"/>
      <c r="T1832" s="60"/>
      <c r="U1832" s="112"/>
    </row>
    <row r="1833" spans="4:21" s="110" customFormat="1" ht="15.75" customHeight="1">
      <c r="D1833" s="113"/>
      <c r="E1833" s="60"/>
      <c r="F1833" s="60"/>
      <c r="G1833" s="60"/>
      <c r="H1833" s="60"/>
      <c r="I1833" s="60"/>
      <c r="J1833" s="114"/>
      <c r="K1833" s="60"/>
      <c r="L1833" s="109"/>
      <c r="M1833" s="109"/>
      <c r="N1833" s="109"/>
      <c r="O1833" s="109"/>
      <c r="P1833" s="109"/>
      <c r="Q1833" s="109"/>
      <c r="S1833" s="111"/>
      <c r="T1833" s="60"/>
      <c r="U1833" s="112"/>
    </row>
    <row r="1834" spans="4:21" s="110" customFormat="1" ht="15.75" customHeight="1">
      <c r="D1834" s="113"/>
      <c r="E1834" s="60"/>
      <c r="F1834" s="60"/>
      <c r="G1834" s="60"/>
      <c r="H1834" s="60"/>
      <c r="I1834" s="60"/>
      <c r="J1834" s="114"/>
      <c r="K1834" s="60"/>
      <c r="L1834" s="109"/>
      <c r="M1834" s="109"/>
      <c r="N1834" s="109"/>
      <c r="O1834" s="109"/>
      <c r="P1834" s="109"/>
      <c r="Q1834" s="109"/>
      <c r="S1834" s="111"/>
      <c r="T1834" s="60"/>
      <c r="U1834" s="112"/>
    </row>
    <row r="1835" spans="4:21" s="110" customFormat="1" ht="15.75" customHeight="1">
      <c r="D1835" s="113"/>
      <c r="E1835" s="60"/>
      <c r="F1835" s="60"/>
      <c r="G1835" s="60"/>
      <c r="H1835" s="60"/>
      <c r="I1835" s="60"/>
      <c r="J1835" s="114"/>
      <c r="K1835" s="60"/>
      <c r="L1835" s="109"/>
      <c r="M1835" s="109"/>
      <c r="N1835" s="109"/>
      <c r="O1835" s="109"/>
      <c r="P1835" s="109"/>
      <c r="Q1835" s="109"/>
      <c r="S1835" s="111"/>
      <c r="T1835" s="60"/>
      <c r="U1835" s="112"/>
    </row>
    <row r="1836" spans="4:21" s="110" customFormat="1" ht="15.75" customHeight="1">
      <c r="D1836" s="113"/>
      <c r="E1836" s="60"/>
      <c r="F1836" s="60"/>
      <c r="G1836" s="60"/>
      <c r="H1836" s="60"/>
      <c r="I1836" s="60"/>
      <c r="J1836" s="114"/>
      <c r="K1836" s="60"/>
      <c r="L1836" s="109"/>
      <c r="M1836" s="109"/>
      <c r="N1836" s="109"/>
      <c r="O1836" s="109"/>
      <c r="P1836" s="109"/>
      <c r="Q1836" s="109"/>
      <c r="S1836" s="111"/>
      <c r="T1836" s="60"/>
      <c r="U1836" s="112"/>
    </row>
    <row r="1837" spans="4:21" s="110" customFormat="1" ht="15.75" customHeight="1">
      <c r="D1837" s="113"/>
      <c r="E1837" s="60"/>
      <c r="F1837" s="60"/>
      <c r="G1837" s="60"/>
      <c r="H1837" s="60"/>
      <c r="I1837" s="60"/>
      <c r="J1837" s="114"/>
      <c r="K1837" s="60"/>
      <c r="L1837" s="109"/>
      <c r="M1837" s="109"/>
      <c r="N1837" s="109"/>
      <c r="O1837" s="109"/>
      <c r="P1837" s="109"/>
      <c r="Q1837" s="109"/>
      <c r="S1837" s="111"/>
      <c r="T1837" s="60"/>
      <c r="U1837" s="112"/>
    </row>
    <row r="1838" spans="4:21" s="110" customFormat="1" ht="15.75" customHeight="1">
      <c r="D1838" s="113"/>
      <c r="E1838" s="60"/>
      <c r="F1838" s="60"/>
      <c r="G1838" s="60"/>
      <c r="H1838" s="60"/>
      <c r="I1838" s="60"/>
      <c r="J1838" s="114"/>
      <c r="K1838" s="60"/>
      <c r="L1838" s="109"/>
      <c r="M1838" s="109"/>
      <c r="N1838" s="109"/>
      <c r="O1838" s="109"/>
      <c r="P1838" s="109"/>
      <c r="Q1838" s="109"/>
      <c r="S1838" s="111"/>
      <c r="T1838" s="60"/>
      <c r="U1838" s="112"/>
    </row>
    <row r="1839" spans="4:21" s="110" customFormat="1" ht="15.75" customHeight="1">
      <c r="D1839" s="113"/>
      <c r="E1839" s="60"/>
      <c r="F1839" s="60"/>
      <c r="G1839" s="60"/>
      <c r="H1839" s="60"/>
      <c r="I1839" s="60"/>
      <c r="J1839" s="114"/>
      <c r="K1839" s="60"/>
      <c r="L1839" s="109"/>
      <c r="M1839" s="109"/>
      <c r="N1839" s="109"/>
      <c r="O1839" s="109"/>
      <c r="P1839" s="109"/>
      <c r="Q1839" s="109"/>
      <c r="S1839" s="111"/>
      <c r="T1839" s="60"/>
      <c r="U1839" s="112"/>
    </row>
    <row r="1840" spans="4:21" s="110" customFormat="1" ht="15.75" customHeight="1">
      <c r="D1840" s="113"/>
      <c r="E1840" s="60"/>
      <c r="F1840" s="60"/>
      <c r="G1840" s="60"/>
      <c r="H1840" s="60"/>
      <c r="I1840" s="60"/>
      <c r="J1840" s="114"/>
      <c r="K1840" s="60"/>
      <c r="L1840" s="109"/>
      <c r="M1840" s="109"/>
      <c r="N1840" s="109"/>
      <c r="O1840" s="109"/>
      <c r="P1840" s="109"/>
      <c r="Q1840" s="109"/>
      <c r="S1840" s="111"/>
      <c r="T1840" s="60"/>
      <c r="U1840" s="112"/>
    </row>
    <row r="1841" spans="4:21" s="110" customFormat="1" ht="15.75" customHeight="1">
      <c r="D1841" s="113"/>
      <c r="E1841" s="60"/>
      <c r="F1841" s="60"/>
      <c r="G1841" s="60"/>
      <c r="H1841" s="60"/>
      <c r="I1841" s="60"/>
      <c r="J1841" s="114"/>
      <c r="K1841" s="60"/>
      <c r="L1841" s="109"/>
      <c r="M1841" s="109"/>
      <c r="N1841" s="109"/>
      <c r="O1841" s="109"/>
      <c r="P1841" s="109"/>
      <c r="Q1841" s="109"/>
      <c r="S1841" s="111"/>
      <c r="T1841" s="60"/>
      <c r="U1841" s="112"/>
    </row>
    <row r="1842" spans="4:21" s="110" customFormat="1" ht="15.75" customHeight="1">
      <c r="D1842" s="113"/>
      <c r="E1842" s="60"/>
      <c r="F1842" s="60"/>
      <c r="G1842" s="60"/>
      <c r="H1842" s="60"/>
      <c r="I1842" s="60"/>
      <c r="J1842" s="114"/>
      <c r="K1842" s="60"/>
      <c r="L1842" s="109"/>
      <c r="M1842" s="109"/>
      <c r="N1842" s="109"/>
      <c r="O1842" s="109"/>
      <c r="P1842" s="109"/>
      <c r="Q1842" s="109"/>
      <c r="S1842" s="111"/>
      <c r="T1842" s="60"/>
      <c r="U1842" s="112"/>
    </row>
    <row r="1843" spans="4:21" s="110" customFormat="1" ht="15.75" customHeight="1">
      <c r="D1843" s="113"/>
      <c r="E1843" s="60"/>
      <c r="F1843" s="60"/>
      <c r="G1843" s="60"/>
      <c r="H1843" s="60"/>
      <c r="I1843" s="60"/>
      <c r="J1843" s="114"/>
      <c r="K1843" s="60"/>
      <c r="L1843" s="109"/>
      <c r="M1843" s="109"/>
      <c r="N1843" s="109"/>
      <c r="O1843" s="109"/>
      <c r="P1843" s="109"/>
      <c r="Q1843" s="109"/>
      <c r="S1843" s="111"/>
      <c r="T1843" s="60"/>
      <c r="U1843" s="112"/>
    </row>
    <row r="1844" spans="4:21" s="110" customFormat="1" ht="15.75" customHeight="1">
      <c r="D1844" s="113"/>
      <c r="E1844" s="60"/>
      <c r="F1844" s="60"/>
      <c r="G1844" s="60"/>
      <c r="H1844" s="60"/>
      <c r="I1844" s="60"/>
      <c r="J1844" s="114"/>
      <c r="K1844" s="60"/>
      <c r="L1844" s="109"/>
      <c r="M1844" s="109"/>
      <c r="N1844" s="109"/>
      <c r="O1844" s="109"/>
      <c r="P1844" s="109"/>
      <c r="Q1844" s="109"/>
      <c r="S1844" s="111"/>
      <c r="T1844" s="60"/>
      <c r="U1844" s="112"/>
    </row>
    <row r="1845" spans="4:21" s="110" customFormat="1" ht="15.75" customHeight="1">
      <c r="D1845" s="113"/>
      <c r="E1845" s="60"/>
      <c r="F1845" s="60"/>
      <c r="G1845" s="60"/>
      <c r="H1845" s="60"/>
      <c r="I1845" s="60"/>
      <c r="J1845" s="114"/>
      <c r="K1845" s="60"/>
      <c r="L1845" s="109"/>
      <c r="M1845" s="109"/>
      <c r="N1845" s="109"/>
      <c r="O1845" s="109"/>
      <c r="P1845" s="109"/>
      <c r="Q1845" s="109"/>
      <c r="S1845" s="111"/>
      <c r="T1845" s="60"/>
      <c r="U1845" s="112"/>
    </row>
    <row r="1846" spans="4:21" s="110" customFormat="1" ht="15.75" customHeight="1">
      <c r="D1846" s="113"/>
      <c r="E1846" s="60"/>
      <c r="F1846" s="60"/>
      <c r="G1846" s="60"/>
      <c r="H1846" s="60"/>
      <c r="I1846" s="60"/>
      <c r="J1846" s="114"/>
      <c r="K1846" s="60"/>
      <c r="L1846" s="109"/>
      <c r="M1846" s="109"/>
      <c r="N1846" s="109"/>
      <c r="O1846" s="109"/>
      <c r="P1846" s="109"/>
      <c r="Q1846" s="109"/>
      <c r="S1846" s="111"/>
      <c r="T1846" s="60"/>
      <c r="U1846" s="112"/>
    </row>
    <row r="1847" spans="4:21" s="110" customFormat="1" ht="15.75" customHeight="1">
      <c r="D1847" s="113"/>
      <c r="E1847" s="60"/>
      <c r="F1847" s="60"/>
      <c r="G1847" s="60"/>
      <c r="H1847" s="60"/>
      <c r="I1847" s="60"/>
      <c r="J1847" s="114"/>
      <c r="K1847" s="60"/>
      <c r="L1847" s="109"/>
      <c r="M1847" s="109"/>
      <c r="N1847" s="109"/>
      <c r="O1847" s="109"/>
      <c r="P1847" s="109"/>
      <c r="Q1847" s="109"/>
      <c r="S1847" s="111"/>
      <c r="T1847" s="60"/>
      <c r="U1847" s="112"/>
    </row>
    <row r="1848" spans="4:21" s="110" customFormat="1" ht="15.75" customHeight="1">
      <c r="D1848" s="113"/>
      <c r="E1848" s="60"/>
      <c r="F1848" s="60"/>
      <c r="G1848" s="60"/>
      <c r="H1848" s="60"/>
      <c r="I1848" s="60"/>
      <c r="J1848" s="114"/>
      <c r="K1848" s="60"/>
      <c r="L1848" s="109"/>
      <c r="M1848" s="109"/>
      <c r="N1848" s="109"/>
      <c r="O1848" s="109"/>
      <c r="P1848" s="109"/>
      <c r="Q1848" s="109"/>
      <c r="S1848" s="111"/>
      <c r="T1848" s="60"/>
      <c r="U1848" s="112"/>
    </row>
    <row r="1849" spans="4:21" s="110" customFormat="1" ht="15.75" customHeight="1">
      <c r="D1849" s="113"/>
      <c r="E1849" s="60"/>
      <c r="F1849" s="60"/>
      <c r="G1849" s="60"/>
      <c r="H1849" s="60"/>
      <c r="I1849" s="60"/>
      <c r="J1849" s="114"/>
      <c r="K1849" s="60"/>
      <c r="L1849" s="109"/>
      <c r="M1849" s="109"/>
      <c r="N1849" s="109"/>
      <c r="O1849" s="109"/>
      <c r="P1849" s="109"/>
      <c r="Q1849" s="109"/>
      <c r="S1849" s="111"/>
      <c r="T1849" s="60"/>
      <c r="U1849" s="112"/>
    </row>
    <row r="1850" spans="4:21" s="110" customFormat="1" ht="15.75" customHeight="1">
      <c r="D1850" s="113"/>
      <c r="E1850" s="60"/>
      <c r="F1850" s="60"/>
      <c r="G1850" s="60"/>
      <c r="H1850" s="60"/>
      <c r="I1850" s="60"/>
      <c r="J1850" s="114"/>
      <c r="K1850" s="60"/>
      <c r="L1850" s="109"/>
      <c r="M1850" s="109"/>
      <c r="N1850" s="109"/>
      <c r="O1850" s="109"/>
      <c r="P1850" s="109"/>
      <c r="Q1850" s="109"/>
      <c r="S1850" s="111"/>
      <c r="T1850" s="60"/>
      <c r="U1850" s="112"/>
    </row>
    <row r="1851" spans="4:21" s="110" customFormat="1" ht="15.75" customHeight="1">
      <c r="D1851" s="113"/>
      <c r="E1851" s="60"/>
      <c r="F1851" s="60"/>
      <c r="G1851" s="60"/>
      <c r="H1851" s="60"/>
      <c r="I1851" s="60"/>
      <c r="J1851" s="114"/>
      <c r="K1851" s="60"/>
      <c r="L1851" s="109"/>
      <c r="M1851" s="109"/>
      <c r="N1851" s="109"/>
      <c r="O1851" s="109"/>
      <c r="P1851" s="109"/>
      <c r="Q1851" s="109"/>
      <c r="S1851" s="111"/>
      <c r="T1851" s="60"/>
      <c r="U1851" s="112"/>
    </row>
    <row r="1852" spans="4:21" s="110" customFormat="1" ht="15.75" customHeight="1">
      <c r="D1852" s="113"/>
      <c r="E1852" s="60"/>
      <c r="F1852" s="60"/>
      <c r="G1852" s="60"/>
      <c r="H1852" s="60"/>
      <c r="I1852" s="60"/>
      <c r="J1852" s="114"/>
      <c r="K1852" s="60"/>
      <c r="L1852" s="109"/>
      <c r="M1852" s="109"/>
      <c r="N1852" s="109"/>
      <c r="O1852" s="109"/>
      <c r="P1852" s="109"/>
      <c r="Q1852" s="109"/>
      <c r="S1852" s="111"/>
      <c r="T1852" s="60"/>
      <c r="U1852" s="112"/>
    </row>
    <row r="1853" spans="4:21" s="110" customFormat="1" ht="15.75" customHeight="1">
      <c r="D1853" s="113"/>
      <c r="E1853" s="60"/>
      <c r="F1853" s="60"/>
      <c r="G1853" s="60"/>
      <c r="H1853" s="60"/>
      <c r="I1853" s="60"/>
      <c r="J1853" s="114"/>
      <c r="K1853" s="60"/>
      <c r="L1853" s="109"/>
      <c r="M1853" s="109"/>
      <c r="N1853" s="109"/>
      <c r="O1853" s="109"/>
      <c r="P1853" s="109"/>
      <c r="Q1853" s="109"/>
      <c r="S1853" s="111"/>
      <c r="T1853" s="60"/>
      <c r="U1853" s="112"/>
    </row>
    <row r="1854" spans="4:21" s="110" customFormat="1" ht="15.75" customHeight="1">
      <c r="D1854" s="113"/>
      <c r="E1854" s="60"/>
      <c r="F1854" s="60"/>
      <c r="G1854" s="60"/>
      <c r="H1854" s="60"/>
      <c r="I1854" s="60"/>
      <c r="J1854" s="114"/>
      <c r="K1854" s="60"/>
      <c r="L1854" s="109"/>
      <c r="M1854" s="109"/>
      <c r="N1854" s="109"/>
      <c r="O1854" s="109"/>
      <c r="P1854" s="109"/>
      <c r="Q1854" s="109"/>
      <c r="S1854" s="111"/>
      <c r="T1854" s="60"/>
      <c r="U1854" s="112"/>
    </row>
    <row r="1855" spans="4:21" s="110" customFormat="1" ht="15.75" customHeight="1">
      <c r="D1855" s="113"/>
      <c r="E1855" s="60"/>
      <c r="F1855" s="60"/>
      <c r="G1855" s="60"/>
      <c r="H1855" s="60"/>
      <c r="I1855" s="60"/>
      <c r="J1855" s="114"/>
      <c r="K1855" s="60"/>
      <c r="L1855" s="109"/>
      <c r="M1855" s="109"/>
      <c r="N1855" s="109"/>
      <c r="O1855" s="109"/>
      <c r="P1855" s="109"/>
      <c r="Q1855" s="109"/>
      <c r="S1855" s="111"/>
      <c r="T1855" s="60"/>
      <c r="U1855" s="112"/>
    </row>
    <row r="1856" spans="4:21" s="110" customFormat="1" ht="15.75" customHeight="1">
      <c r="D1856" s="113"/>
      <c r="E1856" s="60"/>
      <c r="F1856" s="60"/>
      <c r="G1856" s="60"/>
      <c r="H1856" s="60"/>
      <c r="I1856" s="60"/>
      <c r="J1856" s="114"/>
      <c r="K1856" s="60"/>
      <c r="L1856" s="109"/>
      <c r="M1856" s="109"/>
      <c r="N1856" s="109"/>
      <c r="O1856" s="109"/>
      <c r="P1856" s="109"/>
      <c r="Q1856" s="109"/>
      <c r="S1856" s="111"/>
      <c r="T1856" s="60"/>
      <c r="U1856" s="112"/>
    </row>
    <row r="1857" spans="4:21" s="110" customFormat="1" ht="15.75" customHeight="1">
      <c r="D1857" s="113"/>
      <c r="E1857" s="60"/>
      <c r="F1857" s="60"/>
      <c r="G1857" s="60"/>
      <c r="H1857" s="60"/>
      <c r="I1857" s="60"/>
      <c r="J1857" s="114"/>
      <c r="K1857" s="60"/>
      <c r="L1857" s="109"/>
      <c r="M1857" s="109"/>
      <c r="N1857" s="109"/>
      <c r="O1857" s="109"/>
      <c r="P1857" s="109"/>
      <c r="Q1857" s="109"/>
      <c r="S1857" s="111"/>
      <c r="T1857" s="60"/>
      <c r="U1857" s="112"/>
    </row>
    <row r="1858" spans="4:21" s="110" customFormat="1" ht="15.75" customHeight="1">
      <c r="D1858" s="113"/>
      <c r="E1858" s="60"/>
      <c r="F1858" s="60"/>
      <c r="G1858" s="60"/>
      <c r="H1858" s="60"/>
      <c r="I1858" s="60"/>
      <c r="J1858" s="114"/>
      <c r="K1858" s="60"/>
      <c r="L1858" s="109"/>
      <c r="M1858" s="109"/>
      <c r="N1858" s="109"/>
      <c r="O1858" s="109"/>
      <c r="P1858" s="109"/>
      <c r="Q1858" s="109"/>
      <c r="S1858" s="111"/>
      <c r="T1858" s="60"/>
      <c r="U1858" s="112"/>
    </row>
    <row r="1859" spans="4:21" s="110" customFormat="1" ht="15.75" customHeight="1">
      <c r="D1859" s="113"/>
      <c r="E1859" s="60"/>
      <c r="F1859" s="60"/>
      <c r="G1859" s="60"/>
      <c r="H1859" s="60"/>
      <c r="I1859" s="60"/>
      <c r="J1859" s="114"/>
      <c r="K1859" s="60"/>
      <c r="L1859" s="109"/>
      <c r="M1859" s="109"/>
      <c r="N1859" s="109"/>
      <c r="O1859" s="109"/>
      <c r="P1859" s="109"/>
      <c r="Q1859" s="109"/>
      <c r="S1859" s="111"/>
      <c r="T1859" s="60"/>
      <c r="U1859" s="112"/>
    </row>
    <row r="1860" spans="4:21" s="110" customFormat="1" ht="15.75" customHeight="1">
      <c r="D1860" s="113"/>
      <c r="E1860" s="60"/>
      <c r="F1860" s="60"/>
      <c r="G1860" s="60"/>
      <c r="H1860" s="60"/>
      <c r="I1860" s="60"/>
      <c r="J1860" s="114"/>
      <c r="K1860" s="60"/>
      <c r="L1860" s="109"/>
      <c r="M1860" s="109"/>
      <c r="N1860" s="109"/>
      <c r="O1860" s="109"/>
      <c r="P1860" s="109"/>
      <c r="Q1860" s="109"/>
      <c r="S1860" s="111"/>
      <c r="T1860" s="60"/>
      <c r="U1860" s="112"/>
    </row>
    <row r="1861" spans="4:21" s="110" customFormat="1" ht="15.75" customHeight="1">
      <c r="D1861" s="113"/>
      <c r="E1861" s="60"/>
      <c r="F1861" s="60"/>
      <c r="G1861" s="60"/>
      <c r="H1861" s="60"/>
      <c r="I1861" s="60"/>
      <c r="J1861" s="114"/>
      <c r="K1861" s="60"/>
      <c r="L1861" s="109"/>
      <c r="M1861" s="109"/>
      <c r="N1861" s="109"/>
      <c r="O1861" s="109"/>
      <c r="P1861" s="109"/>
      <c r="Q1861" s="109"/>
      <c r="S1861" s="111"/>
      <c r="T1861" s="60"/>
      <c r="U1861" s="112"/>
    </row>
    <row r="1862" spans="4:21" s="110" customFormat="1" ht="15.75" customHeight="1">
      <c r="D1862" s="113"/>
      <c r="E1862" s="60"/>
      <c r="F1862" s="60"/>
      <c r="G1862" s="60"/>
      <c r="H1862" s="60"/>
      <c r="I1862" s="60"/>
      <c r="J1862" s="114"/>
      <c r="K1862" s="60"/>
      <c r="L1862" s="109"/>
      <c r="M1862" s="109"/>
      <c r="N1862" s="109"/>
      <c r="O1862" s="109"/>
      <c r="P1862" s="109"/>
      <c r="Q1862" s="109"/>
      <c r="S1862" s="111"/>
      <c r="T1862" s="60"/>
      <c r="U1862" s="112"/>
    </row>
    <row r="1863" spans="4:21" s="110" customFormat="1" ht="15.75" customHeight="1">
      <c r="D1863" s="113"/>
      <c r="E1863" s="60"/>
      <c r="F1863" s="60"/>
      <c r="G1863" s="60"/>
      <c r="H1863" s="60"/>
      <c r="I1863" s="60"/>
      <c r="J1863" s="114"/>
      <c r="K1863" s="60"/>
      <c r="L1863" s="109"/>
      <c r="M1863" s="109"/>
      <c r="N1863" s="109"/>
      <c r="O1863" s="109"/>
      <c r="P1863" s="109"/>
      <c r="Q1863" s="109"/>
      <c r="S1863" s="111"/>
      <c r="T1863" s="60"/>
      <c r="U1863" s="112"/>
    </row>
    <row r="1864" spans="4:21" s="110" customFormat="1" ht="15.75" customHeight="1">
      <c r="D1864" s="113"/>
      <c r="E1864" s="60"/>
      <c r="F1864" s="60"/>
      <c r="G1864" s="60"/>
      <c r="H1864" s="60"/>
      <c r="I1864" s="60"/>
      <c r="J1864" s="114"/>
      <c r="K1864" s="60"/>
      <c r="L1864" s="109"/>
      <c r="M1864" s="109"/>
      <c r="N1864" s="109"/>
      <c r="O1864" s="109"/>
      <c r="P1864" s="109"/>
      <c r="Q1864" s="109"/>
      <c r="S1864" s="111"/>
      <c r="T1864" s="60"/>
      <c r="U1864" s="112"/>
    </row>
    <row r="1865" spans="4:21" s="110" customFormat="1" ht="15.75" customHeight="1">
      <c r="D1865" s="113"/>
      <c r="E1865" s="60"/>
      <c r="F1865" s="60"/>
      <c r="G1865" s="60"/>
      <c r="H1865" s="60"/>
      <c r="I1865" s="60"/>
      <c r="J1865" s="114"/>
      <c r="K1865" s="60"/>
      <c r="L1865" s="109"/>
      <c r="M1865" s="109"/>
      <c r="N1865" s="109"/>
      <c r="O1865" s="109"/>
      <c r="P1865" s="109"/>
      <c r="Q1865" s="109"/>
      <c r="S1865" s="111"/>
      <c r="T1865" s="60"/>
      <c r="U1865" s="112"/>
    </row>
    <row r="1866" spans="4:21" s="110" customFormat="1" ht="15.75" customHeight="1">
      <c r="D1866" s="113"/>
      <c r="E1866" s="60"/>
      <c r="F1866" s="60"/>
      <c r="G1866" s="60"/>
      <c r="H1866" s="60"/>
      <c r="I1866" s="60"/>
      <c r="J1866" s="114"/>
      <c r="K1866" s="60"/>
      <c r="L1866" s="109"/>
      <c r="M1866" s="109"/>
      <c r="N1866" s="109"/>
      <c r="O1866" s="109"/>
      <c r="P1866" s="109"/>
      <c r="Q1866" s="109"/>
      <c r="S1866" s="111"/>
      <c r="T1866" s="60"/>
      <c r="U1866" s="112"/>
    </row>
    <row r="1867" spans="4:21" s="110" customFormat="1" ht="15.75" customHeight="1">
      <c r="D1867" s="113"/>
      <c r="E1867" s="60"/>
      <c r="F1867" s="60"/>
      <c r="G1867" s="60"/>
      <c r="H1867" s="60"/>
      <c r="I1867" s="60"/>
      <c r="J1867" s="114"/>
      <c r="K1867" s="60"/>
      <c r="L1867" s="109"/>
      <c r="M1867" s="109"/>
      <c r="N1867" s="109"/>
      <c r="O1867" s="109"/>
      <c r="P1867" s="109"/>
      <c r="Q1867" s="109"/>
      <c r="S1867" s="111"/>
      <c r="T1867" s="60"/>
      <c r="U1867" s="112"/>
    </row>
    <row r="1868" spans="4:21" s="110" customFormat="1" ht="15.75" customHeight="1">
      <c r="D1868" s="113"/>
      <c r="E1868" s="60"/>
      <c r="F1868" s="60"/>
      <c r="G1868" s="60"/>
      <c r="H1868" s="60"/>
      <c r="I1868" s="60"/>
      <c r="J1868" s="114"/>
      <c r="K1868" s="60"/>
      <c r="L1868" s="109"/>
      <c r="M1868" s="109"/>
      <c r="N1868" s="109"/>
      <c r="O1868" s="109"/>
      <c r="P1868" s="109"/>
      <c r="Q1868" s="109"/>
      <c r="S1868" s="111"/>
      <c r="T1868" s="60"/>
      <c r="U1868" s="112"/>
    </row>
    <row r="1869" spans="4:21" s="110" customFormat="1" ht="15.75" customHeight="1">
      <c r="D1869" s="113"/>
      <c r="E1869" s="60"/>
      <c r="F1869" s="60"/>
      <c r="G1869" s="60"/>
      <c r="H1869" s="60"/>
      <c r="I1869" s="60"/>
      <c r="J1869" s="114"/>
      <c r="K1869" s="60"/>
      <c r="L1869" s="109"/>
      <c r="M1869" s="109"/>
      <c r="N1869" s="109"/>
      <c r="O1869" s="109"/>
      <c r="P1869" s="109"/>
      <c r="Q1869" s="109"/>
      <c r="S1869" s="111"/>
      <c r="T1869" s="60"/>
      <c r="U1869" s="112"/>
    </row>
    <row r="1870" spans="4:21" s="110" customFormat="1" ht="15.75" customHeight="1">
      <c r="D1870" s="113"/>
      <c r="E1870" s="60"/>
      <c r="F1870" s="60"/>
      <c r="G1870" s="60"/>
      <c r="H1870" s="60"/>
      <c r="I1870" s="60"/>
      <c r="J1870" s="114"/>
      <c r="K1870" s="60"/>
      <c r="L1870" s="109"/>
      <c r="M1870" s="109"/>
      <c r="N1870" s="109"/>
      <c r="O1870" s="109"/>
      <c r="P1870" s="109"/>
      <c r="Q1870" s="109"/>
      <c r="S1870" s="111"/>
      <c r="T1870" s="60"/>
      <c r="U1870" s="112"/>
    </row>
    <row r="1871" spans="4:21" s="110" customFormat="1" ht="15.75" customHeight="1">
      <c r="D1871" s="113"/>
      <c r="E1871" s="60"/>
      <c r="F1871" s="60"/>
      <c r="G1871" s="60"/>
      <c r="H1871" s="60"/>
      <c r="I1871" s="60"/>
      <c r="J1871" s="114"/>
      <c r="K1871" s="60"/>
      <c r="L1871" s="109"/>
      <c r="M1871" s="109"/>
      <c r="N1871" s="109"/>
      <c r="O1871" s="109"/>
      <c r="P1871" s="109"/>
      <c r="Q1871" s="109"/>
      <c r="S1871" s="111"/>
      <c r="T1871" s="60"/>
      <c r="U1871" s="112"/>
    </row>
    <row r="1872" spans="4:21" s="110" customFormat="1" ht="15.75" customHeight="1">
      <c r="D1872" s="113"/>
      <c r="E1872" s="60"/>
      <c r="F1872" s="60"/>
      <c r="G1872" s="60"/>
      <c r="H1872" s="60"/>
      <c r="I1872" s="60"/>
      <c r="J1872" s="114"/>
      <c r="K1872" s="60"/>
      <c r="L1872" s="109"/>
      <c r="M1872" s="109"/>
      <c r="N1872" s="109"/>
      <c r="O1872" s="109"/>
      <c r="P1872" s="109"/>
      <c r="Q1872" s="109"/>
      <c r="S1872" s="111"/>
      <c r="T1872" s="60"/>
      <c r="U1872" s="112"/>
    </row>
    <row r="1873" spans="4:21" s="110" customFormat="1" ht="15.75" customHeight="1">
      <c r="D1873" s="113"/>
      <c r="E1873" s="60"/>
      <c r="F1873" s="60"/>
      <c r="G1873" s="60"/>
      <c r="H1873" s="60"/>
      <c r="I1873" s="60"/>
      <c r="J1873" s="114"/>
      <c r="K1873" s="60"/>
      <c r="L1873" s="109"/>
      <c r="M1873" s="109"/>
      <c r="N1873" s="109"/>
      <c r="O1873" s="109"/>
      <c r="P1873" s="109"/>
      <c r="Q1873" s="109"/>
      <c r="S1873" s="111"/>
      <c r="T1873" s="60"/>
      <c r="U1873" s="112"/>
    </row>
    <row r="1874" spans="4:21" s="110" customFormat="1" ht="15.75" customHeight="1">
      <c r="D1874" s="113"/>
      <c r="E1874" s="60"/>
      <c r="F1874" s="60"/>
      <c r="G1874" s="60"/>
      <c r="H1874" s="60"/>
      <c r="I1874" s="60"/>
      <c r="J1874" s="114"/>
      <c r="K1874" s="60"/>
      <c r="L1874" s="109"/>
      <c r="M1874" s="109"/>
      <c r="N1874" s="109"/>
      <c r="O1874" s="109"/>
      <c r="P1874" s="109"/>
      <c r="Q1874" s="109"/>
      <c r="S1874" s="111"/>
      <c r="T1874" s="60"/>
      <c r="U1874" s="112"/>
    </row>
    <row r="1875" spans="4:21" s="110" customFormat="1" ht="15.75" customHeight="1">
      <c r="D1875" s="113"/>
      <c r="E1875" s="60"/>
      <c r="F1875" s="60"/>
      <c r="G1875" s="60"/>
      <c r="H1875" s="60"/>
      <c r="I1875" s="60"/>
      <c r="J1875" s="114"/>
      <c r="K1875" s="60"/>
      <c r="L1875" s="109"/>
      <c r="M1875" s="109"/>
      <c r="N1875" s="109"/>
      <c r="O1875" s="109"/>
      <c r="P1875" s="109"/>
      <c r="Q1875" s="109"/>
      <c r="S1875" s="111"/>
      <c r="T1875" s="60"/>
      <c r="U1875" s="112"/>
    </row>
    <row r="1876" spans="4:21" s="110" customFormat="1" ht="15.75" customHeight="1">
      <c r="D1876" s="113"/>
      <c r="E1876" s="60"/>
      <c r="F1876" s="60"/>
      <c r="G1876" s="60"/>
      <c r="H1876" s="60"/>
      <c r="I1876" s="60"/>
      <c r="J1876" s="114"/>
      <c r="K1876" s="60"/>
      <c r="L1876" s="109"/>
      <c r="M1876" s="109"/>
      <c r="N1876" s="109"/>
      <c r="O1876" s="109"/>
      <c r="P1876" s="109"/>
      <c r="Q1876" s="109"/>
      <c r="S1876" s="111"/>
      <c r="T1876" s="60"/>
      <c r="U1876" s="112"/>
    </row>
    <row r="1877" spans="4:21" s="110" customFormat="1" ht="15.75" customHeight="1">
      <c r="D1877" s="113"/>
      <c r="E1877" s="60"/>
      <c r="F1877" s="60"/>
      <c r="G1877" s="60"/>
      <c r="H1877" s="60"/>
      <c r="I1877" s="60"/>
      <c r="J1877" s="114"/>
      <c r="K1877" s="60"/>
      <c r="L1877" s="109"/>
      <c r="M1877" s="109"/>
      <c r="N1877" s="109"/>
      <c r="O1877" s="109"/>
      <c r="P1877" s="109"/>
      <c r="Q1877" s="109"/>
      <c r="S1877" s="111"/>
      <c r="T1877" s="60"/>
      <c r="U1877" s="112"/>
    </row>
    <row r="1878" spans="4:21" s="110" customFormat="1" ht="15.75" customHeight="1">
      <c r="D1878" s="113"/>
      <c r="E1878" s="60"/>
      <c r="F1878" s="60"/>
      <c r="G1878" s="60"/>
      <c r="H1878" s="60"/>
      <c r="I1878" s="60"/>
      <c r="J1878" s="114"/>
      <c r="K1878" s="60"/>
      <c r="L1878" s="109"/>
      <c r="M1878" s="109"/>
      <c r="N1878" s="109"/>
      <c r="O1878" s="109"/>
      <c r="P1878" s="109"/>
      <c r="Q1878" s="109"/>
      <c r="S1878" s="111"/>
      <c r="T1878" s="60"/>
      <c r="U1878" s="112"/>
    </row>
    <row r="1879" spans="4:21" s="110" customFormat="1" ht="15.75" customHeight="1">
      <c r="D1879" s="113"/>
      <c r="E1879" s="60"/>
      <c r="F1879" s="60"/>
      <c r="G1879" s="60"/>
      <c r="H1879" s="60"/>
      <c r="I1879" s="60"/>
      <c r="J1879" s="114"/>
      <c r="K1879" s="60"/>
      <c r="L1879" s="109"/>
      <c r="M1879" s="109"/>
      <c r="N1879" s="109"/>
      <c r="O1879" s="109"/>
      <c r="P1879" s="109"/>
      <c r="Q1879" s="109"/>
      <c r="S1879" s="111"/>
      <c r="T1879" s="60"/>
      <c r="U1879" s="112"/>
    </row>
    <row r="1880" spans="4:21" s="110" customFormat="1" ht="15.75" customHeight="1">
      <c r="D1880" s="113"/>
      <c r="E1880" s="60"/>
      <c r="F1880" s="60"/>
      <c r="G1880" s="60"/>
      <c r="H1880" s="60"/>
      <c r="I1880" s="60"/>
      <c r="J1880" s="114"/>
      <c r="K1880" s="60"/>
      <c r="L1880" s="109"/>
      <c r="M1880" s="109"/>
      <c r="N1880" s="109"/>
      <c r="O1880" s="109"/>
      <c r="P1880" s="109"/>
      <c r="Q1880" s="109"/>
      <c r="S1880" s="111"/>
      <c r="T1880" s="60"/>
      <c r="U1880" s="112"/>
    </row>
    <row r="1881" spans="4:21" s="110" customFormat="1" ht="15.75" customHeight="1">
      <c r="D1881" s="113"/>
      <c r="E1881" s="60"/>
      <c r="F1881" s="60"/>
      <c r="G1881" s="60"/>
      <c r="H1881" s="60"/>
      <c r="I1881" s="60"/>
      <c r="J1881" s="114"/>
      <c r="K1881" s="60"/>
      <c r="L1881" s="109"/>
      <c r="M1881" s="109"/>
      <c r="N1881" s="109"/>
      <c r="O1881" s="109"/>
      <c r="P1881" s="109"/>
      <c r="Q1881" s="109"/>
      <c r="S1881" s="111"/>
      <c r="T1881" s="60"/>
      <c r="U1881" s="112"/>
    </row>
    <row r="1882" spans="4:21" s="110" customFormat="1" ht="15.75" customHeight="1">
      <c r="D1882" s="113"/>
      <c r="E1882" s="60"/>
      <c r="F1882" s="60"/>
      <c r="G1882" s="60"/>
      <c r="H1882" s="60"/>
      <c r="I1882" s="60"/>
      <c r="J1882" s="114"/>
      <c r="K1882" s="60"/>
      <c r="L1882" s="109"/>
      <c r="M1882" s="109"/>
      <c r="N1882" s="109"/>
      <c r="O1882" s="109"/>
      <c r="P1882" s="109"/>
      <c r="Q1882" s="109"/>
      <c r="S1882" s="111"/>
      <c r="T1882" s="60"/>
      <c r="U1882" s="112"/>
    </row>
    <row r="1883" spans="4:21" s="110" customFormat="1" ht="15.75" customHeight="1">
      <c r="D1883" s="113"/>
      <c r="E1883" s="60"/>
      <c r="F1883" s="60"/>
      <c r="G1883" s="60"/>
      <c r="H1883" s="60"/>
      <c r="I1883" s="60"/>
      <c r="J1883" s="114"/>
      <c r="K1883" s="60"/>
      <c r="L1883" s="109"/>
      <c r="M1883" s="109"/>
      <c r="N1883" s="109"/>
      <c r="O1883" s="109"/>
      <c r="P1883" s="109"/>
      <c r="Q1883" s="109"/>
      <c r="S1883" s="111"/>
      <c r="T1883" s="60"/>
      <c r="U1883" s="112"/>
    </row>
    <row r="1884" spans="4:21" s="110" customFormat="1" ht="15.75" customHeight="1">
      <c r="D1884" s="113"/>
      <c r="E1884" s="60"/>
      <c r="F1884" s="60"/>
      <c r="G1884" s="60"/>
      <c r="H1884" s="60"/>
      <c r="I1884" s="60"/>
      <c r="J1884" s="114"/>
      <c r="K1884" s="60"/>
      <c r="L1884" s="109"/>
      <c r="M1884" s="109"/>
      <c r="N1884" s="109"/>
      <c r="O1884" s="109"/>
      <c r="P1884" s="109"/>
      <c r="Q1884" s="109"/>
      <c r="S1884" s="111"/>
      <c r="T1884" s="60"/>
      <c r="U1884" s="112"/>
    </row>
    <row r="1885" spans="4:21" s="110" customFormat="1" ht="15.75" customHeight="1">
      <c r="D1885" s="113"/>
      <c r="E1885" s="60"/>
      <c r="F1885" s="60"/>
      <c r="G1885" s="60"/>
      <c r="H1885" s="60"/>
      <c r="I1885" s="60"/>
      <c r="J1885" s="114"/>
      <c r="K1885" s="60"/>
      <c r="L1885" s="109"/>
      <c r="M1885" s="109"/>
      <c r="N1885" s="109"/>
      <c r="O1885" s="109"/>
      <c r="P1885" s="109"/>
      <c r="Q1885" s="109"/>
      <c r="S1885" s="111"/>
      <c r="T1885" s="60"/>
      <c r="U1885" s="112"/>
    </row>
    <row r="1886" spans="4:21" s="110" customFormat="1" ht="15.75" customHeight="1">
      <c r="D1886" s="113"/>
      <c r="E1886" s="60"/>
      <c r="F1886" s="60"/>
      <c r="G1886" s="60"/>
      <c r="H1886" s="60"/>
      <c r="I1886" s="60"/>
      <c r="J1886" s="114"/>
      <c r="K1886" s="60"/>
      <c r="L1886" s="109"/>
      <c r="M1886" s="109"/>
      <c r="N1886" s="109"/>
      <c r="O1886" s="109"/>
      <c r="P1886" s="109"/>
      <c r="Q1886" s="109"/>
      <c r="S1886" s="111"/>
      <c r="T1886" s="60"/>
      <c r="U1886" s="112"/>
    </row>
    <row r="1887" spans="4:21" s="110" customFormat="1" ht="15.75" customHeight="1">
      <c r="D1887" s="113"/>
      <c r="E1887" s="60"/>
      <c r="F1887" s="60"/>
      <c r="G1887" s="60"/>
      <c r="H1887" s="60"/>
      <c r="I1887" s="60"/>
      <c r="J1887" s="114"/>
      <c r="K1887" s="60"/>
      <c r="L1887" s="109"/>
      <c r="M1887" s="109"/>
      <c r="N1887" s="109"/>
      <c r="O1887" s="109"/>
      <c r="P1887" s="109"/>
      <c r="Q1887" s="109"/>
      <c r="S1887" s="111"/>
      <c r="T1887" s="60"/>
      <c r="U1887" s="112"/>
    </row>
    <row r="1888" spans="4:21" s="110" customFormat="1" ht="15.75" customHeight="1">
      <c r="D1888" s="113"/>
      <c r="E1888" s="60"/>
      <c r="F1888" s="60"/>
      <c r="G1888" s="60"/>
      <c r="H1888" s="60"/>
      <c r="I1888" s="60"/>
      <c r="J1888" s="114"/>
      <c r="K1888" s="60"/>
      <c r="L1888" s="109"/>
      <c r="M1888" s="109"/>
      <c r="N1888" s="109"/>
      <c r="O1888" s="109"/>
      <c r="P1888" s="109"/>
      <c r="Q1888" s="109"/>
      <c r="S1888" s="111"/>
      <c r="T1888" s="60"/>
      <c r="U1888" s="112"/>
    </row>
    <row r="1889" spans="4:21" s="110" customFormat="1" ht="15.75" customHeight="1">
      <c r="D1889" s="113"/>
      <c r="E1889" s="60"/>
      <c r="F1889" s="60"/>
      <c r="G1889" s="60"/>
      <c r="H1889" s="60"/>
      <c r="I1889" s="60"/>
      <c r="J1889" s="114"/>
      <c r="K1889" s="60"/>
      <c r="L1889" s="109"/>
      <c r="M1889" s="109"/>
      <c r="N1889" s="109"/>
      <c r="O1889" s="109"/>
      <c r="P1889" s="109"/>
      <c r="Q1889" s="109"/>
      <c r="S1889" s="111"/>
      <c r="T1889" s="60"/>
      <c r="U1889" s="112"/>
    </row>
    <row r="1890" spans="4:21" s="110" customFormat="1" ht="15.75" customHeight="1">
      <c r="D1890" s="113"/>
      <c r="E1890" s="60"/>
      <c r="F1890" s="60"/>
      <c r="G1890" s="60"/>
      <c r="H1890" s="60"/>
      <c r="I1890" s="60"/>
      <c r="J1890" s="114"/>
      <c r="K1890" s="60"/>
      <c r="L1890" s="109"/>
      <c r="M1890" s="109"/>
      <c r="N1890" s="109"/>
      <c r="O1890" s="109"/>
      <c r="P1890" s="109"/>
      <c r="Q1890" s="109"/>
      <c r="S1890" s="111"/>
      <c r="T1890" s="60"/>
      <c r="U1890" s="112"/>
    </row>
    <row r="1891" spans="4:21" s="110" customFormat="1" ht="15.75" customHeight="1">
      <c r="D1891" s="113"/>
      <c r="E1891" s="60"/>
      <c r="F1891" s="60"/>
      <c r="G1891" s="60"/>
      <c r="H1891" s="60"/>
      <c r="I1891" s="60"/>
      <c r="J1891" s="114"/>
      <c r="K1891" s="60"/>
      <c r="L1891" s="109"/>
      <c r="M1891" s="109"/>
      <c r="N1891" s="109"/>
      <c r="O1891" s="109"/>
      <c r="P1891" s="109"/>
      <c r="Q1891" s="109"/>
      <c r="S1891" s="111"/>
      <c r="T1891" s="60"/>
      <c r="U1891" s="112"/>
    </row>
    <row r="1892" spans="4:21" s="110" customFormat="1" ht="15.75" customHeight="1">
      <c r="D1892" s="113"/>
      <c r="E1892" s="60"/>
      <c r="F1892" s="60"/>
      <c r="G1892" s="60"/>
      <c r="H1892" s="60"/>
      <c r="I1892" s="60"/>
      <c r="J1892" s="114"/>
      <c r="K1892" s="60"/>
      <c r="L1892" s="109"/>
      <c r="M1892" s="109"/>
      <c r="N1892" s="109"/>
      <c r="O1892" s="109"/>
      <c r="P1892" s="109"/>
      <c r="Q1892" s="109"/>
      <c r="S1892" s="111"/>
      <c r="T1892" s="60"/>
      <c r="U1892" s="112"/>
    </row>
    <row r="1893" spans="4:21" s="110" customFormat="1" ht="15.75" customHeight="1">
      <c r="D1893" s="113"/>
      <c r="E1893" s="60"/>
      <c r="F1893" s="60"/>
      <c r="G1893" s="60"/>
      <c r="H1893" s="60"/>
      <c r="I1893" s="60"/>
      <c r="J1893" s="114"/>
      <c r="K1893" s="60"/>
      <c r="L1893" s="109"/>
      <c r="M1893" s="109"/>
      <c r="N1893" s="109"/>
      <c r="O1893" s="109"/>
      <c r="P1893" s="109"/>
      <c r="Q1893" s="109"/>
      <c r="S1893" s="111"/>
      <c r="T1893" s="60"/>
      <c r="U1893" s="112"/>
    </row>
    <row r="1894" spans="4:21" s="110" customFormat="1" ht="15.75" customHeight="1">
      <c r="D1894" s="113"/>
      <c r="E1894" s="60"/>
      <c r="F1894" s="60"/>
      <c r="G1894" s="60"/>
      <c r="H1894" s="60"/>
      <c r="I1894" s="60"/>
      <c r="J1894" s="114"/>
      <c r="K1894" s="60"/>
      <c r="L1894" s="109"/>
      <c r="M1894" s="109"/>
      <c r="N1894" s="109"/>
      <c r="O1894" s="109"/>
      <c r="P1894" s="109"/>
      <c r="Q1894" s="109"/>
      <c r="S1894" s="111"/>
      <c r="T1894" s="60"/>
      <c r="U1894" s="112"/>
    </row>
    <row r="1895" spans="4:21" s="110" customFormat="1" ht="15.75" customHeight="1">
      <c r="D1895" s="113"/>
      <c r="E1895" s="60"/>
      <c r="F1895" s="60"/>
      <c r="G1895" s="60"/>
      <c r="H1895" s="60"/>
      <c r="I1895" s="60"/>
      <c r="J1895" s="114"/>
      <c r="K1895" s="60"/>
      <c r="L1895" s="109"/>
      <c r="M1895" s="109"/>
      <c r="N1895" s="109"/>
      <c r="O1895" s="109"/>
      <c r="P1895" s="109"/>
      <c r="Q1895" s="109"/>
      <c r="S1895" s="111"/>
      <c r="T1895" s="60"/>
      <c r="U1895" s="112"/>
    </row>
    <row r="1896" spans="4:21" s="110" customFormat="1" ht="15.75" customHeight="1">
      <c r="D1896" s="113"/>
      <c r="E1896" s="60"/>
      <c r="F1896" s="60"/>
      <c r="G1896" s="60"/>
      <c r="H1896" s="60"/>
      <c r="I1896" s="60"/>
      <c r="J1896" s="114"/>
      <c r="K1896" s="60"/>
      <c r="L1896" s="109"/>
      <c r="M1896" s="109"/>
      <c r="N1896" s="109"/>
      <c r="O1896" s="109"/>
      <c r="P1896" s="109"/>
      <c r="Q1896" s="109"/>
      <c r="S1896" s="111"/>
      <c r="T1896" s="60"/>
      <c r="U1896" s="112"/>
    </row>
    <row r="1897" spans="4:21" s="110" customFormat="1" ht="15.75" customHeight="1">
      <c r="D1897" s="113"/>
      <c r="E1897" s="60"/>
      <c r="F1897" s="60"/>
      <c r="G1897" s="60"/>
      <c r="H1897" s="60"/>
      <c r="I1897" s="60"/>
      <c r="J1897" s="114"/>
      <c r="K1897" s="60"/>
      <c r="L1897" s="109"/>
      <c r="M1897" s="109"/>
      <c r="N1897" s="109"/>
      <c r="O1897" s="109"/>
      <c r="P1897" s="109"/>
      <c r="Q1897" s="109"/>
      <c r="S1897" s="111"/>
      <c r="T1897" s="60"/>
      <c r="U1897" s="112"/>
    </row>
    <row r="1898" spans="4:21" s="110" customFormat="1" ht="15.75" customHeight="1">
      <c r="D1898" s="113"/>
      <c r="E1898" s="60"/>
      <c r="F1898" s="60"/>
      <c r="G1898" s="60"/>
      <c r="H1898" s="60"/>
      <c r="I1898" s="60"/>
      <c r="J1898" s="114"/>
      <c r="K1898" s="60"/>
      <c r="L1898" s="109"/>
      <c r="M1898" s="109"/>
      <c r="N1898" s="109"/>
      <c r="O1898" s="109"/>
      <c r="P1898" s="109"/>
      <c r="Q1898" s="109"/>
      <c r="S1898" s="111"/>
      <c r="T1898" s="60"/>
      <c r="U1898" s="112"/>
    </row>
    <row r="1899" spans="4:21" s="110" customFormat="1" ht="15.75" customHeight="1">
      <c r="D1899" s="113"/>
      <c r="E1899" s="60"/>
      <c r="F1899" s="60"/>
      <c r="G1899" s="60"/>
      <c r="H1899" s="60"/>
      <c r="I1899" s="60"/>
      <c r="J1899" s="114"/>
      <c r="K1899" s="60"/>
      <c r="L1899" s="109"/>
      <c r="M1899" s="109"/>
      <c r="N1899" s="109"/>
      <c r="O1899" s="109"/>
      <c r="P1899" s="109"/>
      <c r="Q1899" s="109"/>
      <c r="S1899" s="111"/>
      <c r="T1899" s="60"/>
      <c r="U1899" s="112"/>
    </row>
    <row r="1900" spans="4:21" s="110" customFormat="1" ht="15.75" customHeight="1">
      <c r="D1900" s="113"/>
      <c r="E1900" s="60"/>
      <c r="F1900" s="60"/>
      <c r="G1900" s="60"/>
      <c r="H1900" s="60"/>
      <c r="I1900" s="60"/>
      <c r="J1900" s="114"/>
      <c r="K1900" s="60"/>
      <c r="L1900" s="109"/>
      <c r="M1900" s="109"/>
      <c r="N1900" s="109"/>
      <c r="O1900" s="109"/>
      <c r="P1900" s="109"/>
      <c r="Q1900" s="109"/>
      <c r="S1900" s="111"/>
      <c r="T1900" s="60"/>
      <c r="U1900" s="112"/>
    </row>
    <row r="1901" spans="4:21" s="110" customFormat="1" ht="15.75" customHeight="1">
      <c r="D1901" s="113"/>
      <c r="E1901" s="60"/>
      <c r="F1901" s="60"/>
      <c r="G1901" s="60"/>
      <c r="H1901" s="60"/>
      <c r="I1901" s="60"/>
      <c r="J1901" s="114"/>
      <c r="K1901" s="60"/>
      <c r="L1901" s="109"/>
      <c r="M1901" s="109"/>
      <c r="N1901" s="109"/>
      <c r="O1901" s="109"/>
      <c r="P1901" s="109"/>
      <c r="Q1901" s="109"/>
      <c r="S1901" s="111"/>
      <c r="T1901" s="60"/>
      <c r="U1901" s="112"/>
    </row>
    <row r="1902" spans="4:21" s="110" customFormat="1" ht="15.75" customHeight="1">
      <c r="D1902" s="113"/>
      <c r="E1902" s="60"/>
      <c r="F1902" s="60"/>
      <c r="G1902" s="60"/>
      <c r="H1902" s="60"/>
      <c r="I1902" s="60"/>
      <c r="J1902" s="114"/>
      <c r="K1902" s="60"/>
      <c r="L1902" s="109"/>
      <c r="M1902" s="109"/>
      <c r="N1902" s="109"/>
      <c r="O1902" s="109"/>
      <c r="P1902" s="109"/>
      <c r="Q1902" s="109"/>
      <c r="S1902" s="111"/>
      <c r="T1902" s="60"/>
      <c r="U1902" s="112"/>
    </row>
    <row r="1903" spans="4:21" s="110" customFormat="1" ht="15.75" customHeight="1">
      <c r="D1903" s="113"/>
      <c r="E1903" s="60"/>
      <c r="F1903" s="60"/>
      <c r="G1903" s="60"/>
      <c r="H1903" s="60"/>
      <c r="I1903" s="60"/>
      <c r="J1903" s="114"/>
      <c r="K1903" s="60"/>
      <c r="L1903" s="109"/>
      <c r="M1903" s="109"/>
      <c r="N1903" s="109"/>
      <c r="O1903" s="109"/>
      <c r="P1903" s="109"/>
      <c r="Q1903" s="109"/>
      <c r="S1903" s="111"/>
      <c r="T1903" s="60"/>
      <c r="U1903" s="112"/>
    </row>
    <row r="1904" spans="4:21" s="110" customFormat="1" ht="15.75" customHeight="1">
      <c r="D1904" s="113"/>
      <c r="E1904" s="60"/>
      <c r="F1904" s="60"/>
      <c r="G1904" s="60"/>
      <c r="H1904" s="60"/>
      <c r="I1904" s="60"/>
      <c r="J1904" s="114"/>
      <c r="K1904" s="60"/>
      <c r="L1904" s="109"/>
      <c r="M1904" s="109"/>
      <c r="N1904" s="109"/>
      <c r="O1904" s="109"/>
      <c r="P1904" s="109"/>
      <c r="Q1904" s="109"/>
      <c r="S1904" s="111"/>
      <c r="T1904" s="60"/>
      <c r="U1904" s="112"/>
    </row>
    <row r="1905" spans="4:21" s="110" customFormat="1" ht="15.75" customHeight="1">
      <c r="D1905" s="113"/>
      <c r="E1905" s="60"/>
      <c r="F1905" s="60"/>
      <c r="G1905" s="60"/>
      <c r="H1905" s="60"/>
      <c r="I1905" s="60"/>
      <c r="J1905" s="114"/>
      <c r="K1905" s="60"/>
      <c r="L1905" s="109"/>
      <c r="M1905" s="109"/>
      <c r="N1905" s="109"/>
      <c r="O1905" s="109"/>
      <c r="P1905" s="109"/>
      <c r="Q1905" s="109"/>
      <c r="S1905" s="111"/>
      <c r="T1905" s="60"/>
      <c r="U1905" s="112"/>
    </row>
    <row r="1906" spans="4:21" s="110" customFormat="1" ht="15.75" customHeight="1">
      <c r="D1906" s="113"/>
      <c r="E1906" s="60"/>
      <c r="F1906" s="60"/>
      <c r="G1906" s="60"/>
      <c r="H1906" s="60"/>
      <c r="I1906" s="60"/>
      <c r="J1906" s="114"/>
      <c r="K1906" s="60"/>
      <c r="L1906" s="109"/>
      <c r="M1906" s="109"/>
      <c r="N1906" s="109"/>
      <c r="O1906" s="109"/>
      <c r="P1906" s="109"/>
      <c r="Q1906" s="109"/>
      <c r="S1906" s="111"/>
      <c r="T1906" s="60"/>
      <c r="U1906" s="112"/>
    </row>
    <row r="1907" spans="4:21" s="110" customFormat="1" ht="15.75" customHeight="1">
      <c r="D1907" s="113"/>
      <c r="E1907" s="60"/>
      <c r="F1907" s="60"/>
      <c r="G1907" s="60"/>
      <c r="H1907" s="60"/>
      <c r="I1907" s="60"/>
      <c r="J1907" s="114"/>
      <c r="K1907" s="60"/>
      <c r="L1907" s="109"/>
      <c r="M1907" s="109"/>
      <c r="N1907" s="109"/>
      <c r="O1907" s="109"/>
      <c r="P1907" s="109"/>
      <c r="Q1907" s="109"/>
      <c r="S1907" s="111"/>
      <c r="T1907" s="60"/>
      <c r="U1907" s="112"/>
    </row>
    <row r="1908" spans="4:21" s="110" customFormat="1" ht="15.75" customHeight="1">
      <c r="D1908" s="113"/>
      <c r="E1908" s="60"/>
      <c r="F1908" s="60"/>
      <c r="G1908" s="60"/>
      <c r="H1908" s="60"/>
      <c r="I1908" s="60"/>
      <c r="J1908" s="114"/>
      <c r="K1908" s="60"/>
      <c r="L1908" s="109"/>
      <c r="M1908" s="109"/>
      <c r="N1908" s="109"/>
      <c r="O1908" s="109"/>
      <c r="P1908" s="109"/>
      <c r="Q1908" s="109"/>
      <c r="S1908" s="111"/>
      <c r="T1908" s="60"/>
      <c r="U1908" s="112"/>
    </row>
    <row r="1909" spans="4:21" s="110" customFormat="1" ht="15.75" customHeight="1">
      <c r="D1909" s="113"/>
      <c r="E1909" s="60"/>
      <c r="F1909" s="60"/>
      <c r="G1909" s="60"/>
      <c r="H1909" s="60"/>
      <c r="I1909" s="60"/>
      <c r="J1909" s="114"/>
      <c r="K1909" s="60"/>
      <c r="L1909" s="109"/>
      <c r="M1909" s="109"/>
      <c r="N1909" s="109"/>
      <c r="O1909" s="109"/>
      <c r="P1909" s="109"/>
      <c r="Q1909" s="109"/>
      <c r="S1909" s="111"/>
      <c r="T1909" s="60"/>
      <c r="U1909" s="112"/>
    </row>
    <row r="1910" spans="4:21" s="110" customFormat="1" ht="15.75" customHeight="1">
      <c r="D1910" s="113"/>
      <c r="E1910" s="60"/>
      <c r="F1910" s="60"/>
      <c r="G1910" s="60"/>
      <c r="H1910" s="60"/>
      <c r="I1910" s="60"/>
      <c r="J1910" s="114"/>
      <c r="K1910" s="60"/>
      <c r="L1910" s="109"/>
      <c r="M1910" s="109"/>
      <c r="N1910" s="109"/>
      <c r="O1910" s="109"/>
      <c r="P1910" s="109"/>
      <c r="Q1910" s="109"/>
      <c r="S1910" s="111"/>
      <c r="T1910" s="60"/>
      <c r="U1910" s="112"/>
    </row>
    <row r="1911" spans="4:21" s="110" customFormat="1" ht="15.75" customHeight="1">
      <c r="D1911" s="113"/>
      <c r="E1911" s="60"/>
      <c r="F1911" s="60"/>
      <c r="G1911" s="60"/>
      <c r="H1911" s="60"/>
      <c r="I1911" s="60"/>
      <c r="J1911" s="114"/>
      <c r="K1911" s="60"/>
      <c r="L1911" s="109"/>
      <c r="M1911" s="109"/>
      <c r="N1911" s="109"/>
      <c r="O1911" s="109"/>
      <c r="P1911" s="109"/>
      <c r="Q1911" s="109"/>
      <c r="S1911" s="111"/>
      <c r="T1911" s="60"/>
      <c r="U1911" s="112"/>
    </row>
    <row r="1912" spans="4:21" s="110" customFormat="1" ht="15.75" customHeight="1">
      <c r="D1912" s="113"/>
      <c r="E1912" s="60"/>
      <c r="F1912" s="60"/>
      <c r="G1912" s="60"/>
      <c r="H1912" s="60"/>
      <c r="I1912" s="60"/>
      <c r="J1912" s="114"/>
      <c r="K1912" s="60"/>
      <c r="L1912" s="109"/>
      <c r="M1912" s="109"/>
      <c r="N1912" s="109"/>
      <c r="O1912" s="109"/>
      <c r="P1912" s="109"/>
      <c r="Q1912" s="109"/>
      <c r="S1912" s="111"/>
      <c r="T1912" s="60"/>
      <c r="U1912" s="112"/>
    </row>
    <row r="1913" spans="4:21" s="110" customFormat="1" ht="15.75" customHeight="1">
      <c r="D1913" s="113"/>
      <c r="E1913" s="60"/>
      <c r="F1913" s="60"/>
      <c r="G1913" s="60"/>
      <c r="H1913" s="60"/>
      <c r="I1913" s="60"/>
      <c r="J1913" s="114"/>
      <c r="K1913" s="60"/>
      <c r="L1913" s="109"/>
      <c r="M1913" s="109"/>
      <c r="N1913" s="109"/>
      <c r="O1913" s="109"/>
      <c r="P1913" s="109"/>
      <c r="Q1913" s="109"/>
      <c r="S1913" s="111"/>
      <c r="T1913" s="60"/>
      <c r="U1913" s="112"/>
    </row>
    <row r="1914" spans="4:21" s="110" customFormat="1" ht="15.75" customHeight="1">
      <c r="D1914" s="113"/>
      <c r="E1914" s="60"/>
      <c r="F1914" s="60"/>
      <c r="G1914" s="60"/>
      <c r="H1914" s="60"/>
      <c r="I1914" s="60"/>
      <c r="J1914" s="114"/>
      <c r="K1914" s="60"/>
      <c r="L1914" s="109"/>
      <c r="M1914" s="109"/>
      <c r="N1914" s="109"/>
      <c r="O1914" s="109"/>
      <c r="P1914" s="109"/>
      <c r="Q1914" s="109"/>
      <c r="S1914" s="111"/>
      <c r="T1914" s="60"/>
      <c r="U1914" s="112"/>
    </row>
    <row r="1915" spans="4:21" s="110" customFormat="1" ht="15.75" customHeight="1">
      <c r="D1915" s="113"/>
      <c r="E1915" s="60"/>
      <c r="F1915" s="60"/>
      <c r="G1915" s="60"/>
      <c r="H1915" s="60"/>
      <c r="I1915" s="60"/>
      <c r="J1915" s="114"/>
      <c r="K1915" s="60"/>
      <c r="L1915" s="109"/>
      <c r="M1915" s="109"/>
      <c r="N1915" s="109"/>
      <c r="O1915" s="109"/>
      <c r="P1915" s="109"/>
      <c r="Q1915" s="109"/>
      <c r="S1915" s="111"/>
      <c r="T1915" s="60"/>
      <c r="U1915" s="112"/>
    </row>
    <row r="1916" spans="4:21" s="110" customFormat="1" ht="15.75" customHeight="1">
      <c r="D1916" s="113"/>
      <c r="E1916" s="60"/>
      <c r="F1916" s="60"/>
      <c r="G1916" s="60"/>
      <c r="H1916" s="60"/>
      <c r="I1916" s="60"/>
      <c r="J1916" s="114"/>
      <c r="K1916" s="60"/>
      <c r="L1916" s="109"/>
      <c r="M1916" s="109"/>
      <c r="N1916" s="109"/>
      <c r="O1916" s="109"/>
      <c r="P1916" s="109"/>
      <c r="Q1916" s="109"/>
      <c r="S1916" s="111"/>
      <c r="T1916" s="60"/>
      <c r="U1916" s="112"/>
    </row>
    <row r="1917" spans="4:21" s="110" customFormat="1" ht="15.75" customHeight="1">
      <c r="D1917" s="113"/>
      <c r="E1917" s="60"/>
      <c r="F1917" s="60"/>
      <c r="G1917" s="60"/>
      <c r="H1917" s="60"/>
      <c r="I1917" s="60"/>
      <c r="J1917" s="114"/>
      <c r="K1917" s="60"/>
      <c r="L1917" s="109"/>
      <c r="M1917" s="109"/>
      <c r="N1917" s="109"/>
      <c r="O1917" s="109"/>
      <c r="P1917" s="109"/>
      <c r="Q1917" s="109"/>
      <c r="S1917" s="111"/>
      <c r="T1917" s="60"/>
      <c r="U1917" s="112"/>
    </row>
    <row r="1918" spans="4:21" s="110" customFormat="1" ht="15.75" customHeight="1">
      <c r="D1918" s="113"/>
      <c r="E1918" s="60"/>
      <c r="F1918" s="60"/>
      <c r="G1918" s="60"/>
      <c r="H1918" s="60"/>
      <c r="I1918" s="60"/>
      <c r="J1918" s="114"/>
      <c r="K1918" s="60"/>
      <c r="L1918" s="109"/>
      <c r="M1918" s="109"/>
      <c r="N1918" s="109"/>
      <c r="O1918" s="109"/>
      <c r="P1918" s="109"/>
      <c r="Q1918" s="109"/>
      <c r="S1918" s="111"/>
      <c r="T1918" s="60"/>
      <c r="U1918" s="112"/>
    </row>
    <row r="1919" spans="4:21" s="110" customFormat="1" ht="15.75" customHeight="1">
      <c r="D1919" s="113"/>
      <c r="E1919" s="60"/>
      <c r="F1919" s="60"/>
      <c r="G1919" s="60"/>
      <c r="H1919" s="60"/>
      <c r="I1919" s="60"/>
      <c r="J1919" s="114"/>
      <c r="K1919" s="60"/>
      <c r="L1919" s="109"/>
      <c r="M1919" s="109"/>
      <c r="N1919" s="109"/>
      <c r="O1919" s="109"/>
      <c r="P1919" s="109"/>
      <c r="Q1919" s="109"/>
      <c r="S1919" s="111"/>
      <c r="T1919" s="60"/>
      <c r="U1919" s="112"/>
    </row>
    <row r="1920" spans="4:21" s="110" customFormat="1" ht="15.75" customHeight="1">
      <c r="D1920" s="113"/>
      <c r="E1920" s="60"/>
      <c r="F1920" s="60"/>
      <c r="G1920" s="60"/>
      <c r="H1920" s="60"/>
      <c r="I1920" s="60"/>
      <c r="J1920" s="114"/>
      <c r="K1920" s="60"/>
      <c r="L1920" s="109"/>
      <c r="M1920" s="109"/>
      <c r="N1920" s="109"/>
      <c r="O1920" s="109"/>
      <c r="P1920" s="109"/>
      <c r="Q1920" s="109"/>
      <c r="S1920" s="111"/>
      <c r="T1920" s="60"/>
      <c r="U1920" s="112"/>
    </row>
    <row r="1921" spans="4:21" s="110" customFormat="1" ht="15.75" customHeight="1">
      <c r="D1921" s="113"/>
      <c r="E1921" s="60"/>
      <c r="F1921" s="60"/>
      <c r="G1921" s="60"/>
      <c r="H1921" s="60"/>
      <c r="I1921" s="60"/>
      <c r="J1921" s="114"/>
      <c r="K1921" s="60"/>
      <c r="L1921" s="109"/>
      <c r="M1921" s="109"/>
      <c r="N1921" s="109"/>
      <c r="O1921" s="109"/>
      <c r="P1921" s="109"/>
      <c r="Q1921" s="109"/>
      <c r="S1921" s="111"/>
      <c r="T1921" s="60"/>
      <c r="U1921" s="112"/>
    </row>
    <row r="1922" spans="4:21" s="110" customFormat="1" ht="15.75" customHeight="1">
      <c r="D1922" s="113"/>
      <c r="E1922" s="60"/>
      <c r="F1922" s="60"/>
      <c r="G1922" s="60"/>
      <c r="H1922" s="60"/>
      <c r="I1922" s="60"/>
      <c r="J1922" s="114"/>
      <c r="K1922" s="60"/>
      <c r="L1922" s="109"/>
      <c r="M1922" s="109"/>
      <c r="N1922" s="109"/>
      <c r="O1922" s="109"/>
      <c r="P1922" s="109"/>
      <c r="Q1922" s="109"/>
      <c r="S1922" s="111"/>
      <c r="T1922" s="60"/>
      <c r="U1922" s="112"/>
    </row>
    <row r="1923" spans="4:21" s="110" customFormat="1" ht="15.75" customHeight="1">
      <c r="D1923" s="113"/>
      <c r="E1923" s="60"/>
      <c r="F1923" s="60"/>
      <c r="G1923" s="60"/>
      <c r="H1923" s="60"/>
      <c r="I1923" s="60"/>
      <c r="J1923" s="114"/>
      <c r="K1923" s="60"/>
      <c r="L1923" s="109"/>
      <c r="M1923" s="109"/>
      <c r="N1923" s="109"/>
      <c r="O1923" s="109"/>
      <c r="P1923" s="109"/>
      <c r="Q1923" s="109"/>
      <c r="S1923" s="111"/>
      <c r="T1923" s="60"/>
      <c r="U1923" s="112"/>
    </row>
    <row r="1924" spans="4:21" s="110" customFormat="1" ht="15.75" customHeight="1">
      <c r="D1924" s="113"/>
      <c r="E1924" s="60"/>
      <c r="F1924" s="60"/>
      <c r="G1924" s="60"/>
      <c r="H1924" s="60"/>
      <c r="I1924" s="60"/>
      <c r="J1924" s="114"/>
      <c r="K1924" s="60"/>
      <c r="L1924" s="109"/>
      <c r="M1924" s="109"/>
      <c r="N1924" s="109"/>
      <c r="O1924" s="109"/>
      <c r="P1924" s="109"/>
      <c r="Q1924" s="109"/>
      <c r="S1924" s="111"/>
      <c r="T1924" s="60"/>
      <c r="U1924" s="112"/>
    </row>
    <row r="1925" spans="4:21" s="110" customFormat="1" ht="15.75" customHeight="1">
      <c r="D1925" s="113"/>
      <c r="E1925" s="60"/>
      <c r="F1925" s="60"/>
      <c r="G1925" s="60"/>
      <c r="H1925" s="60"/>
      <c r="I1925" s="60"/>
      <c r="J1925" s="114"/>
      <c r="K1925" s="60"/>
      <c r="L1925" s="109"/>
      <c r="M1925" s="109"/>
      <c r="N1925" s="109"/>
      <c r="O1925" s="109"/>
      <c r="P1925" s="109"/>
      <c r="Q1925" s="109"/>
      <c r="S1925" s="111"/>
      <c r="T1925" s="60"/>
      <c r="U1925" s="112"/>
    </row>
    <row r="1926" spans="4:21" s="110" customFormat="1" ht="15.75" customHeight="1">
      <c r="D1926" s="113"/>
      <c r="E1926" s="60"/>
      <c r="F1926" s="60"/>
      <c r="G1926" s="60"/>
      <c r="H1926" s="60"/>
      <c r="I1926" s="60"/>
      <c r="J1926" s="114"/>
      <c r="K1926" s="60"/>
      <c r="L1926" s="109"/>
      <c r="M1926" s="109"/>
      <c r="N1926" s="109"/>
      <c r="O1926" s="109"/>
      <c r="P1926" s="109"/>
      <c r="Q1926" s="109"/>
      <c r="S1926" s="111"/>
      <c r="T1926" s="60"/>
      <c r="U1926" s="112"/>
    </row>
    <row r="1927" spans="4:21" s="110" customFormat="1" ht="15.75" customHeight="1">
      <c r="D1927" s="113"/>
      <c r="E1927" s="60"/>
      <c r="F1927" s="60"/>
      <c r="G1927" s="60"/>
      <c r="H1927" s="60"/>
      <c r="I1927" s="60"/>
      <c r="J1927" s="114"/>
      <c r="K1927" s="60"/>
      <c r="L1927" s="109"/>
      <c r="M1927" s="109"/>
      <c r="N1927" s="109"/>
      <c r="O1927" s="109"/>
      <c r="P1927" s="109"/>
      <c r="Q1927" s="109"/>
      <c r="S1927" s="111"/>
      <c r="T1927" s="60"/>
      <c r="U1927" s="112"/>
    </row>
    <row r="1928" spans="4:21" s="110" customFormat="1" ht="15.75" customHeight="1">
      <c r="D1928" s="113"/>
      <c r="E1928" s="60"/>
      <c r="F1928" s="60"/>
      <c r="G1928" s="60"/>
      <c r="H1928" s="60"/>
      <c r="I1928" s="60"/>
      <c r="J1928" s="114"/>
      <c r="K1928" s="60"/>
      <c r="L1928" s="109"/>
      <c r="M1928" s="109"/>
      <c r="N1928" s="109"/>
      <c r="O1928" s="109"/>
      <c r="P1928" s="109"/>
      <c r="Q1928" s="109"/>
      <c r="S1928" s="111"/>
      <c r="T1928" s="60"/>
      <c r="U1928" s="112"/>
    </row>
    <row r="1929" spans="4:21" s="110" customFormat="1" ht="15.75" customHeight="1">
      <c r="D1929" s="113"/>
      <c r="E1929" s="60"/>
      <c r="F1929" s="60"/>
      <c r="G1929" s="60"/>
      <c r="H1929" s="60"/>
      <c r="I1929" s="60"/>
      <c r="J1929" s="114"/>
      <c r="K1929" s="60"/>
      <c r="L1929" s="109"/>
      <c r="M1929" s="109"/>
      <c r="N1929" s="109"/>
      <c r="O1929" s="109"/>
      <c r="P1929" s="109"/>
      <c r="Q1929" s="109"/>
      <c r="S1929" s="111"/>
      <c r="T1929" s="60"/>
      <c r="U1929" s="112"/>
    </row>
    <row r="1930" spans="4:21" s="110" customFormat="1" ht="15.75" customHeight="1">
      <c r="D1930" s="113"/>
      <c r="E1930" s="60"/>
      <c r="F1930" s="60"/>
      <c r="G1930" s="60"/>
      <c r="H1930" s="60"/>
      <c r="I1930" s="60"/>
      <c r="J1930" s="114"/>
      <c r="K1930" s="60"/>
      <c r="L1930" s="109"/>
      <c r="M1930" s="109"/>
      <c r="N1930" s="109"/>
      <c r="O1930" s="109"/>
      <c r="P1930" s="109"/>
      <c r="Q1930" s="109"/>
      <c r="S1930" s="111"/>
      <c r="T1930" s="60"/>
      <c r="U1930" s="112"/>
    </row>
    <row r="1931" spans="4:21" s="110" customFormat="1" ht="15.75" customHeight="1">
      <c r="D1931" s="113"/>
      <c r="E1931" s="60"/>
      <c r="F1931" s="60"/>
      <c r="G1931" s="60"/>
      <c r="H1931" s="60"/>
      <c r="I1931" s="60"/>
      <c r="J1931" s="114"/>
      <c r="K1931" s="60"/>
      <c r="L1931" s="109"/>
      <c r="M1931" s="109"/>
      <c r="N1931" s="109"/>
      <c r="O1931" s="109"/>
      <c r="P1931" s="109"/>
      <c r="Q1931" s="109"/>
      <c r="S1931" s="111"/>
      <c r="T1931" s="60"/>
      <c r="U1931" s="112"/>
    </row>
    <row r="1932" spans="4:21" s="110" customFormat="1" ht="15.75" customHeight="1">
      <c r="D1932" s="113"/>
      <c r="E1932" s="60"/>
      <c r="F1932" s="60"/>
      <c r="G1932" s="60"/>
      <c r="H1932" s="60"/>
      <c r="I1932" s="60"/>
      <c r="J1932" s="114"/>
      <c r="K1932" s="60"/>
      <c r="L1932" s="109"/>
      <c r="M1932" s="109"/>
      <c r="N1932" s="109"/>
      <c r="O1932" s="109"/>
      <c r="P1932" s="109"/>
      <c r="Q1932" s="109"/>
      <c r="S1932" s="111"/>
      <c r="T1932" s="60"/>
      <c r="U1932" s="112"/>
    </row>
    <row r="1933" spans="4:21" s="110" customFormat="1" ht="15.75" customHeight="1">
      <c r="D1933" s="113"/>
      <c r="E1933" s="60"/>
      <c r="F1933" s="60"/>
      <c r="G1933" s="60"/>
      <c r="H1933" s="60"/>
      <c r="I1933" s="60"/>
      <c r="J1933" s="114"/>
      <c r="K1933" s="60"/>
      <c r="L1933" s="109"/>
      <c r="M1933" s="109"/>
      <c r="N1933" s="109"/>
      <c r="O1933" s="109"/>
      <c r="P1933" s="109"/>
      <c r="Q1933" s="109"/>
      <c r="S1933" s="111"/>
      <c r="T1933" s="60"/>
      <c r="U1933" s="112"/>
    </row>
    <row r="1934" spans="4:21" s="110" customFormat="1" ht="15.75" customHeight="1">
      <c r="D1934" s="113"/>
      <c r="E1934" s="60"/>
      <c r="F1934" s="60"/>
      <c r="G1934" s="60"/>
      <c r="H1934" s="60"/>
      <c r="I1934" s="60"/>
      <c r="J1934" s="114"/>
      <c r="K1934" s="60"/>
      <c r="L1934" s="109"/>
      <c r="M1934" s="109"/>
      <c r="N1934" s="109"/>
      <c r="O1934" s="109"/>
      <c r="P1934" s="109"/>
      <c r="Q1934" s="109"/>
      <c r="S1934" s="111"/>
      <c r="T1934" s="60"/>
      <c r="U1934" s="112"/>
    </row>
    <row r="1935" spans="4:21" s="110" customFormat="1" ht="15.75" customHeight="1">
      <c r="D1935" s="113"/>
      <c r="E1935" s="60"/>
      <c r="F1935" s="60"/>
      <c r="G1935" s="60"/>
      <c r="H1935" s="60"/>
      <c r="I1935" s="60"/>
      <c r="J1935" s="114"/>
      <c r="K1935" s="60"/>
      <c r="L1935" s="109"/>
      <c r="M1935" s="109"/>
      <c r="N1935" s="109"/>
      <c r="O1935" s="109"/>
      <c r="P1935" s="109"/>
      <c r="Q1935" s="109"/>
      <c r="S1935" s="111"/>
      <c r="T1935" s="60"/>
      <c r="U1935" s="112"/>
    </row>
    <row r="1936" spans="4:21" s="110" customFormat="1" ht="15.75" customHeight="1">
      <c r="D1936" s="113"/>
      <c r="E1936" s="60"/>
      <c r="F1936" s="60"/>
      <c r="G1936" s="60"/>
      <c r="H1936" s="60"/>
      <c r="I1936" s="60"/>
      <c r="J1936" s="114"/>
      <c r="K1936" s="60"/>
      <c r="L1936" s="109"/>
      <c r="M1936" s="109"/>
      <c r="N1936" s="109"/>
      <c r="O1936" s="109"/>
      <c r="P1936" s="109"/>
      <c r="Q1936" s="109"/>
      <c r="S1936" s="111"/>
      <c r="T1936" s="60"/>
      <c r="U1936" s="112"/>
    </row>
    <row r="1937" spans="4:21" s="110" customFormat="1" ht="15.75" customHeight="1">
      <c r="D1937" s="113"/>
      <c r="E1937" s="60"/>
      <c r="F1937" s="60"/>
      <c r="G1937" s="60"/>
      <c r="H1937" s="60"/>
      <c r="I1937" s="60"/>
      <c r="J1937" s="114"/>
      <c r="K1937" s="60"/>
      <c r="L1937" s="109"/>
      <c r="M1937" s="109"/>
      <c r="N1937" s="109"/>
      <c r="O1937" s="109"/>
      <c r="P1937" s="109"/>
      <c r="Q1937" s="109"/>
      <c r="S1937" s="111"/>
      <c r="T1937" s="60"/>
      <c r="U1937" s="112"/>
    </row>
    <row r="1938" spans="4:21" s="110" customFormat="1" ht="15.75" customHeight="1">
      <c r="D1938" s="113"/>
      <c r="E1938" s="60"/>
      <c r="F1938" s="60"/>
      <c r="G1938" s="60"/>
      <c r="H1938" s="60"/>
      <c r="I1938" s="60"/>
      <c r="J1938" s="114"/>
      <c r="K1938" s="60"/>
      <c r="L1938" s="109"/>
      <c r="M1938" s="109"/>
      <c r="N1938" s="109"/>
      <c r="O1938" s="109"/>
      <c r="P1938" s="109"/>
      <c r="Q1938" s="109"/>
      <c r="S1938" s="111"/>
      <c r="T1938" s="60"/>
      <c r="U1938" s="112"/>
    </row>
    <row r="1939" spans="4:21" s="110" customFormat="1" ht="15.75" customHeight="1">
      <c r="D1939" s="113"/>
      <c r="E1939" s="60"/>
      <c r="F1939" s="60"/>
      <c r="G1939" s="60"/>
      <c r="H1939" s="60"/>
      <c r="I1939" s="60"/>
      <c r="J1939" s="114"/>
      <c r="K1939" s="60"/>
      <c r="L1939" s="109"/>
      <c r="M1939" s="109"/>
      <c r="N1939" s="109"/>
      <c r="O1939" s="109"/>
      <c r="P1939" s="109"/>
      <c r="Q1939" s="109"/>
      <c r="S1939" s="111"/>
      <c r="T1939" s="60"/>
      <c r="U1939" s="112"/>
    </row>
    <row r="1940" spans="4:21" s="110" customFormat="1" ht="15.75" customHeight="1">
      <c r="D1940" s="113"/>
      <c r="E1940" s="60"/>
      <c r="F1940" s="60"/>
      <c r="G1940" s="60"/>
      <c r="H1940" s="60"/>
      <c r="I1940" s="60"/>
      <c r="J1940" s="114"/>
      <c r="K1940" s="60"/>
      <c r="L1940" s="109"/>
      <c r="M1940" s="109"/>
      <c r="N1940" s="109"/>
      <c r="O1940" s="109"/>
      <c r="P1940" s="109"/>
      <c r="Q1940" s="109"/>
      <c r="S1940" s="111"/>
      <c r="T1940" s="60"/>
      <c r="U1940" s="112"/>
    </row>
    <row r="1941" spans="4:21" s="110" customFormat="1" ht="15.75" customHeight="1">
      <c r="D1941" s="113"/>
      <c r="E1941" s="60"/>
      <c r="F1941" s="60"/>
      <c r="G1941" s="60"/>
      <c r="H1941" s="60"/>
      <c r="I1941" s="60"/>
      <c r="J1941" s="114"/>
      <c r="K1941" s="60"/>
      <c r="L1941" s="109"/>
      <c r="M1941" s="109"/>
      <c r="N1941" s="109"/>
      <c r="O1941" s="109"/>
      <c r="P1941" s="109"/>
      <c r="Q1941" s="109"/>
      <c r="S1941" s="111"/>
      <c r="T1941" s="60"/>
      <c r="U1941" s="112"/>
    </row>
    <row r="1942" spans="4:21" s="110" customFormat="1" ht="15.75" customHeight="1">
      <c r="D1942" s="113"/>
      <c r="E1942" s="60"/>
      <c r="F1942" s="60"/>
      <c r="G1942" s="60"/>
      <c r="H1942" s="60"/>
      <c r="I1942" s="60"/>
      <c r="J1942" s="114"/>
      <c r="K1942" s="60"/>
      <c r="L1942" s="109"/>
      <c r="M1942" s="109"/>
      <c r="N1942" s="109"/>
      <c r="O1942" s="109"/>
      <c r="P1942" s="109"/>
      <c r="Q1942" s="109"/>
      <c r="S1942" s="111"/>
      <c r="T1942" s="60"/>
      <c r="U1942" s="112"/>
    </row>
    <row r="1943" spans="4:21" s="110" customFormat="1" ht="15.75" customHeight="1">
      <c r="D1943" s="113"/>
      <c r="E1943" s="60"/>
      <c r="F1943" s="60"/>
      <c r="G1943" s="60"/>
      <c r="H1943" s="60"/>
      <c r="I1943" s="60"/>
      <c r="J1943" s="114"/>
      <c r="K1943" s="60"/>
      <c r="L1943" s="109"/>
      <c r="M1943" s="109"/>
      <c r="N1943" s="109"/>
      <c r="O1943" s="109"/>
      <c r="P1943" s="109"/>
      <c r="Q1943" s="109"/>
      <c r="S1943" s="111"/>
      <c r="T1943" s="60"/>
      <c r="U1943" s="112"/>
    </row>
    <row r="1944" spans="4:21" s="110" customFormat="1" ht="15.75" customHeight="1">
      <c r="D1944" s="113"/>
      <c r="E1944" s="60"/>
      <c r="F1944" s="60"/>
      <c r="G1944" s="60"/>
      <c r="H1944" s="60"/>
      <c r="I1944" s="60"/>
      <c r="J1944" s="114"/>
      <c r="K1944" s="60"/>
      <c r="L1944" s="109"/>
      <c r="M1944" s="109"/>
      <c r="N1944" s="109"/>
      <c r="O1944" s="109"/>
      <c r="P1944" s="109"/>
      <c r="Q1944" s="109"/>
      <c r="S1944" s="111"/>
      <c r="T1944" s="60"/>
      <c r="U1944" s="112"/>
    </row>
    <row r="1945" spans="4:21" s="110" customFormat="1" ht="15.75" customHeight="1">
      <c r="D1945" s="113"/>
      <c r="E1945" s="60"/>
      <c r="F1945" s="60"/>
      <c r="G1945" s="60"/>
      <c r="H1945" s="60"/>
      <c r="I1945" s="60"/>
      <c r="J1945" s="114"/>
      <c r="K1945" s="60"/>
      <c r="L1945" s="109"/>
      <c r="M1945" s="109"/>
      <c r="N1945" s="109"/>
      <c r="O1945" s="109"/>
      <c r="P1945" s="109"/>
      <c r="Q1945" s="109"/>
      <c r="S1945" s="111"/>
      <c r="T1945" s="60"/>
      <c r="U1945" s="112"/>
    </row>
    <row r="1946" spans="4:21" s="110" customFormat="1" ht="15.75" customHeight="1">
      <c r="D1946" s="113"/>
      <c r="E1946" s="60"/>
      <c r="F1946" s="60"/>
      <c r="G1946" s="60"/>
      <c r="H1946" s="60"/>
      <c r="I1946" s="60"/>
      <c r="J1946" s="114"/>
      <c r="K1946" s="60"/>
      <c r="L1946" s="109"/>
      <c r="M1946" s="109"/>
      <c r="N1946" s="109"/>
      <c r="O1946" s="109"/>
      <c r="P1946" s="109"/>
      <c r="Q1946" s="109"/>
      <c r="S1946" s="111"/>
      <c r="T1946" s="60"/>
      <c r="U1946" s="112"/>
    </row>
    <row r="1947" spans="4:21" s="110" customFormat="1" ht="15.75" customHeight="1">
      <c r="D1947" s="113"/>
      <c r="E1947" s="60"/>
      <c r="F1947" s="60"/>
      <c r="G1947" s="60"/>
      <c r="H1947" s="60"/>
      <c r="I1947" s="60"/>
      <c r="J1947" s="114"/>
      <c r="K1947" s="60"/>
      <c r="L1947" s="109"/>
      <c r="M1947" s="109"/>
      <c r="N1947" s="109"/>
      <c r="O1947" s="109"/>
      <c r="P1947" s="109"/>
      <c r="Q1947" s="109"/>
      <c r="S1947" s="111"/>
      <c r="T1947" s="60"/>
      <c r="U1947" s="112"/>
    </row>
    <row r="1948" spans="4:21" s="110" customFormat="1" ht="15.75" customHeight="1">
      <c r="D1948" s="113"/>
      <c r="E1948" s="60"/>
      <c r="F1948" s="60"/>
      <c r="G1948" s="60"/>
      <c r="H1948" s="60"/>
      <c r="I1948" s="60"/>
      <c r="J1948" s="114"/>
      <c r="K1948" s="60"/>
      <c r="L1948" s="109"/>
      <c r="M1948" s="109"/>
      <c r="N1948" s="109"/>
      <c r="O1948" s="109"/>
      <c r="P1948" s="109"/>
      <c r="Q1948" s="109"/>
      <c r="S1948" s="111"/>
      <c r="T1948" s="60"/>
      <c r="U1948" s="112"/>
    </row>
    <row r="1949" spans="4:21" s="110" customFormat="1" ht="15.75" customHeight="1">
      <c r="D1949" s="113"/>
      <c r="E1949" s="60"/>
      <c r="F1949" s="60"/>
      <c r="G1949" s="60"/>
      <c r="H1949" s="60"/>
      <c r="I1949" s="60"/>
      <c r="J1949" s="114"/>
      <c r="K1949" s="60"/>
      <c r="L1949" s="109"/>
      <c r="M1949" s="109"/>
      <c r="N1949" s="109"/>
      <c r="O1949" s="109"/>
      <c r="P1949" s="109"/>
      <c r="Q1949" s="109"/>
      <c r="S1949" s="111"/>
      <c r="T1949" s="60"/>
      <c r="U1949" s="112"/>
    </row>
    <row r="1950" spans="4:21" s="110" customFormat="1" ht="15.75" customHeight="1">
      <c r="D1950" s="113"/>
      <c r="E1950" s="60"/>
      <c r="F1950" s="60"/>
      <c r="G1950" s="60"/>
      <c r="H1950" s="60"/>
      <c r="I1950" s="60"/>
      <c r="J1950" s="114"/>
      <c r="K1950" s="60"/>
      <c r="L1950" s="109"/>
      <c r="M1950" s="109"/>
      <c r="N1950" s="109"/>
      <c r="O1950" s="109"/>
      <c r="P1950" s="109"/>
      <c r="Q1950" s="109"/>
      <c r="S1950" s="111"/>
      <c r="T1950" s="60"/>
      <c r="U1950" s="112"/>
    </row>
    <row r="1951" spans="4:21" s="110" customFormat="1" ht="15.75" customHeight="1">
      <c r="D1951" s="113"/>
      <c r="E1951" s="60"/>
      <c r="F1951" s="60"/>
      <c r="G1951" s="60"/>
      <c r="H1951" s="60"/>
      <c r="I1951" s="60"/>
      <c r="J1951" s="114"/>
      <c r="K1951" s="60"/>
      <c r="L1951" s="109"/>
      <c r="M1951" s="109"/>
      <c r="N1951" s="109"/>
      <c r="O1951" s="109"/>
      <c r="P1951" s="109"/>
      <c r="Q1951" s="109"/>
      <c r="S1951" s="111"/>
      <c r="T1951" s="60"/>
      <c r="U1951" s="112"/>
    </row>
    <row r="1952" spans="4:21" s="110" customFormat="1" ht="15.75" customHeight="1">
      <c r="D1952" s="113"/>
      <c r="E1952" s="60"/>
      <c r="F1952" s="60"/>
      <c r="G1952" s="60"/>
      <c r="H1952" s="60"/>
      <c r="I1952" s="60"/>
      <c r="J1952" s="114"/>
      <c r="K1952" s="60"/>
      <c r="L1952" s="109"/>
      <c r="M1952" s="109"/>
      <c r="N1952" s="109"/>
      <c r="O1952" s="109"/>
      <c r="P1952" s="109"/>
      <c r="Q1952" s="109"/>
      <c r="S1952" s="111"/>
      <c r="T1952" s="60"/>
      <c r="U1952" s="112"/>
    </row>
    <row r="1953" spans="4:21" s="110" customFormat="1" ht="15.75" customHeight="1">
      <c r="D1953" s="113"/>
      <c r="E1953" s="60"/>
      <c r="F1953" s="60"/>
      <c r="G1953" s="60"/>
      <c r="H1953" s="60"/>
      <c r="I1953" s="60"/>
      <c r="J1953" s="114"/>
      <c r="K1953" s="60"/>
      <c r="L1953" s="109"/>
      <c r="M1953" s="109"/>
      <c r="N1953" s="109"/>
      <c r="O1953" s="109"/>
      <c r="P1953" s="109"/>
      <c r="Q1953" s="109"/>
      <c r="S1953" s="111"/>
      <c r="T1953" s="60"/>
      <c r="U1953" s="112"/>
    </row>
    <row r="1954" spans="4:21" s="110" customFormat="1" ht="15.75" customHeight="1">
      <c r="D1954" s="113"/>
      <c r="E1954" s="60"/>
      <c r="F1954" s="60"/>
      <c r="G1954" s="60"/>
      <c r="H1954" s="60"/>
      <c r="I1954" s="60"/>
      <c r="J1954" s="114"/>
      <c r="K1954" s="60"/>
      <c r="L1954" s="109"/>
      <c r="M1954" s="109"/>
      <c r="N1954" s="109"/>
      <c r="O1954" s="109"/>
      <c r="P1954" s="109"/>
      <c r="Q1954" s="109"/>
      <c r="S1954" s="111"/>
      <c r="T1954" s="60"/>
      <c r="U1954" s="112"/>
    </row>
    <row r="1955" spans="4:21" s="110" customFormat="1" ht="15.75" customHeight="1">
      <c r="D1955" s="113"/>
      <c r="E1955" s="60"/>
      <c r="F1955" s="60"/>
      <c r="G1955" s="60"/>
      <c r="H1955" s="60"/>
      <c r="I1955" s="60"/>
      <c r="J1955" s="114"/>
      <c r="K1955" s="60"/>
      <c r="L1955" s="109"/>
      <c r="M1955" s="109"/>
      <c r="N1955" s="109"/>
      <c r="O1955" s="109"/>
      <c r="P1955" s="109"/>
      <c r="Q1955" s="109"/>
      <c r="S1955" s="111"/>
      <c r="T1955" s="60"/>
      <c r="U1955" s="112"/>
    </row>
    <row r="1956" spans="4:21" s="110" customFormat="1" ht="15.75" customHeight="1">
      <c r="D1956" s="113"/>
      <c r="E1956" s="60"/>
      <c r="F1956" s="60"/>
      <c r="G1956" s="60"/>
      <c r="H1956" s="60"/>
      <c r="I1956" s="60"/>
      <c r="J1956" s="114"/>
      <c r="K1956" s="60"/>
      <c r="L1956" s="109"/>
      <c r="M1956" s="109"/>
      <c r="N1956" s="109"/>
      <c r="O1956" s="109"/>
      <c r="P1956" s="109"/>
      <c r="Q1956" s="109"/>
      <c r="S1956" s="111"/>
      <c r="T1956" s="60"/>
      <c r="U1956" s="112"/>
    </row>
    <row r="1957" spans="4:21" s="110" customFormat="1" ht="15.75" customHeight="1">
      <c r="D1957" s="113"/>
      <c r="E1957" s="60"/>
      <c r="F1957" s="60"/>
      <c r="G1957" s="60"/>
      <c r="H1957" s="60"/>
      <c r="I1957" s="60"/>
      <c r="J1957" s="114"/>
      <c r="K1957" s="60"/>
      <c r="L1957" s="109"/>
      <c r="M1957" s="109"/>
      <c r="N1957" s="109"/>
      <c r="O1957" s="109"/>
      <c r="P1957" s="109"/>
      <c r="Q1957" s="109"/>
      <c r="S1957" s="111"/>
      <c r="T1957" s="60"/>
      <c r="U1957" s="112"/>
    </row>
    <row r="1958" spans="4:21" s="110" customFormat="1" ht="15.75" customHeight="1">
      <c r="D1958" s="113"/>
      <c r="E1958" s="60"/>
      <c r="F1958" s="60"/>
      <c r="G1958" s="60"/>
      <c r="H1958" s="60"/>
      <c r="I1958" s="60"/>
      <c r="J1958" s="114"/>
      <c r="K1958" s="60"/>
      <c r="L1958" s="109"/>
      <c r="M1958" s="109"/>
      <c r="N1958" s="109"/>
      <c r="O1958" s="109"/>
      <c r="P1958" s="109"/>
      <c r="Q1958" s="109"/>
      <c r="S1958" s="111"/>
      <c r="T1958" s="60"/>
      <c r="U1958" s="112"/>
    </row>
    <row r="1959" spans="4:21" s="110" customFormat="1" ht="15.75" customHeight="1">
      <c r="D1959" s="113"/>
      <c r="E1959" s="60"/>
      <c r="F1959" s="60"/>
      <c r="G1959" s="60"/>
      <c r="H1959" s="60"/>
      <c r="I1959" s="60"/>
      <c r="J1959" s="114"/>
      <c r="K1959" s="60"/>
      <c r="L1959" s="109"/>
      <c r="M1959" s="109"/>
      <c r="N1959" s="109"/>
      <c r="O1959" s="109"/>
      <c r="P1959" s="109"/>
      <c r="Q1959" s="109"/>
      <c r="S1959" s="111"/>
      <c r="T1959" s="60"/>
      <c r="U1959" s="112"/>
    </row>
    <row r="1960" spans="4:21" s="110" customFormat="1" ht="15.75" customHeight="1">
      <c r="D1960" s="113"/>
      <c r="E1960" s="60"/>
      <c r="F1960" s="60"/>
      <c r="G1960" s="60"/>
      <c r="H1960" s="60"/>
      <c r="I1960" s="60"/>
      <c r="J1960" s="114"/>
      <c r="K1960" s="60"/>
      <c r="L1960" s="109"/>
      <c r="M1960" s="109"/>
      <c r="N1960" s="109"/>
      <c r="O1960" s="109"/>
      <c r="P1960" s="109"/>
      <c r="Q1960" s="109"/>
      <c r="S1960" s="111"/>
      <c r="T1960" s="60"/>
      <c r="U1960" s="112"/>
    </row>
    <row r="1961" spans="4:21" s="110" customFormat="1" ht="15.75" customHeight="1">
      <c r="D1961" s="113"/>
      <c r="E1961" s="60"/>
      <c r="F1961" s="60"/>
      <c r="G1961" s="60"/>
      <c r="H1961" s="60"/>
      <c r="I1961" s="60"/>
      <c r="J1961" s="114"/>
      <c r="K1961" s="60"/>
      <c r="L1961" s="109"/>
      <c r="M1961" s="109"/>
      <c r="N1961" s="109"/>
      <c r="O1961" s="109"/>
      <c r="P1961" s="109"/>
      <c r="Q1961" s="109"/>
      <c r="S1961" s="111"/>
      <c r="T1961" s="60"/>
      <c r="U1961" s="112"/>
    </row>
    <row r="1962" spans="4:21" s="110" customFormat="1" ht="15.75" customHeight="1">
      <c r="D1962" s="113"/>
      <c r="E1962" s="60"/>
      <c r="F1962" s="60"/>
      <c r="G1962" s="60"/>
      <c r="H1962" s="60"/>
      <c r="I1962" s="60"/>
      <c r="J1962" s="114"/>
      <c r="K1962" s="60"/>
      <c r="L1962" s="109"/>
      <c r="M1962" s="109"/>
      <c r="N1962" s="109"/>
      <c r="O1962" s="109"/>
      <c r="P1962" s="109"/>
      <c r="Q1962" s="109"/>
      <c r="S1962" s="111"/>
      <c r="T1962" s="60"/>
      <c r="U1962" s="112"/>
    </row>
    <row r="1963" spans="4:21" s="110" customFormat="1" ht="15.75" customHeight="1">
      <c r="D1963" s="113"/>
      <c r="E1963" s="60"/>
      <c r="F1963" s="60"/>
      <c r="G1963" s="60"/>
      <c r="H1963" s="60"/>
      <c r="I1963" s="60"/>
      <c r="J1963" s="114"/>
      <c r="K1963" s="60"/>
      <c r="L1963" s="109"/>
      <c r="M1963" s="109"/>
      <c r="N1963" s="109"/>
      <c r="O1963" s="109"/>
      <c r="P1963" s="109"/>
      <c r="Q1963" s="109"/>
      <c r="S1963" s="111"/>
      <c r="T1963" s="60"/>
      <c r="U1963" s="112"/>
    </row>
    <row r="1964" spans="4:21" s="110" customFormat="1" ht="15.75" customHeight="1">
      <c r="D1964" s="113"/>
      <c r="E1964" s="60"/>
      <c r="F1964" s="60"/>
      <c r="G1964" s="60"/>
      <c r="H1964" s="60"/>
      <c r="I1964" s="60"/>
      <c r="J1964" s="114"/>
      <c r="K1964" s="60"/>
      <c r="L1964" s="109"/>
      <c r="M1964" s="109"/>
      <c r="N1964" s="109"/>
      <c r="O1964" s="109"/>
      <c r="P1964" s="109"/>
      <c r="Q1964" s="109"/>
      <c r="S1964" s="111"/>
      <c r="T1964" s="60"/>
      <c r="U1964" s="112"/>
    </row>
    <row r="1965" spans="4:21" s="110" customFormat="1" ht="15.75" customHeight="1">
      <c r="D1965" s="113"/>
      <c r="E1965" s="60"/>
      <c r="F1965" s="60"/>
      <c r="G1965" s="60"/>
      <c r="H1965" s="60"/>
      <c r="I1965" s="60"/>
      <c r="J1965" s="114"/>
      <c r="K1965" s="60"/>
      <c r="L1965" s="109"/>
      <c r="M1965" s="109"/>
      <c r="N1965" s="109"/>
      <c r="O1965" s="109"/>
      <c r="P1965" s="109"/>
      <c r="Q1965" s="109"/>
      <c r="S1965" s="111"/>
      <c r="T1965" s="60"/>
      <c r="U1965" s="112"/>
    </row>
    <row r="1966" spans="4:21" s="110" customFormat="1" ht="15.75" customHeight="1">
      <c r="D1966" s="113"/>
      <c r="E1966" s="60"/>
      <c r="F1966" s="60"/>
      <c r="G1966" s="60"/>
      <c r="H1966" s="60"/>
      <c r="I1966" s="60"/>
      <c r="J1966" s="114"/>
      <c r="K1966" s="60"/>
      <c r="L1966" s="109"/>
      <c r="M1966" s="109"/>
      <c r="N1966" s="109"/>
      <c r="O1966" s="109"/>
      <c r="P1966" s="109"/>
      <c r="Q1966" s="109"/>
      <c r="S1966" s="111"/>
      <c r="T1966" s="60"/>
      <c r="U1966" s="112"/>
    </row>
    <row r="1967" spans="4:21" s="110" customFormat="1" ht="15.75" customHeight="1">
      <c r="D1967" s="113"/>
      <c r="E1967" s="60"/>
      <c r="F1967" s="60"/>
      <c r="G1967" s="60"/>
      <c r="H1967" s="60"/>
      <c r="I1967" s="60"/>
      <c r="J1967" s="114"/>
      <c r="K1967" s="60"/>
      <c r="L1967" s="109"/>
      <c r="M1967" s="109"/>
      <c r="N1967" s="109"/>
      <c r="O1967" s="109"/>
      <c r="P1967" s="109"/>
      <c r="Q1967" s="109"/>
      <c r="S1967" s="111"/>
      <c r="T1967" s="60"/>
      <c r="U1967" s="112"/>
    </row>
    <row r="1968" spans="4:21" s="110" customFormat="1" ht="15.75" customHeight="1">
      <c r="D1968" s="113"/>
      <c r="E1968" s="60"/>
      <c r="F1968" s="60"/>
      <c r="G1968" s="60"/>
      <c r="H1968" s="60"/>
      <c r="I1968" s="60"/>
      <c r="J1968" s="114"/>
      <c r="K1968" s="60"/>
      <c r="L1968" s="109"/>
      <c r="M1968" s="109"/>
      <c r="N1968" s="109"/>
      <c r="O1968" s="109"/>
      <c r="P1968" s="109"/>
      <c r="Q1968" s="109"/>
      <c r="S1968" s="111"/>
      <c r="T1968" s="60"/>
      <c r="U1968" s="112"/>
    </row>
    <row r="1969" spans="4:21" s="110" customFormat="1" ht="15.75" customHeight="1">
      <c r="D1969" s="113"/>
      <c r="E1969" s="60"/>
      <c r="F1969" s="60"/>
      <c r="G1969" s="60"/>
      <c r="H1969" s="60"/>
      <c r="I1969" s="60"/>
      <c r="J1969" s="114"/>
      <c r="K1969" s="60"/>
      <c r="L1969" s="109"/>
      <c r="M1969" s="109"/>
      <c r="N1969" s="109"/>
      <c r="O1969" s="109"/>
      <c r="P1969" s="109"/>
      <c r="Q1969" s="109"/>
      <c r="S1969" s="111"/>
      <c r="T1969" s="60"/>
      <c r="U1969" s="112"/>
    </row>
    <row r="1970" spans="4:21" s="110" customFormat="1" ht="15.75" customHeight="1">
      <c r="D1970" s="113"/>
      <c r="E1970" s="60"/>
      <c r="F1970" s="60"/>
      <c r="G1970" s="60"/>
      <c r="H1970" s="60"/>
      <c r="I1970" s="60"/>
      <c r="J1970" s="114"/>
      <c r="K1970" s="60"/>
      <c r="L1970" s="109"/>
      <c r="M1970" s="109"/>
      <c r="N1970" s="109"/>
      <c r="O1970" s="109"/>
      <c r="P1970" s="109"/>
      <c r="Q1970" s="109"/>
      <c r="S1970" s="111"/>
      <c r="T1970" s="60"/>
      <c r="U1970" s="112"/>
    </row>
    <row r="1971" spans="4:21" s="110" customFormat="1" ht="15.75" customHeight="1">
      <c r="D1971" s="113"/>
      <c r="E1971" s="60"/>
      <c r="F1971" s="60"/>
      <c r="G1971" s="60"/>
      <c r="H1971" s="60"/>
      <c r="I1971" s="60"/>
      <c r="J1971" s="114"/>
      <c r="K1971" s="60"/>
      <c r="L1971" s="109"/>
      <c r="M1971" s="109"/>
      <c r="N1971" s="109"/>
      <c r="O1971" s="109"/>
      <c r="P1971" s="109"/>
      <c r="Q1971" s="109"/>
      <c r="S1971" s="111"/>
      <c r="T1971" s="60"/>
      <c r="U1971" s="112"/>
    </row>
    <row r="1972" spans="4:21" s="110" customFormat="1" ht="15.75" customHeight="1">
      <c r="D1972" s="113"/>
      <c r="E1972" s="60"/>
      <c r="F1972" s="60"/>
      <c r="G1972" s="60"/>
      <c r="H1972" s="60"/>
      <c r="I1972" s="60"/>
      <c r="J1972" s="114"/>
      <c r="K1972" s="60"/>
      <c r="L1972" s="109"/>
      <c r="M1972" s="109"/>
      <c r="N1972" s="109"/>
      <c r="O1972" s="109"/>
      <c r="P1972" s="109"/>
      <c r="Q1972" s="109"/>
      <c r="S1972" s="111"/>
      <c r="T1972" s="60"/>
      <c r="U1972" s="112"/>
    </row>
    <row r="1973" spans="4:21" s="110" customFormat="1" ht="15.75" customHeight="1">
      <c r="D1973" s="113"/>
      <c r="E1973" s="60"/>
      <c r="F1973" s="60"/>
      <c r="G1973" s="60"/>
      <c r="H1973" s="60"/>
      <c r="I1973" s="60"/>
      <c r="J1973" s="114"/>
      <c r="K1973" s="60"/>
      <c r="L1973" s="109"/>
      <c r="M1973" s="109"/>
      <c r="N1973" s="109"/>
      <c r="O1973" s="109"/>
      <c r="P1973" s="109"/>
      <c r="Q1973" s="109"/>
      <c r="S1973" s="111"/>
      <c r="T1973" s="60"/>
      <c r="U1973" s="112"/>
    </row>
    <row r="1974" spans="4:21" s="110" customFormat="1" ht="15.75" customHeight="1">
      <c r="D1974" s="113"/>
      <c r="E1974" s="60"/>
      <c r="F1974" s="60"/>
      <c r="G1974" s="60"/>
      <c r="H1974" s="60"/>
      <c r="I1974" s="60"/>
      <c r="J1974" s="114"/>
      <c r="K1974" s="60"/>
      <c r="L1974" s="109"/>
      <c r="M1974" s="109"/>
      <c r="N1974" s="109"/>
      <c r="O1974" s="109"/>
      <c r="P1974" s="109"/>
      <c r="Q1974" s="109"/>
      <c r="S1974" s="111"/>
      <c r="T1974" s="60"/>
      <c r="U1974" s="112"/>
    </row>
    <row r="1975" spans="4:21" s="110" customFormat="1" ht="15.75" customHeight="1">
      <c r="D1975" s="113"/>
      <c r="E1975" s="60"/>
      <c r="F1975" s="60"/>
      <c r="G1975" s="60"/>
      <c r="H1975" s="60"/>
      <c r="I1975" s="60"/>
      <c r="J1975" s="114"/>
      <c r="K1975" s="60"/>
      <c r="L1975" s="109"/>
      <c r="M1975" s="109"/>
      <c r="N1975" s="109"/>
      <c r="O1975" s="109"/>
      <c r="P1975" s="109"/>
      <c r="Q1975" s="109"/>
      <c r="S1975" s="111"/>
      <c r="T1975" s="60"/>
      <c r="U1975" s="112"/>
    </row>
    <row r="1976" spans="4:21" s="110" customFormat="1" ht="15.75" customHeight="1">
      <c r="D1976" s="113"/>
      <c r="E1976" s="60"/>
      <c r="F1976" s="60"/>
      <c r="G1976" s="60"/>
      <c r="H1976" s="60"/>
      <c r="I1976" s="60"/>
      <c r="J1976" s="114"/>
      <c r="K1976" s="60"/>
      <c r="L1976" s="109"/>
      <c r="M1976" s="109"/>
      <c r="N1976" s="109"/>
      <c r="O1976" s="109"/>
      <c r="P1976" s="109"/>
      <c r="Q1976" s="109"/>
      <c r="S1976" s="111"/>
      <c r="T1976" s="60"/>
      <c r="U1976" s="112"/>
    </row>
    <row r="1977" spans="4:21" s="110" customFormat="1" ht="15.75" customHeight="1">
      <c r="D1977" s="113"/>
      <c r="E1977" s="60"/>
      <c r="F1977" s="60"/>
      <c r="G1977" s="60"/>
      <c r="H1977" s="60"/>
      <c r="I1977" s="60"/>
      <c r="J1977" s="114"/>
      <c r="K1977" s="60"/>
      <c r="L1977" s="109"/>
      <c r="M1977" s="109"/>
      <c r="N1977" s="109"/>
      <c r="O1977" s="109"/>
      <c r="P1977" s="109"/>
      <c r="Q1977" s="109"/>
      <c r="S1977" s="111"/>
      <c r="T1977" s="60"/>
      <c r="U1977" s="112"/>
    </row>
    <row r="1978" spans="4:21" s="110" customFormat="1" ht="15.75" customHeight="1">
      <c r="D1978" s="113"/>
      <c r="E1978" s="60"/>
      <c r="F1978" s="60"/>
      <c r="G1978" s="60"/>
      <c r="H1978" s="60"/>
      <c r="I1978" s="60"/>
      <c r="J1978" s="114"/>
      <c r="K1978" s="60"/>
      <c r="L1978" s="109"/>
      <c r="M1978" s="109"/>
      <c r="N1978" s="109"/>
      <c r="O1978" s="109"/>
      <c r="P1978" s="109"/>
      <c r="Q1978" s="109"/>
      <c r="S1978" s="111"/>
      <c r="T1978" s="60"/>
      <c r="U1978" s="112"/>
    </row>
    <row r="1979" spans="4:21" s="110" customFormat="1" ht="15.75" customHeight="1">
      <c r="D1979" s="113"/>
      <c r="E1979" s="60"/>
      <c r="F1979" s="60"/>
      <c r="G1979" s="60"/>
      <c r="H1979" s="60"/>
      <c r="I1979" s="60"/>
      <c r="J1979" s="114"/>
      <c r="K1979" s="60"/>
      <c r="L1979" s="109"/>
      <c r="M1979" s="109"/>
      <c r="N1979" s="109"/>
      <c r="O1979" s="109"/>
      <c r="P1979" s="109"/>
      <c r="Q1979" s="109"/>
      <c r="S1979" s="111"/>
      <c r="T1979" s="60"/>
      <c r="U1979" s="112"/>
    </row>
    <row r="1980" spans="4:21" s="110" customFormat="1" ht="15.75" customHeight="1">
      <c r="D1980" s="113"/>
      <c r="E1980" s="60"/>
      <c r="F1980" s="60"/>
      <c r="G1980" s="60"/>
      <c r="H1980" s="60"/>
      <c r="I1980" s="60"/>
      <c r="J1980" s="114"/>
      <c r="K1980" s="60"/>
      <c r="L1980" s="109"/>
      <c r="M1980" s="109"/>
      <c r="N1980" s="109"/>
      <c r="O1980" s="109"/>
      <c r="P1980" s="109"/>
      <c r="Q1980" s="109"/>
      <c r="S1980" s="111"/>
      <c r="T1980" s="60"/>
      <c r="U1980" s="112"/>
    </row>
    <row r="1981" spans="4:21" s="110" customFormat="1" ht="15.75" customHeight="1">
      <c r="D1981" s="113"/>
      <c r="E1981" s="60"/>
      <c r="F1981" s="60"/>
      <c r="G1981" s="60"/>
      <c r="H1981" s="60"/>
      <c r="I1981" s="60"/>
      <c r="J1981" s="114"/>
      <c r="K1981" s="60"/>
      <c r="L1981" s="109"/>
      <c r="M1981" s="109"/>
      <c r="N1981" s="109"/>
      <c r="O1981" s="109"/>
      <c r="P1981" s="109"/>
      <c r="Q1981" s="109"/>
      <c r="S1981" s="111"/>
      <c r="T1981" s="60"/>
      <c r="U1981" s="112"/>
    </row>
    <row r="1982" spans="4:21" s="110" customFormat="1" ht="15.75" customHeight="1">
      <c r="D1982" s="113"/>
      <c r="E1982" s="60"/>
      <c r="F1982" s="60"/>
      <c r="G1982" s="60"/>
      <c r="H1982" s="60"/>
      <c r="I1982" s="60"/>
      <c r="J1982" s="114"/>
      <c r="K1982" s="60"/>
      <c r="L1982" s="109"/>
      <c r="M1982" s="109"/>
      <c r="N1982" s="109"/>
      <c r="O1982" s="109"/>
      <c r="P1982" s="109"/>
      <c r="Q1982" s="109"/>
      <c r="S1982" s="111"/>
      <c r="T1982" s="60"/>
      <c r="U1982" s="112"/>
    </row>
    <row r="1983" spans="4:21" s="110" customFormat="1" ht="15.75" customHeight="1">
      <c r="D1983" s="113"/>
      <c r="E1983" s="60"/>
      <c r="F1983" s="60"/>
      <c r="G1983" s="60"/>
      <c r="H1983" s="60"/>
      <c r="I1983" s="60"/>
      <c r="J1983" s="114"/>
      <c r="K1983" s="60"/>
      <c r="L1983" s="109"/>
      <c r="M1983" s="109"/>
      <c r="N1983" s="109"/>
      <c r="O1983" s="109"/>
      <c r="P1983" s="109"/>
      <c r="Q1983" s="109"/>
      <c r="S1983" s="111"/>
      <c r="T1983" s="60"/>
      <c r="U1983" s="112"/>
    </row>
    <row r="1984" spans="4:21" s="110" customFormat="1" ht="15.75" customHeight="1">
      <c r="D1984" s="113"/>
      <c r="E1984" s="60"/>
      <c r="F1984" s="60"/>
      <c r="G1984" s="60"/>
      <c r="H1984" s="60"/>
      <c r="I1984" s="60"/>
      <c r="J1984" s="114"/>
      <c r="K1984" s="60"/>
      <c r="L1984" s="109"/>
      <c r="M1984" s="109"/>
      <c r="N1984" s="109"/>
      <c r="O1984" s="109"/>
      <c r="P1984" s="109"/>
      <c r="Q1984" s="109"/>
      <c r="S1984" s="111"/>
      <c r="T1984" s="60"/>
      <c r="U1984" s="112"/>
    </row>
    <row r="1985" spans="4:21" s="110" customFormat="1" ht="15.75" customHeight="1">
      <c r="D1985" s="113"/>
      <c r="E1985" s="60"/>
      <c r="F1985" s="60"/>
      <c r="G1985" s="60"/>
      <c r="H1985" s="60"/>
      <c r="I1985" s="60"/>
      <c r="J1985" s="114"/>
      <c r="K1985" s="60"/>
      <c r="L1985" s="109"/>
      <c r="M1985" s="109"/>
      <c r="N1985" s="109"/>
      <c r="O1985" s="109"/>
      <c r="P1985" s="109"/>
      <c r="Q1985" s="109"/>
      <c r="S1985" s="111"/>
      <c r="T1985" s="60"/>
      <c r="U1985" s="112"/>
    </row>
    <row r="1986" spans="4:21" s="110" customFormat="1" ht="15.75" customHeight="1">
      <c r="D1986" s="113"/>
      <c r="E1986" s="60"/>
      <c r="F1986" s="60"/>
      <c r="G1986" s="60"/>
      <c r="H1986" s="60"/>
      <c r="I1986" s="60"/>
      <c r="J1986" s="114"/>
      <c r="K1986" s="60"/>
      <c r="L1986" s="109"/>
      <c r="M1986" s="109"/>
      <c r="N1986" s="109"/>
      <c r="O1986" s="109"/>
      <c r="P1986" s="109"/>
      <c r="Q1986" s="109"/>
      <c r="S1986" s="111"/>
      <c r="T1986" s="60"/>
      <c r="U1986" s="112"/>
    </row>
    <row r="1987" spans="4:21" s="110" customFormat="1" ht="15.75" customHeight="1">
      <c r="D1987" s="113"/>
      <c r="E1987" s="60"/>
      <c r="F1987" s="60"/>
      <c r="G1987" s="60"/>
      <c r="H1987" s="60"/>
      <c r="I1987" s="60"/>
      <c r="J1987" s="114"/>
      <c r="K1987" s="60"/>
      <c r="L1987" s="109"/>
      <c r="M1987" s="109"/>
      <c r="N1987" s="109"/>
      <c r="O1987" s="109"/>
      <c r="P1987" s="109"/>
      <c r="Q1987" s="109"/>
      <c r="S1987" s="111"/>
      <c r="T1987" s="60"/>
      <c r="U1987" s="112"/>
    </row>
    <row r="1988" spans="4:21" s="110" customFormat="1" ht="15.75" customHeight="1">
      <c r="D1988" s="113"/>
      <c r="E1988" s="60"/>
      <c r="F1988" s="60"/>
      <c r="G1988" s="60"/>
      <c r="H1988" s="60"/>
      <c r="I1988" s="60"/>
      <c r="J1988" s="114"/>
      <c r="K1988" s="60"/>
      <c r="L1988" s="109"/>
      <c r="M1988" s="109"/>
      <c r="N1988" s="109"/>
      <c r="O1988" s="109"/>
      <c r="P1988" s="109"/>
      <c r="Q1988" s="109"/>
      <c r="S1988" s="111"/>
      <c r="T1988" s="60"/>
      <c r="U1988" s="112"/>
    </row>
    <row r="1989" spans="4:21" s="110" customFormat="1" ht="15.75" customHeight="1">
      <c r="D1989" s="113"/>
      <c r="E1989" s="60"/>
      <c r="F1989" s="60"/>
      <c r="G1989" s="60"/>
      <c r="H1989" s="60"/>
      <c r="I1989" s="60"/>
      <c r="J1989" s="114"/>
      <c r="K1989" s="60"/>
      <c r="L1989" s="109"/>
      <c r="M1989" s="109"/>
      <c r="N1989" s="109"/>
      <c r="O1989" s="109"/>
      <c r="P1989" s="109"/>
      <c r="Q1989" s="109"/>
      <c r="S1989" s="111"/>
      <c r="T1989" s="60"/>
      <c r="U1989" s="112"/>
    </row>
    <row r="1990" spans="4:21" s="110" customFormat="1" ht="15.75" customHeight="1">
      <c r="D1990" s="113"/>
      <c r="E1990" s="60"/>
      <c r="F1990" s="60"/>
      <c r="G1990" s="60"/>
      <c r="H1990" s="60"/>
      <c r="I1990" s="60"/>
      <c r="J1990" s="114"/>
      <c r="K1990" s="60"/>
      <c r="L1990" s="109"/>
      <c r="M1990" s="109"/>
      <c r="N1990" s="109"/>
      <c r="O1990" s="109"/>
      <c r="P1990" s="109"/>
      <c r="Q1990" s="109"/>
      <c r="S1990" s="111"/>
      <c r="T1990" s="60"/>
      <c r="U1990" s="112"/>
    </row>
    <row r="1991" spans="4:21" s="110" customFormat="1" ht="15.75" customHeight="1">
      <c r="D1991" s="113"/>
      <c r="E1991" s="60"/>
      <c r="F1991" s="60"/>
      <c r="G1991" s="60"/>
      <c r="H1991" s="60"/>
      <c r="I1991" s="60"/>
      <c r="J1991" s="114"/>
      <c r="K1991" s="60"/>
      <c r="L1991" s="109"/>
      <c r="M1991" s="109"/>
      <c r="N1991" s="109"/>
      <c r="O1991" s="109"/>
      <c r="P1991" s="109"/>
      <c r="Q1991" s="109"/>
      <c r="S1991" s="111"/>
      <c r="T1991" s="60"/>
      <c r="U1991" s="112"/>
    </row>
    <row r="1992" spans="4:21" s="110" customFormat="1" ht="15.75" customHeight="1">
      <c r="D1992" s="113"/>
      <c r="E1992" s="60"/>
      <c r="F1992" s="60"/>
      <c r="G1992" s="60"/>
      <c r="H1992" s="60"/>
      <c r="I1992" s="60"/>
      <c r="J1992" s="114"/>
      <c r="K1992" s="60"/>
      <c r="L1992" s="109"/>
      <c r="M1992" s="109"/>
      <c r="N1992" s="109"/>
      <c r="O1992" s="109"/>
      <c r="P1992" s="109"/>
      <c r="Q1992" s="109"/>
      <c r="S1992" s="111"/>
      <c r="T1992" s="60"/>
      <c r="U1992" s="112"/>
    </row>
    <row r="1993" spans="4:21" s="110" customFormat="1" ht="15.75" customHeight="1">
      <c r="D1993" s="113"/>
      <c r="E1993" s="60"/>
      <c r="F1993" s="60"/>
      <c r="G1993" s="60"/>
      <c r="H1993" s="60"/>
      <c r="I1993" s="60"/>
      <c r="J1993" s="114"/>
      <c r="K1993" s="60"/>
      <c r="L1993" s="109"/>
      <c r="M1993" s="109"/>
      <c r="N1993" s="109"/>
      <c r="O1993" s="109"/>
      <c r="P1993" s="109"/>
      <c r="Q1993" s="109"/>
      <c r="S1993" s="111"/>
      <c r="T1993" s="60"/>
      <c r="U1993" s="112"/>
    </row>
    <row r="1994" spans="4:21" s="110" customFormat="1" ht="15.75" customHeight="1">
      <c r="D1994" s="113"/>
      <c r="E1994" s="60"/>
      <c r="F1994" s="60"/>
      <c r="G1994" s="60"/>
      <c r="H1994" s="60"/>
      <c r="I1994" s="60"/>
      <c r="J1994" s="114"/>
      <c r="K1994" s="60"/>
      <c r="L1994" s="109"/>
      <c r="M1994" s="109"/>
      <c r="N1994" s="109"/>
      <c r="O1994" s="109"/>
      <c r="P1994" s="109"/>
      <c r="Q1994" s="109"/>
      <c r="S1994" s="111"/>
      <c r="T1994" s="60"/>
      <c r="U1994" s="112"/>
    </row>
    <row r="1995" spans="4:21" s="110" customFormat="1" ht="15.75" customHeight="1">
      <c r="D1995" s="113"/>
      <c r="E1995" s="60"/>
      <c r="F1995" s="60"/>
      <c r="G1995" s="60"/>
      <c r="H1995" s="60"/>
      <c r="I1995" s="60"/>
      <c r="J1995" s="114"/>
      <c r="K1995" s="60"/>
      <c r="L1995" s="109"/>
      <c r="M1995" s="109"/>
      <c r="N1995" s="109"/>
      <c r="O1995" s="109"/>
      <c r="P1995" s="109"/>
      <c r="Q1995" s="109"/>
      <c r="S1995" s="111"/>
      <c r="T1995" s="60"/>
      <c r="U1995" s="112"/>
    </row>
    <row r="1996" spans="4:21" s="110" customFormat="1" ht="15.75" customHeight="1">
      <c r="D1996" s="113"/>
      <c r="E1996" s="60"/>
      <c r="F1996" s="60"/>
      <c r="G1996" s="60"/>
      <c r="H1996" s="60"/>
      <c r="I1996" s="60"/>
      <c r="J1996" s="114"/>
      <c r="K1996" s="60"/>
      <c r="L1996" s="109"/>
      <c r="M1996" s="109"/>
      <c r="N1996" s="109"/>
      <c r="O1996" s="109"/>
      <c r="P1996" s="109"/>
      <c r="Q1996" s="109"/>
      <c r="S1996" s="111"/>
      <c r="T1996" s="60"/>
      <c r="U1996" s="112"/>
    </row>
    <row r="1997" spans="4:21" s="110" customFormat="1" ht="15.75" customHeight="1">
      <c r="D1997" s="113"/>
      <c r="E1997" s="60"/>
      <c r="F1997" s="60"/>
      <c r="G1997" s="60"/>
      <c r="H1997" s="60"/>
      <c r="I1997" s="60"/>
      <c r="J1997" s="114"/>
      <c r="K1997" s="60"/>
      <c r="L1997" s="109"/>
      <c r="M1997" s="109"/>
      <c r="N1997" s="109"/>
      <c r="O1997" s="109"/>
      <c r="P1997" s="109"/>
      <c r="Q1997" s="109"/>
      <c r="S1997" s="111"/>
      <c r="T1997" s="60"/>
      <c r="U1997" s="112"/>
    </row>
    <row r="1998" spans="4:21" s="110" customFormat="1" ht="15.75" customHeight="1">
      <c r="D1998" s="113"/>
      <c r="E1998" s="60"/>
      <c r="F1998" s="60"/>
      <c r="G1998" s="60"/>
      <c r="H1998" s="60"/>
      <c r="I1998" s="60"/>
      <c r="J1998" s="114"/>
      <c r="K1998" s="60"/>
      <c r="L1998" s="109"/>
      <c r="M1998" s="109"/>
      <c r="N1998" s="109"/>
      <c r="O1998" s="109"/>
      <c r="P1998" s="109"/>
      <c r="Q1998" s="109"/>
      <c r="S1998" s="111"/>
      <c r="T1998" s="60"/>
      <c r="U1998" s="112"/>
    </row>
    <row r="1999" spans="4:21" s="110" customFormat="1" ht="15.75" customHeight="1">
      <c r="D1999" s="113"/>
      <c r="E1999" s="60"/>
      <c r="F1999" s="60"/>
      <c r="G1999" s="60"/>
      <c r="H1999" s="60"/>
      <c r="I1999" s="60"/>
      <c r="J1999" s="114"/>
      <c r="K1999" s="60"/>
      <c r="L1999" s="109"/>
      <c r="M1999" s="109"/>
      <c r="N1999" s="109"/>
      <c r="O1999" s="109"/>
      <c r="P1999" s="109"/>
      <c r="Q1999" s="109"/>
      <c r="S1999" s="111"/>
      <c r="T1999" s="60"/>
      <c r="U1999" s="112"/>
    </row>
    <row r="2000" spans="4:21" s="110" customFormat="1" ht="15.75" customHeight="1">
      <c r="D2000" s="113"/>
      <c r="E2000" s="60"/>
      <c r="F2000" s="60"/>
      <c r="G2000" s="60"/>
      <c r="H2000" s="60"/>
      <c r="I2000" s="60"/>
      <c r="J2000" s="114"/>
      <c r="K2000" s="60"/>
      <c r="L2000" s="109"/>
      <c r="M2000" s="109"/>
      <c r="N2000" s="109"/>
      <c r="O2000" s="109"/>
      <c r="P2000" s="109"/>
      <c r="Q2000" s="109"/>
      <c r="S2000" s="111"/>
      <c r="T2000" s="60"/>
      <c r="U2000" s="112"/>
    </row>
    <row r="2001" spans="4:21" s="110" customFormat="1" ht="15.75" customHeight="1">
      <c r="D2001" s="113"/>
      <c r="E2001" s="60"/>
      <c r="F2001" s="60"/>
      <c r="G2001" s="60"/>
      <c r="H2001" s="60"/>
      <c r="I2001" s="60"/>
      <c r="J2001" s="114"/>
      <c r="K2001" s="60"/>
      <c r="L2001" s="109"/>
      <c r="M2001" s="109"/>
      <c r="N2001" s="109"/>
      <c r="O2001" s="109"/>
      <c r="P2001" s="109"/>
      <c r="Q2001" s="109"/>
      <c r="S2001" s="111"/>
      <c r="T2001" s="60"/>
      <c r="U2001" s="112"/>
    </row>
    <row r="2002" spans="4:21" s="110" customFormat="1" ht="15.75" customHeight="1">
      <c r="D2002" s="113"/>
      <c r="E2002" s="60"/>
      <c r="F2002" s="60"/>
      <c r="G2002" s="60"/>
      <c r="H2002" s="60"/>
      <c r="I2002" s="60"/>
      <c r="J2002" s="114"/>
      <c r="K2002" s="60"/>
      <c r="L2002" s="109"/>
      <c r="M2002" s="109"/>
      <c r="N2002" s="109"/>
      <c r="O2002" s="109"/>
      <c r="P2002" s="109"/>
      <c r="Q2002" s="109"/>
      <c r="S2002" s="111"/>
      <c r="T2002" s="60"/>
      <c r="U2002" s="112"/>
    </row>
    <row r="2003" spans="4:21" s="110" customFormat="1" ht="15.75" customHeight="1">
      <c r="D2003" s="113"/>
      <c r="E2003" s="60"/>
      <c r="F2003" s="60"/>
      <c r="G2003" s="60"/>
      <c r="H2003" s="60"/>
      <c r="I2003" s="60"/>
      <c r="J2003" s="114"/>
      <c r="K2003" s="60"/>
      <c r="L2003" s="109"/>
      <c r="M2003" s="109"/>
      <c r="N2003" s="109"/>
      <c r="O2003" s="109"/>
      <c r="P2003" s="109"/>
      <c r="Q2003" s="109"/>
      <c r="S2003" s="111"/>
      <c r="T2003" s="60"/>
      <c r="U2003" s="112"/>
    </row>
    <row r="2004" spans="4:21" s="110" customFormat="1" ht="15.75" customHeight="1">
      <c r="D2004" s="113"/>
      <c r="E2004" s="60"/>
      <c r="F2004" s="60"/>
      <c r="G2004" s="60"/>
      <c r="H2004" s="60"/>
      <c r="I2004" s="60"/>
      <c r="J2004" s="114"/>
      <c r="K2004" s="60"/>
      <c r="L2004" s="109"/>
      <c r="M2004" s="109"/>
      <c r="N2004" s="109"/>
      <c r="O2004" s="109"/>
      <c r="P2004" s="109"/>
      <c r="Q2004" s="109"/>
      <c r="S2004" s="111"/>
      <c r="T2004" s="60"/>
      <c r="U2004" s="112"/>
    </row>
    <row r="2005" spans="4:21" s="110" customFormat="1" ht="15.75" customHeight="1">
      <c r="D2005" s="113"/>
      <c r="E2005" s="60"/>
      <c r="F2005" s="60"/>
      <c r="G2005" s="60"/>
      <c r="H2005" s="60"/>
      <c r="I2005" s="60"/>
      <c r="J2005" s="114"/>
      <c r="K2005" s="60"/>
      <c r="L2005" s="109"/>
      <c r="M2005" s="109"/>
      <c r="N2005" s="109"/>
      <c r="O2005" s="109"/>
      <c r="P2005" s="109"/>
      <c r="Q2005" s="109"/>
      <c r="S2005" s="111"/>
      <c r="T2005" s="60"/>
      <c r="U2005" s="112"/>
    </row>
    <row r="2006" spans="4:21" s="110" customFormat="1" ht="15.75" customHeight="1">
      <c r="D2006" s="113"/>
      <c r="E2006" s="60"/>
      <c r="F2006" s="60"/>
      <c r="G2006" s="60"/>
      <c r="H2006" s="60"/>
      <c r="I2006" s="60"/>
      <c r="J2006" s="114"/>
      <c r="K2006" s="60"/>
      <c r="L2006" s="109"/>
      <c r="M2006" s="109"/>
      <c r="N2006" s="109"/>
      <c r="O2006" s="109"/>
      <c r="P2006" s="109"/>
      <c r="Q2006" s="109"/>
      <c r="S2006" s="111"/>
      <c r="T2006" s="60"/>
      <c r="U2006" s="112"/>
    </row>
    <row r="2007" spans="4:21" s="110" customFormat="1" ht="15.75" customHeight="1">
      <c r="D2007" s="113"/>
      <c r="E2007" s="60"/>
      <c r="F2007" s="60"/>
      <c r="G2007" s="60"/>
      <c r="H2007" s="60"/>
      <c r="I2007" s="60"/>
      <c r="J2007" s="114"/>
      <c r="K2007" s="60"/>
      <c r="L2007" s="109"/>
      <c r="M2007" s="109"/>
      <c r="N2007" s="109"/>
      <c r="O2007" s="109"/>
      <c r="P2007" s="109"/>
      <c r="Q2007" s="109"/>
      <c r="S2007" s="111"/>
      <c r="T2007" s="60"/>
      <c r="U2007" s="112"/>
    </row>
    <row r="2008" spans="4:21" s="110" customFormat="1" ht="15.75" customHeight="1">
      <c r="D2008" s="113"/>
      <c r="E2008" s="60"/>
      <c r="F2008" s="60"/>
      <c r="G2008" s="60"/>
      <c r="H2008" s="60"/>
      <c r="I2008" s="60"/>
      <c r="J2008" s="114"/>
      <c r="K2008" s="60"/>
      <c r="L2008" s="109"/>
      <c r="M2008" s="109"/>
      <c r="N2008" s="109"/>
      <c r="O2008" s="109"/>
      <c r="P2008" s="109"/>
      <c r="Q2008" s="109"/>
      <c r="S2008" s="111"/>
      <c r="T2008" s="60"/>
      <c r="U2008" s="112"/>
    </row>
    <row r="2009" spans="4:21" s="110" customFormat="1" ht="15.75" customHeight="1">
      <c r="D2009" s="113"/>
      <c r="E2009" s="60"/>
      <c r="F2009" s="60"/>
      <c r="G2009" s="60"/>
      <c r="H2009" s="60"/>
      <c r="I2009" s="60"/>
      <c r="J2009" s="114"/>
      <c r="K2009" s="60"/>
      <c r="L2009" s="109"/>
      <c r="M2009" s="109"/>
      <c r="N2009" s="109"/>
      <c r="O2009" s="109"/>
      <c r="P2009" s="109"/>
      <c r="Q2009" s="109"/>
      <c r="S2009" s="111"/>
      <c r="T2009" s="60"/>
      <c r="U2009" s="112"/>
    </row>
    <row r="2010" spans="4:21" s="110" customFormat="1" ht="15.75" customHeight="1">
      <c r="D2010" s="113"/>
      <c r="E2010" s="60"/>
      <c r="F2010" s="60"/>
      <c r="G2010" s="60"/>
      <c r="H2010" s="60"/>
      <c r="I2010" s="60"/>
      <c r="J2010" s="114"/>
      <c r="K2010" s="60"/>
      <c r="L2010" s="109"/>
      <c r="M2010" s="109"/>
      <c r="N2010" s="109"/>
      <c r="O2010" s="109"/>
      <c r="P2010" s="109"/>
      <c r="Q2010" s="109"/>
      <c r="S2010" s="111"/>
      <c r="T2010" s="60"/>
      <c r="U2010" s="112"/>
    </row>
    <row r="2011" spans="4:21" s="110" customFormat="1" ht="15.75" customHeight="1">
      <c r="D2011" s="113"/>
      <c r="E2011" s="60"/>
      <c r="F2011" s="60"/>
      <c r="G2011" s="60"/>
      <c r="H2011" s="60"/>
      <c r="I2011" s="60"/>
      <c r="J2011" s="114"/>
      <c r="K2011" s="60"/>
      <c r="L2011" s="109"/>
      <c r="M2011" s="109"/>
      <c r="N2011" s="109"/>
      <c r="O2011" s="109"/>
      <c r="P2011" s="109"/>
      <c r="Q2011" s="109"/>
      <c r="S2011" s="111"/>
      <c r="T2011" s="60"/>
      <c r="U2011" s="112"/>
    </row>
    <row r="2012" spans="4:21" s="110" customFormat="1" ht="15.75" customHeight="1">
      <c r="D2012" s="113"/>
      <c r="E2012" s="60"/>
      <c r="F2012" s="60"/>
      <c r="G2012" s="60"/>
      <c r="H2012" s="60"/>
      <c r="I2012" s="60"/>
      <c r="J2012" s="114"/>
      <c r="K2012" s="60"/>
      <c r="L2012" s="109"/>
      <c r="M2012" s="109"/>
      <c r="N2012" s="109"/>
      <c r="O2012" s="109"/>
      <c r="P2012" s="109"/>
      <c r="Q2012" s="109"/>
      <c r="S2012" s="111"/>
      <c r="T2012" s="60"/>
      <c r="U2012" s="112"/>
    </row>
    <row r="2013" spans="4:21" s="110" customFormat="1" ht="15.75" customHeight="1">
      <c r="D2013" s="113"/>
      <c r="E2013" s="60"/>
      <c r="F2013" s="60"/>
      <c r="G2013" s="60"/>
      <c r="H2013" s="60"/>
      <c r="I2013" s="60"/>
      <c r="J2013" s="114"/>
      <c r="K2013" s="60"/>
      <c r="L2013" s="109"/>
      <c r="M2013" s="109"/>
      <c r="N2013" s="109"/>
      <c r="O2013" s="109"/>
      <c r="P2013" s="109"/>
      <c r="Q2013" s="109"/>
      <c r="S2013" s="111"/>
      <c r="T2013" s="60"/>
      <c r="U2013" s="112"/>
    </row>
    <row r="2014" spans="4:21" s="110" customFormat="1" ht="15.75" customHeight="1">
      <c r="D2014" s="113"/>
      <c r="E2014" s="60"/>
      <c r="F2014" s="60"/>
      <c r="G2014" s="60"/>
      <c r="H2014" s="60"/>
      <c r="I2014" s="60"/>
      <c r="J2014" s="114"/>
      <c r="K2014" s="60"/>
      <c r="L2014" s="109"/>
      <c r="M2014" s="109"/>
      <c r="N2014" s="109"/>
      <c r="O2014" s="109"/>
      <c r="P2014" s="109"/>
      <c r="Q2014" s="109"/>
      <c r="S2014" s="111"/>
      <c r="T2014" s="60"/>
      <c r="U2014" s="112"/>
    </row>
    <row r="2015" spans="4:21" s="110" customFormat="1" ht="15.75" customHeight="1">
      <c r="D2015" s="113"/>
      <c r="E2015" s="60"/>
      <c r="F2015" s="60"/>
      <c r="G2015" s="60"/>
      <c r="H2015" s="60"/>
      <c r="I2015" s="60"/>
      <c r="J2015" s="114"/>
      <c r="K2015" s="60"/>
      <c r="L2015" s="109"/>
      <c r="M2015" s="109"/>
      <c r="N2015" s="109"/>
      <c r="O2015" s="109"/>
      <c r="P2015" s="109"/>
      <c r="Q2015" s="109"/>
      <c r="S2015" s="111"/>
      <c r="T2015" s="60"/>
      <c r="U2015" s="112"/>
    </row>
    <row r="2016" spans="4:21" s="110" customFormat="1" ht="15.75" customHeight="1">
      <c r="D2016" s="113"/>
      <c r="E2016" s="60"/>
      <c r="F2016" s="60"/>
      <c r="G2016" s="60"/>
      <c r="H2016" s="60"/>
      <c r="I2016" s="60"/>
      <c r="J2016" s="114"/>
      <c r="K2016" s="60"/>
      <c r="L2016" s="109"/>
      <c r="M2016" s="109"/>
      <c r="N2016" s="109"/>
      <c r="O2016" s="109"/>
      <c r="P2016" s="109"/>
      <c r="Q2016" s="109"/>
      <c r="S2016" s="111"/>
      <c r="T2016" s="60"/>
      <c r="U2016" s="112"/>
    </row>
    <row r="2017" spans="4:21" s="110" customFormat="1" ht="15.75" customHeight="1">
      <c r="D2017" s="113"/>
      <c r="E2017" s="60"/>
      <c r="F2017" s="60"/>
      <c r="G2017" s="60"/>
      <c r="H2017" s="60"/>
      <c r="I2017" s="60"/>
      <c r="J2017" s="114"/>
      <c r="K2017" s="60"/>
      <c r="L2017" s="109"/>
      <c r="M2017" s="109"/>
      <c r="N2017" s="109"/>
      <c r="O2017" s="109"/>
      <c r="P2017" s="109"/>
      <c r="Q2017" s="109"/>
      <c r="S2017" s="111"/>
      <c r="T2017" s="60"/>
      <c r="U2017" s="112"/>
    </row>
    <row r="2018" spans="4:21" s="110" customFormat="1" ht="15.75" customHeight="1">
      <c r="D2018" s="113"/>
      <c r="E2018" s="60"/>
      <c r="F2018" s="60"/>
      <c r="G2018" s="60"/>
      <c r="H2018" s="60"/>
      <c r="I2018" s="60"/>
      <c r="J2018" s="114"/>
      <c r="K2018" s="60"/>
      <c r="L2018" s="109"/>
      <c r="M2018" s="109"/>
      <c r="N2018" s="109"/>
      <c r="O2018" s="109"/>
      <c r="P2018" s="109"/>
      <c r="Q2018" s="109"/>
      <c r="S2018" s="111"/>
      <c r="T2018" s="60"/>
      <c r="U2018" s="112"/>
    </row>
    <row r="2019" spans="4:21" s="110" customFormat="1" ht="15.75" customHeight="1">
      <c r="D2019" s="113"/>
      <c r="E2019" s="60"/>
      <c r="F2019" s="60"/>
      <c r="G2019" s="60"/>
      <c r="H2019" s="60"/>
      <c r="I2019" s="60"/>
      <c r="J2019" s="114"/>
      <c r="K2019" s="60"/>
      <c r="L2019" s="109"/>
      <c r="M2019" s="109"/>
      <c r="N2019" s="109"/>
      <c r="O2019" s="109"/>
      <c r="P2019" s="109"/>
      <c r="Q2019" s="109"/>
      <c r="S2019" s="111"/>
      <c r="T2019" s="60"/>
      <c r="U2019" s="112"/>
    </row>
    <row r="2020" spans="4:21" s="110" customFormat="1" ht="15.75" customHeight="1">
      <c r="D2020" s="113"/>
      <c r="E2020" s="60"/>
      <c r="F2020" s="60"/>
      <c r="G2020" s="60"/>
      <c r="H2020" s="60"/>
      <c r="I2020" s="60"/>
      <c r="J2020" s="114"/>
      <c r="K2020" s="60"/>
      <c r="L2020" s="109"/>
      <c r="M2020" s="109"/>
      <c r="N2020" s="109"/>
      <c r="O2020" s="109"/>
      <c r="P2020" s="109"/>
      <c r="Q2020" s="109"/>
      <c r="S2020" s="111"/>
      <c r="T2020" s="60"/>
      <c r="U2020" s="112"/>
    </row>
    <row r="2021" spans="4:21" s="110" customFormat="1" ht="15.75" customHeight="1">
      <c r="D2021" s="113"/>
      <c r="E2021" s="60"/>
      <c r="F2021" s="60"/>
      <c r="G2021" s="60"/>
      <c r="H2021" s="60"/>
      <c r="I2021" s="60"/>
      <c r="J2021" s="114"/>
      <c r="K2021" s="60"/>
      <c r="L2021" s="109"/>
      <c r="M2021" s="109"/>
      <c r="N2021" s="109"/>
      <c r="O2021" s="109"/>
      <c r="P2021" s="109"/>
      <c r="Q2021" s="109"/>
      <c r="S2021" s="111"/>
      <c r="T2021" s="60"/>
      <c r="U2021" s="112"/>
    </row>
    <row r="2022" spans="4:21" s="110" customFormat="1" ht="15.75" customHeight="1">
      <c r="D2022" s="113"/>
      <c r="E2022" s="60"/>
      <c r="F2022" s="60"/>
      <c r="G2022" s="60"/>
      <c r="H2022" s="60"/>
      <c r="I2022" s="60"/>
      <c r="J2022" s="114"/>
      <c r="K2022" s="60"/>
      <c r="L2022" s="109"/>
      <c r="M2022" s="109"/>
      <c r="N2022" s="109"/>
      <c r="O2022" s="109"/>
      <c r="P2022" s="109"/>
      <c r="Q2022" s="109"/>
      <c r="S2022" s="111"/>
      <c r="T2022" s="60"/>
      <c r="U2022" s="112"/>
    </row>
    <row r="2023" spans="4:21" s="110" customFormat="1" ht="15.75" customHeight="1">
      <c r="D2023" s="113"/>
      <c r="E2023" s="60"/>
      <c r="F2023" s="60"/>
      <c r="G2023" s="60"/>
      <c r="H2023" s="60"/>
      <c r="I2023" s="60"/>
      <c r="J2023" s="114"/>
      <c r="K2023" s="60"/>
      <c r="L2023" s="109"/>
      <c r="M2023" s="109"/>
      <c r="N2023" s="109"/>
      <c r="O2023" s="109"/>
      <c r="P2023" s="109"/>
      <c r="Q2023" s="109"/>
      <c r="S2023" s="111"/>
      <c r="T2023" s="60"/>
      <c r="U2023" s="112"/>
    </row>
    <row r="2024" spans="4:21" s="110" customFormat="1" ht="15.75" customHeight="1">
      <c r="D2024" s="113"/>
      <c r="E2024" s="60"/>
      <c r="F2024" s="60"/>
      <c r="G2024" s="60"/>
      <c r="H2024" s="60"/>
      <c r="I2024" s="60"/>
      <c r="J2024" s="114"/>
      <c r="K2024" s="60"/>
      <c r="L2024" s="109"/>
      <c r="M2024" s="109"/>
      <c r="N2024" s="109"/>
      <c r="O2024" s="109"/>
      <c r="P2024" s="109"/>
      <c r="Q2024" s="109"/>
      <c r="S2024" s="111"/>
      <c r="T2024" s="60"/>
      <c r="U2024" s="112"/>
    </row>
    <row r="2025" spans="4:21" s="110" customFormat="1" ht="15.75" customHeight="1">
      <c r="D2025" s="113"/>
      <c r="E2025" s="60"/>
      <c r="F2025" s="60"/>
      <c r="G2025" s="60"/>
      <c r="H2025" s="60"/>
      <c r="I2025" s="60"/>
      <c r="J2025" s="114"/>
      <c r="K2025" s="60"/>
      <c r="L2025" s="109"/>
      <c r="M2025" s="109"/>
      <c r="N2025" s="109"/>
      <c r="O2025" s="109"/>
      <c r="P2025" s="109"/>
      <c r="Q2025" s="109"/>
      <c r="S2025" s="111"/>
      <c r="T2025" s="60"/>
      <c r="U2025" s="112"/>
    </row>
    <row r="2026" spans="4:21" s="110" customFormat="1" ht="15.75" customHeight="1">
      <c r="D2026" s="113"/>
      <c r="E2026" s="60"/>
      <c r="F2026" s="60"/>
      <c r="G2026" s="60"/>
      <c r="H2026" s="60"/>
      <c r="I2026" s="60"/>
      <c r="J2026" s="114"/>
      <c r="K2026" s="60"/>
      <c r="L2026" s="109"/>
      <c r="M2026" s="109"/>
      <c r="N2026" s="109"/>
      <c r="O2026" s="109"/>
      <c r="P2026" s="109"/>
      <c r="Q2026" s="109"/>
      <c r="S2026" s="111"/>
      <c r="T2026" s="60"/>
      <c r="U2026" s="112"/>
    </row>
    <row r="2027" spans="4:21" s="110" customFormat="1" ht="15.75" customHeight="1">
      <c r="D2027" s="113"/>
      <c r="E2027" s="60"/>
      <c r="F2027" s="60"/>
      <c r="G2027" s="60"/>
      <c r="H2027" s="60"/>
      <c r="I2027" s="60"/>
      <c r="J2027" s="114"/>
      <c r="K2027" s="60"/>
      <c r="L2027" s="109"/>
      <c r="M2027" s="109"/>
      <c r="N2027" s="109"/>
      <c r="O2027" s="109"/>
      <c r="P2027" s="109"/>
      <c r="Q2027" s="109"/>
      <c r="S2027" s="111"/>
      <c r="T2027" s="60"/>
      <c r="U2027" s="112"/>
    </row>
    <row r="2028" spans="4:21" s="110" customFormat="1" ht="15.75" customHeight="1">
      <c r="D2028" s="113"/>
      <c r="E2028" s="60"/>
      <c r="F2028" s="60"/>
      <c r="G2028" s="60"/>
      <c r="H2028" s="60"/>
      <c r="I2028" s="60"/>
      <c r="J2028" s="114"/>
      <c r="K2028" s="60"/>
      <c r="L2028" s="109"/>
      <c r="M2028" s="109"/>
      <c r="N2028" s="109"/>
      <c r="O2028" s="109"/>
      <c r="P2028" s="109"/>
      <c r="Q2028" s="109"/>
      <c r="S2028" s="111"/>
      <c r="T2028" s="60"/>
      <c r="U2028" s="112"/>
    </row>
    <row r="2029" spans="4:21" s="110" customFormat="1" ht="15.75" customHeight="1">
      <c r="D2029" s="113"/>
      <c r="E2029" s="60"/>
      <c r="F2029" s="60"/>
      <c r="G2029" s="60"/>
      <c r="H2029" s="60"/>
      <c r="I2029" s="60"/>
      <c r="J2029" s="114"/>
      <c r="K2029" s="60"/>
      <c r="L2029" s="109"/>
      <c r="M2029" s="109"/>
      <c r="N2029" s="109"/>
      <c r="O2029" s="109"/>
      <c r="P2029" s="109"/>
      <c r="Q2029" s="109"/>
      <c r="S2029" s="111"/>
      <c r="T2029" s="60"/>
      <c r="U2029" s="112"/>
    </row>
    <row r="2030" spans="4:21" s="110" customFormat="1" ht="15.75" customHeight="1">
      <c r="D2030" s="113"/>
      <c r="E2030" s="60"/>
      <c r="F2030" s="60"/>
      <c r="G2030" s="60"/>
      <c r="H2030" s="60"/>
      <c r="I2030" s="60"/>
      <c r="J2030" s="114"/>
      <c r="K2030" s="60"/>
      <c r="L2030" s="109"/>
      <c r="M2030" s="109"/>
      <c r="N2030" s="109"/>
      <c r="O2030" s="109"/>
      <c r="P2030" s="109"/>
      <c r="Q2030" s="109"/>
      <c r="S2030" s="111"/>
      <c r="T2030" s="60"/>
      <c r="U2030" s="112"/>
    </row>
    <row r="2031" spans="4:21" s="110" customFormat="1" ht="15.75" customHeight="1">
      <c r="D2031" s="113"/>
      <c r="E2031" s="60"/>
      <c r="F2031" s="60"/>
      <c r="G2031" s="60"/>
      <c r="H2031" s="60"/>
      <c r="I2031" s="60"/>
      <c r="J2031" s="114"/>
      <c r="K2031" s="60"/>
      <c r="L2031" s="109"/>
      <c r="M2031" s="109"/>
      <c r="N2031" s="109"/>
      <c r="O2031" s="109"/>
      <c r="P2031" s="109"/>
      <c r="Q2031" s="109"/>
      <c r="S2031" s="111"/>
      <c r="T2031" s="60"/>
      <c r="U2031" s="112"/>
    </row>
    <row r="2032" spans="4:21" s="110" customFormat="1" ht="15.75" customHeight="1">
      <c r="D2032" s="113"/>
      <c r="E2032" s="60"/>
      <c r="F2032" s="60"/>
      <c r="G2032" s="60"/>
      <c r="H2032" s="60"/>
      <c r="I2032" s="60"/>
      <c r="J2032" s="114"/>
      <c r="K2032" s="60"/>
      <c r="L2032" s="109"/>
      <c r="M2032" s="109"/>
      <c r="N2032" s="109"/>
      <c r="O2032" s="109"/>
      <c r="P2032" s="109"/>
      <c r="Q2032" s="109"/>
      <c r="S2032" s="111"/>
      <c r="T2032" s="60"/>
      <c r="U2032" s="112"/>
    </row>
    <row r="2033" spans="4:21" s="110" customFormat="1" ht="15.75" customHeight="1">
      <c r="D2033" s="113"/>
      <c r="E2033" s="60"/>
      <c r="F2033" s="60"/>
      <c r="G2033" s="60"/>
      <c r="H2033" s="60"/>
      <c r="I2033" s="60"/>
      <c r="J2033" s="114"/>
      <c r="K2033" s="60"/>
      <c r="L2033" s="109"/>
      <c r="M2033" s="109"/>
      <c r="N2033" s="109"/>
      <c r="O2033" s="109"/>
      <c r="P2033" s="109"/>
      <c r="Q2033" s="109"/>
      <c r="S2033" s="111"/>
      <c r="T2033" s="60"/>
      <c r="U2033" s="112"/>
    </row>
    <row r="2034" spans="4:21" s="110" customFormat="1" ht="15.75" customHeight="1">
      <c r="D2034" s="113"/>
      <c r="E2034" s="60"/>
      <c r="F2034" s="60"/>
      <c r="G2034" s="60"/>
      <c r="H2034" s="60"/>
      <c r="I2034" s="60"/>
      <c r="J2034" s="114"/>
      <c r="K2034" s="60"/>
      <c r="L2034" s="109"/>
      <c r="M2034" s="109"/>
      <c r="N2034" s="109"/>
      <c r="O2034" s="109"/>
      <c r="P2034" s="109"/>
      <c r="Q2034" s="109"/>
      <c r="S2034" s="111"/>
      <c r="T2034" s="60"/>
      <c r="U2034" s="112"/>
    </row>
    <row r="2035" spans="4:21" s="110" customFormat="1" ht="15.75" customHeight="1">
      <c r="D2035" s="113"/>
      <c r="E2035" s="60"/>
      <c r="F2035" s="60"/>
      <c r="G2035" s="60"/>
      <c r="H2035" s="60"/>
      <c r="I2035" s="60"/>
      <c r="J2035" s="114"/>
      <c r="K2035" s="60"/>
      <c r="L2035" s="109"/>
      <c r="M2035" s="109"/>
      <c r="N2035" s="109"/>
      <c r="O2035" s="109"/>
      <c r="P2035" s="109"/>
      <c r="Q2035" s="109"/>
      <c r="S2035" s="111"/>
      <c r="T2035" s="60"/>
      <c r="U2035" s="112"/>
    </row>
    <row r="2036" spans="4:21" s="110" customFormat="1" ht="15.75" customHeight="1">
      <c r="D2036" s="113"/>
      <c r="E2036" s="60"/>
      <c r="F2036" s="60"/>
      <c r="G2036" s="60"/>
      <c r="H2036" s="60"/>
      <c r="I2036" s="60"/>
      <c r="J2036" s="114"/>
      <c r="K2036" s="60"/>
      <c r="L2036" s="109"/>
      <c r="M2036" s="109"/>
      <c r="N2036" s="109"/>
      <c r="O2036" s="109"/>
      <c r="P2036" s="109"/>
      <c r="Q2036" s="109"/>
      <c r="S2036" s="111"/>
      <c r="T2036" s="60"/>
      <c r="U2036" s="112"/>
    </row>
    <row r="2037" spans="4:21" s="110" customFormat="1" ht="15.75" customHeight="1">
      <c r="D2037" s="113"/>
      <c r="E2037" s="60"/>
      <c r="F2037" s="60"/>
      <c r="G2037" s="60"/>
      <c r="H2037" s="60"/>
      <c r="I2037" s="60"/>
      <c r="J2037" s="114"/>
      <c r="K2037" s="60"/>
      <c r="L2037" s="109"/>
      <c r="M2037" s="109"/>
      <c r="N2037" s="109"/>
      <c r="O2037" s="109"/>
      <c r="P2037" s="109"/>
      <c r="Q2037" s="109"/>
      <c r="S2037" s="111"/>
      <c r="T2037" s="60"/>
      <c r="U2037" s="112"/>
    </row>
    <row r="2038" spans="4:21" s="110" customFormat="1" ht="15.75" customHeight="1">
      <c r="D2038" s="113"/>
      <c r="E2038" s="60"/>
      <c r="F2038" s="60"/>
      <c r="G2038" s="60"/>
      <c r="H2038" s="60"/>
      <c r="I2038" s="60"/>
      <c r="J2038" s="114"/>
      <c r="K2038" s="60"/>
      <c r="L2038" s="109"/>
      <c r="M2038" s="109"/>
      <c r="N2038" s="109"/>
      <c r="O2038" s="109"/>
      <c r="P2038" s="109"/>
      <c r="Q2038" s="109"/>
      <c r="S2038" s="111"/>
      <c r="T2038" s="60"/>
      <c r="U2038" s="112"/>
    </row>
    <row r="2039" spans="4:21" s="110" customFormat="1" ht="15.75" customHeight="1">
      <c r="D2039" s="113"/>
      <c r="E2039" s="60"/>
      <c r="F2039" s="60"/>
      <c r="G2039" s="60"/>
      <c r="H2039" s="60"/>
      <c r="I2039" s="60"/>
      <c r="J2039" s="114"/>
      <c r="K2039" s="60"/>
      <c r="L2039" s="109"/>
      <c r="M2039" s="109"/>
      <c r="N2039" s="109"/>
      <c r="O2039" s="109"/>
      <c r="P2039" s="109"/>
      <c r="Q2039" s="109"/>
      <c r="S2039" s="111"/>
      <c r="T2039" s="60"/>
      <c r="U2039" s="112"/>
    </row>
    <row r="2040" spans="4:21" s="110" customFormat="1" ht="15.75" customHeight="1">
      <c r="D2040" s="113"/>
      <c r="E2040" s="60"/>
      <c r="F2040" s="60"/>
      <c r="G2040" s="60"/>
      <c r="H2040" s="60"/>
      <c r="I2040" s="60"/>
      <c r="J2040" s="114"/>
      <c r="K2040" s="60"/>
      <c r="L2040" s="109"/>
      <c r="M2040" s="109"/>
      <c r="N2040" s="109"/>
      <c r="O2040" s="109"/>
      <c r="P2040" s="109"/>
      <c r="Q2040" s="109"/>
      <c r="S2040" s="111"/>
      <c r="T2040" s="60"/>
      <c r="U2040" s="112"/>
    </row>
    <row r="2041" spans="4:21" s="110" customFormat="1" ht="15.75" customHeight="1">
      <c r="D2041" s="113"/>
      <c r="E2041" s="60"/>
      <c r="F2041" s="60"/>
      <c r="G2041" s="60"/>
      <c r="H2041" s="60"/>
      <c r="I2041" s="60"/>
      <c r="J2041" s="114"/>
      <c r="K2041" s="60"/>
      <c r="L2041" s="109"/>
      <c r="M2041" s="109"/>
      <c r="N2041" s="109"/>
      <c r="O2041" s="109"/>
      <c r="P2041" s="109"/>
      <c r="Q2041" s="109"/>
      <c r="S2041" s="111"/>
      <c r="T2041" s="60"/>
      <c r="U2041" s="112"/>
    </row>
    <row r="2042" spans="4:21" s="110" customFormat="1" ht="15.75" customHeight="1">
      <c r="D2042" s="113"/>
      <c r="E2042" s="60"/>
      <c r="F2042" s="60"/>
      <c r="G2042" s="60"/>
      <c r="H2042" s="60"/>
      <c r="I2042" s="60"/>
      <c r="J2042" s="114"/>
      <c r="K2042" s="60"/>
      <c r="L2042" s="109"/>
      <c r="M2042" s="109"/>
      <c r="N2042" s="109"/>
      <c r="O2042" s="109"/>
      <c r="P2042" s="109"/>
      <c r="Q2042" s="109"/>
      <c r="S2042" s="111"/>
      <c r="T2042" s="60"/>
      <c r="U2042" s="112"/>
    </row>
    <row r="2043" spans="4:21" s="110" customFormat="1" ht="15.75" customHeight="1">
      <c r="D2043" s="113"/>
      <c r="E2043" s="60"/>
      <c r="F2043" s="60"/>
      <c r="G2043" s="60"/>
      <c r="H2043" s="60"/>
      <c r="I2043" s="60"/>
      <c r="J2043" s="114"/>
      <c r="K2043" s="60"/>
      <c r="L2043" s="109"/>
      <c r="M2043" s="109"/>
      <c r="N2043" s="109"/>
      <c r="O2043" s="109"/>
      <c r="P2043" s="109"/>
      <c r="Q2043" s="109"/>
      <c r="S2043" s="111"/>
      <c r="T2043" s="60"/>
      <c r="U2043" s="112"/>
    </row>
    <row r="2044" spans="4:21" s="110" customFormat="1" ht="15.75" customHeight="1">
      <c r="D2044" s="113"/>
      <c r="E2044" s="60"/>
      <c r="F2044" s="60"/>
      <c r="G2044" s="60"/>
      <c r="H2044" s="60"/>
      <c r="I2044" s="60"/>
      <c r="J2044" s="114"/>
      <c r="K2044" s="60"/>
      <c r="L2044" s="109"/>
      <c r="M2044" s="109"/>
      <c r="N2044" s="109"/>
      <c r="O2044" s="109"/>
      <c r="P2044" s="109"/>
      <c r="Q2044" s="109"/>
      <c r="S2044" s="111"/>
      <c r="T2044" s="60"/>
      <c r="U2044" s="112"/>
    </row>
    <row r="2045" spans="4:21" s="110" customFormat="1" ht="15.75" customHeight="1">
      <c r="D2045" s="113"/>
      <c r="E2045" s="60"/>
      <c r="F2045" s="60"/>
      <c r="G2045" s="60"/>
      <c r="H2045" s="60"/>
      <c r="I2045" s="60"/>
      <c r="J2045" s="114"/>
      <c r="K2045" s="60"/>
      <c r="L2045" s="109"/>
      <c r="M2045" s="109"/>
      <c r="N2045" s="109"/>
      <c r="O2045" s="109"/>
      <c r="P2045" s="109"/>
      <c r="Q2045" s="109"/>
      <c r="S2045" s="111"/>
      <c r="T2045" s="60"/>
      <c r="U2045" s="112"/>
    </row>
    <row r="2046" spans="4:21" s="110" customFormat="1" ht="15.75" customHeight="1">
      <c r="D2046" s="113"/>
      <c r="E2046" s="60"/>
      <c r="F2046" s="60"/>
      <c r="G2046" s="60"/>
      <c r="H2046" s="60"/>
      <c r="I2046" s="60"/>
      <c r="J2046" s="114"/>
      <c r="K2046" s="60"/>
      <c r="L2046" s="109"/>
      <c r="M2046" s="109"/>
      <c r="N2046" s="109"/>
      <c r="O2046" s="109"/>
      <c r="P2046" s="109"/>
      <c r="Q2046" s="109"/>
      <c r="S2046" s="111"/>
      <c r="T2046" s="60"/>
      <c r="U2046" s="112"/>
    </row>
    <row r="2047" spans="4:21" s="110" customFormat="1" ht="15.75" customHeight="1">
      <c r="D2047" s="113"/>
      <c r="E2047" s="60"/>
      <c r="F2047" s="60"/>
      <c r="G2047" s="60"/>
      <c r="H2047" s="60"/>
      <c r="I2047" s="60"/>
      <c r="J2047" s="114"/>
      <c r="K2047" s="60"/>
      <c r="L2047" s="109"/>
      <c r="M2047" s="109"/>
      <c r="N2047" s="109"/>
      <c r="O2047" s="109"/>
      <c r="P2047" s="109"/>
      <c r="Q2047" s="109"/>
      <c r="S2047" s="111"/>
      <c r="T2047" s="60"/>
      <c r="U2047" s="112"/>
    </row>
    <row r="2048" spans="4:21" s="110" customFormat="1" ht="15.75" customHeight="1">
      <c r="D2048" s="113"/>
      <c r="E2048" s="60"/>
      <c r="F2048" s="60"/>
      <c r="G2048" s="60"/>
      <c r="H2048" s="60"/>
      <c r="I2048" s="60"/>
      <c r="J2048" s="114"/>
      <c r="K2048" s="60"/>
      <c r="L2048" s="109"/>
      <c r="M2048" s="109"/>
      <c r="N2048" s="109"/>
      <c r="O2048" s="109"/>
      <c r="P2048" s="109"/>
      <c r="Q2048" s="109"/>
      <c r="S2048" s="111"/>
      <c r="T2048" s="60"/>
      <c r="U2048" s="112"/>
    </row>
    <row r="2049" spans="4:21" s="110" customFormat="1" ht="15.75" customHeight="1">
      <c r="D2049" s="113"/>
      <c r="E2049" s="60"/>
      <c r="F2049" s="60"/>
      <c r="G2049" s="60"/>
      <c r="H2049" s="60"/>
      <c r="I2049" s="60"/>
      <c r="J2049" s="114"/>
      <c r="K2049" s="60"/>
      <c r="L2049" s="109"/>
      <c r="M2049" s="109"/>
      <c r="N2049" s="109"/>
      <c r="O2049" s="109"/>
      <c r="P2049" s="109"/>
      <c r="Q2049" s="109"/>
      <c r="S2049" s="111"/>
      <c r="T2049" s="60"/>
      <c r="U2049" s="112"/>
    </row>
    <row r="2050" spans="4:21" s="110" customFormat="1" ht="15.75" customHeight="1">
      <c r="D2050" s="113"/>
      <c r="E2050" s="60"/>
      <c r="F2050" s="60"/>
      <c r="G2050" s="60"/>
      <c r="H2050" s="60"/>
      <c r="I2050" s="60"/>
      <c r="J2050" s="114"/>
      <c r="K2050" s="60"/>
      <c r="L2050" s="109"/>
      <c r="M2050" s="109"/>
      <c r="N2050" s="109"/>
      <c r="O2050" s="109"/>
      <c r="P2050" s="109"/>
      <c r="Q2050" s="109"/>
      <c r="S2050" s="111"/>
      <c r="T2050" s="60"/>
      <c r="U2050" s="112"/>
    </row>
    <row r="2051" spans="4:21" s="110" customFormat="1" ht="15.75" customHeight="1">
      <c r="D2051" s="113"/>
      <c r="E2051" s="60"/>
      <c r="F2051" s="60"/>
      <c r="G2051" s="60"/>
      <c r="H2051" s="60"/>
      <c r="I2051" s="60"/>
      <c r="J2051" s="114"/>
      <c r="K2051" s="60"/>
      <c r="L2051" s="109"/>
      <c r="M2051" s="109"/>
      <c r="N2051" s="109"/>
      <c r="O2051" s="109"/>
      <c r="P2051" s="109"/>
      <c r="Q2051" s="109"/>
      <c r="S2051" s="111"/>
      <c r="T2051" s="60"/>
      <c r="U2051" s="112"/>
    </row>
    <row r="2052" spans="4:21" s="110" customFormat="1" ht="15.75" customHeight="1">
      <c r="D2052" s="113"/>
      <c r="E2052" s="60"/>
      <c r="F2052" s="60"/>
      <c r="G2052" s="60"/>
      <c r="H2052" s="60"/>
      <c r="I2052" s="60"/>
      <c r="J2052" s="114"/>
      <c r="K2052" s="60"/>
      <c r="L2052" s="109"/>
      <c r="M2052" s="109"/>
      <c r="N2052" s="109"/>
      <c r="O2052" s="109"/>
      <c r="P2052" s="109"/>
      <c r="Q2052" s="109"/>
      <c r="S2052" s="111"/>
      <c r="T2052" s="60"/>
      <c r="U2052" s="112"/>
    </row>
    <row r="2053" spans="4:21" s="110" customFormat="1" ht="15.75" customHeight="1">
      <c r="D2053" s="113"/>
      <c r="E2053" s="60"/>
      <c r="F2053" s="60"/>
      <c r="G2053" s="60"/>
      <c r="H2053" s="60"/>
      <c r="I2053" s="60"/>
      <c r="J2053" s="114"/>
      <c r="K2053" s="60"/>
      <c r="L2053" s="109"/>
      <c r="M2053" s="109"/>
      <c r="N2053" s="109"/>
      <c r="O2053" s="109"/>
      <c r="P2053" s="109"/>
      <c r="Q2053" s="109"/>
      <c r="S2053" s="111"/>
      <c r="T2053" s="60"/>
      <c r="U2053" s="112"/>
    </row>
    <row r="2054" spans="4:21" s="110" customFormat="1" ht="15.75" customHeight="1">
      <c r="D2054" s="113"/>
      <c r="E2054" s="60"/>
      <c r="F2054" s="60"/>
      <c r="G2054" s="60"/>
      <c r="H2054" s="60"/>
      <c r="I2054" s="60"/>
      <c r="J2054" s="114"/>
      <c r="K2054" s="60"/>
      <c r="L2054" s="109"/>
      <c r="M2054" s="109"/>
      <c r="N2054" s="109"/>
      <c r="O2054" s="109"/>
      <c r="P2054" s="109"/>
      <c r="Q2054" s="109"/>
      <c r="S2054" s="111"/>
      <c r="T2054" s="60"/>
      <c r="U2054" s="112"/>
    </row>
    <row r="2055" spans="4:21" s="110" customFormat="1" ht="15.75" customHeight="1">
      <c r="D2055" s="113"/>
      <c r="E2055" s="60"/>
      <c r="F2055" s="60"/>
      <c r="G2055" s="60"/>
      <c r="H2055" s="60"/>
      <c r="I2055" s="60"/>
      <c r="J2055" s="114"/>
      <c r="K2055" s="60"/>
      <c r="L2055" s="109"/>
      <c r="M2055" s="109"/>
      <c r="N2055" s="109"/>
      <c r="O2055" s="109"/>
      <c r="P2055" s="109"/>
      <c r="Q2055" s="109"/>
      <c r="S2055" s="111"/>
      <c r="T2055" s="60"/>
      <c r="U2055" s="112"/>
    </row>
    <row r="2056" spans="4:21" s="110" customFormat="1" ht="15.75" customHeight="1">
      <c r="D2056" s="113"/>
      <c r="E2056" s="60"/>
      <c r="F2056" s="60"/>
      <c r="G2056" s="60"/>
      <c r="H2056" s="60"/>
      <c r="I2056" s="60"/>
      <c r="J2056" s="114"/>
      <c r="K2056" s="60"/>
      <c r="L2056" s="109"/>
      <c r="M2056" s="109"/>
      <c r="N2056" s="109"/>
      <c r="O2056" s="109"/>
      <c r="P2056" s="109"/>
      <c r="Q2056" s="109"/>
      <c r="S2056" s="111"/>
      <c r="T2056" s="60"/>
      <c r="U2056" s="112"/>
    </row>
    <row r="2057" spans="4:21" s="110" customFormat="1" ht="15.75" customHeight="1">
      <c r="D2057" s="113"/>
      <c r="E2057" s="60"/>
      <c r="F2057" s="60"/>
      <c r="G2057" s="60"/>
      <c r="H2057" s="60"/>
      <c r="I2057" s="60"/>
      <c r="J2057" s="114"/>
      <c r="K2057" s="60"/>
      <c r="L2057" s="109"/>
      <c r="M2057" s="109"/>
      <c r="N2057" s="109"/>
      <c r="O2057" s="109"/>
      <c r="P2057" s="109"/>
      <c r="Q2057" s="109"/>
      <c r="S2057" s="111"/>
      <c r="T2057" s="60"/>
      <c r="U2057" s="112"/>
    </row>
    <row r="2058" spans="4:21" s="110" customFormat="1" ht="15.75" customHeight="1">
      <c r="D2058" s="113"/>
      <c r="E2058" s="60"/>
      <c r="F2058" s="60"/>
      <c r="G2058" s="60"/>
      <c r="H2058" s="60"/>
      <c r="I2058" s="60"/>
      <c r="J2058" s="114"/>
      <c r="K2058" s="60"/>
      <c r="L2058" s="109"/>
      <c r="M2058" s="109"/>
      <c r="N2058" s="109"/>
      <c r="O2058" s="109"/>
      <c r="P2058" s="109"/>
      <c r="Q2058" s="109"/>
      <c r="S2058" s="111"/>
      <c r="T2058" s="60"/>
      <c r="U2058" s="112"/>
    </row>
    <row r="2059" spans="4:21" s="110" customFormat="1" ht="15.75" customHeight="1">
      <c r="D2059" s="113"/>
      <c r="E2059" s="60"/>
      <c r="F2059" s="60"/>
      <c r="G2059" s="60"/>
      <c r="H2059" s="60"/>
      <c r="I2059" s="60"/>
      <c r="J2059" s="114"/>
      <c r="K2059" s="60"/>
      <c r="L2059" s="109"/>
      <c r="M2059" s="109"/>
      <c r="N2059" s="109"/>
      <c r="O2059" s="109"/>
      <c r="P2059" s="109"/>
      <c r="Q2059" s="109"/>
      <c r="S2059" s="111"/>
      <c r="T2059" s="60"/>
      <c r="U2059" s="112"/>
    </row>
    <row r="2060" spans="4:21" s="110" customFormat="1" ht="15.75" customHeight="1">
      <c r="D2060" s="113"/>
      <c r="E2060" s="60"/>
      <c r="F2060" s="60"/>
      <c r="G2060" s="60"/>
      <c r="H2060" s="60"/>
      <c r="I2060" s="60"/>
      <c r="J2060" s="114"/>
      <c r="K2060" s="60"/>
      <c r="L2060" s="109"/>
      <c r="M2060" s="109"/>
      <c r="N2060" s="109"/>
      <c r="O2060" s="109"/>
      <c r="P2060" s="109"/>
      <c r="Q2060" s="109"/>
      <c r="S2060" s="111"/>
      <c r="T2060" s="60"/>
      <c r="U2060" s="112"/>
    </row>
    <row r="2061" spans="4:21" s="110" customFormat="1" ht="15.75" customHeight="1">
      <c r="D2061" s="113"/>
      <c r="E2061" s="60"/>
      <c r="F2061" s="60"/>
      <c r="G2061" s="60"/>
      <c r="H2061" s="60"/>
      <c r="I2061" s="60"/>
      <c r="J2061" s="114"/>
      <c r="K2061" s="60"/>
      <c r="L2061" s="109"/>
      <c r="M2061" s="109"/>
      <c r="N2061" s="109"/>
      <c r="O2061" s="109"/>
      <c r="P2061" s="109"/>
      <c r="Q2061" s="109"/>
      <c r="S2061" s="111"/>
      <c r="T2061" s="60"/>
      <c r="U2061" s="112"/>
    </row>
    <row r="2062" spans="4:21" s="110" customFormat="1" ht="15.75" customHeight="1">
      <c r="D2062" s="113"/>
      <c r="E2062" s="60"/>
      <c r="F2062" s="60"/>
      <c r="G2062" s="60"/>
      <c r="H2062" s="60"/>
      <c r="I2062" s="60"/>
      <c r="J2062" s="114"/>
      <c r="K2062" s="60"/>
      <c r="L2062" s="109"/>
      <c r="M2062" s="109"/>
      <c r="N2062" s="109"/>
      <c r="O2062" s="109"/>
      <c r="P2062" s="109"/>
      <c r="Q2062" s="109"/>
      <c r="S2062" s="111"/>
      <c r="T2062" s="60"/>
      <c r="U2062" s="112"/>
    </row>
    <row r="2063" spans="4:21" s="110" customFormat="1" ht="15.75" customHeight="1">
      <c r="D2063" s="113"/>
      <c r="E2063" s="60"/>
      <c r="F2063" s="60"/>
      <c r="G2063" s="60"/>
      <c r="H2063" s="60"/>
      <c r="I2063" s="60"/>
      <c r="J2063" s="114"/>
      <c r="K2063" s="60"/>
      <c r="L2063" s="109"/>
      <c r="M2063" s="109"/>
      <c r="N2063" s="109"/>
      <c r="O2063" s="109"/>
      <c r="P2063" s="109"/>
      <c r="Q2063" s="109"/>
      <c r="S2063" s="111"/>
      <c r="T2063" s="60"/>
      <c r="U2063" s="112"/>
    </row>
    <row r="2064" spans="4:21" s="110" customFormat="1" ht="15.75" customHeight="1">
      <c r="D2064" s="113"/>
      <c r="E2064" s="60"/>
      <c r="F2064" s="60"/>
      <c r="G2064" s="60"/>
      <c r="H2064" s="60"/>
      <c r="I2064" s="60"/>
      <c r="J2064" s="114"/>
      <c r="K2064" s="60"/>
      <c r="L2064" s="109"/>
      <c r="M2064" s="109"/>
      <c r="N2064" s="109"/>
      <c r="O2064" s="109"/>
      <c r="P2064" s="109"/>
      <c r="Q2064" s="109"/>
      <c r="S2064" s="111"/>
      <c r="T2064" s="60"/>
      <c r="U2064" s="112"/>
    </row>
    <row r="2065" spans="4:21" s="110" customFormat="1" ht="15.75" customHeight="1">
      <c r="D2065" s="113"/>
      <c r="E2065" s="60"/>
      <c r="F2065" s="60"/>
      <c r="G2065" s="60"/>
      <c r="H2065" s="60"/>
      <c r="I2065" s="60"/>
      <c r="J2065" s="114"/>
      <c r="K2065" s="60"/>
      <c r="L2065" s="109"/>
      <c r="M2065" s="109"/>
      <c r="N2065" s="109"/>
      <c r="O2065" s="109"/>
      <c r="P2065" s="109"/>
      <c r="Q2065" s="109"/>
      <c r="S2065" s="111"/>
      <c r="T2065" s="60"/>
      <c r="U2065" s="112"/>
    </row>
    <row r="2066" spans="4:21" s="110" customFormat="1" ht="15.75" customHeight="1">
      <c r="D2066" s="113"/>
      <c r="E2066" s="60"/>
      <c r="F2066" s="60"/>
      <c r="G2066" s="60"/>
      <c r="H2066" s="60"/>
      <c r="I2066" s="60"/>
      <c r="J2066" s="114"/>
      <c r="K2066" s="60"/>
      <c r="L2066" s="109"/>
      <c r="M2066" s="109"/>
      <c r="N2066" s="109"/>
      <c r="O2066" s="109"/>
      <c r="P2066" s="109"/>
      <c r="Q2066" s="109"/>
      <c r="S2066" s="111"/>
      <c r="T2066" s="60"/>
      <c r="U2066" s="112"/>
    </row>
    <row r="2067" spans="4:21" s="110" customFormat="1" ht="15.75" customHeight="1">
      <c r="D2067" s="113"/>
      <c r="E2067" s="60"/>
      <c r="F2067" s="60"/>
      <c r="G2067" s="60"/>
      <c r="H2067" s="60"/>
      <c r="I2067" s="60"/>
      <c r="J2067" s="114"/>
      <c r="K2067" s="60"/>
      <c r="L2067" s="109"/>
      <c r="M2067" s="109"/>
      <c r="N2067" s="109"/>
      <c r="O2067" s="109"/>
      <c r="P2067" s="109"/>
      <c r="Q2067" s="109"/>
      <c r="S2067" s="111"/>
      <c r="T2067" s="60"/>
      <c r="U2067" s="112"/>
    </row>
    <row r="2068" spans="4:21" s="110" customFormat="1" ht="15.75" customHeight="1">
      <c r="D2068" s="113"/>
      <c r="E2068" s="60"/>
      <c r="F2068" s="60"/>
      <c r="G2068" s="60"/>
      <c r="H2068" s="60"/>
      <c r="I2068" s="60"/>
      <c r="J2068" s="114"/>
      <c r="K2068" s="60"/>
      <c r="L2068" s="109"/>
      <c r="M2068" s="109"/>
      <c r="N2068" s="109"/>
      <c r="O2068" s="109"/>
      <c r="P2068" s="109"/>
      <c r="Q2068" s="109"/>
      <c r="S2068" s="111"/>
      <c r="T2068" s="60"/>
      <c r="U2068" s="112"/>
    </row>
    <row r="2069" spans="4:21" s="110" customFormat="1" ht="15.75" customHeight="1">
      <c r="D2069" s="113"/>
      <c r="E2069" s="60"/>
      <c r="F2069" s="60"/>
      <c r="G2069" s="60"/>
      <c r="H2069" s="60"/>
      <c r="I2069" s="60"/>
      <c r="J2069" s="114"/>
      <c r="K2069" s="60"/>
      <c r="L2069" s="109"/>
      <c r="M2069" s="109"/>
      <c r="N2069" s="109"/>
      <c r="O2069" s="109"/>
      <c r="P2069" s="109"/>
      <c r="Q2069" s="109"/>
      <c r="S2069" s="111"/>
      <c r="T2069" s="60"/>
      <c r="U2069" s="112"/>
    </row>
    <row r="2070" spans="4:21" s="110" customFormat="1" ht="15.75" customHeight="1">
      <c r="D2070" s="113"/>
      <c r="E2070" s="60"/>
      <c r="F2070" s="60"/>
      <c r="G2070" s="60"/>
      <c r="H2070" s="60"/>
      <c r="I2070" s="60"/>
      <c r="J2070" s="114"/>
      <c r="K2070" s="60"/>
      <c r="L2070" s="109"/>
      <c r="M2070" s="109"/>
      <c r="N2070" s="109"/>
      <c r="O2070" s="109"/>
      <c r="P2070" s="109"/>
      <c r="Q2070" s="109"/>
      <c r="S2070" s="111"/>
      <c r="T2070" s="60"/>
      <c r="U2070" s="112"/>
    </row>
    <row r="2071" spans="4:21" s="110" customFormat="1" ht="15.75" customHeight="1">
      <c r="D2071" s="113"/>
      <c r="E2071" s="60"/>
      <c r="F2071" s="60"/>
      <c r="G2071" s="60"/>
      <c r="H2071" s="60"/>
      <c r="I2071" s="60"/>
      <c r="J2071" s="114"/>
      <c r="K2071" s="60"/>
      <c r="L2071" s="109"/>
      <c r="M2071" s="109"/>
      <c r="N2071" s="109"/>
      <c r="O2071" s="109"/>
      <c r="P2071" s="109"/>
      <c r="Q2071" s="109"/>
      <c r="S2071" s="111"/>
      <c r="T2071" s="60"/>
      <c r="U2071" s="112"/>
    </row>
    <row r="2072" spans="4:21" s="110" customFormat="1" ht="15.75" customHeight="1">
      <c r="D2072" s="113"/>
      <c r="E2072" s="60"/>
      <c r="F2072" s="60"/>
      <c r="G2072" s="60"/>
      <c r="H2072" s="60"/>
      <c r="I2072" s="60"/>
      <c r="J2072" s="114"/>
      <c r="K2072" s="60"/>
      <c r="L2072" s="109"/>
      <c r="M2072" s="109"/>
      <c r="N2072" s="109"/>
      <c r="O2072" s="109"/>
      <c r="P2072" s="109"/>
      <c r="Q2072" s="109"/>
      <c r="S2072" s="111"/>
      <c r="T2072" s="60"/>
      <c r="U2072" s="112"/>
    </row>
    <row r="2073" spans="4:21" s="110" customFormat="1" ht="15.75" customHeight="1">
      <c r="D2073" s="113"/>
      <c r="E2073" s="60"/>
      <c r="F2073" s="60"/>
      <c r="G2073" s="60"/>
      <c r="H2073" s="60"/>
      <c r="I2073" s="60"/>
      <c r="J2073" s="114"/>
      <c r="K2073" s="60"/>
      <c r="L2073" s="109"/>
      <c r="M2073" s="109"/>
      <c r="N2073" s="109"/>
      <c r="O2073" s="109"/>
      <c r="P2073" s="109"/>
      <c r="Q2073" s="109"/>
      <c r="S2073" s="111"/>
      <c r="T2073" s="60"/>
      <c r="U2073" s="112"/>
    </row>
    <row r="2074" spans="4:21" s="110" customFormat="1" ht="15.75" customHeight="1">
      <c r="D2074" s="113"/>
      <c r="E2074" s="60"/>
      <c r="F2074" s="60"/>
      <c r="G2074" s="60"/>
      <c r="H2074" s="60"/>
      <c r="I2074" s="60"/>
      <c r="J2074" s="114"/>
      <c r="K2074" s="60"/>
      <c r="L2074" s="109"/>
      <c r="M2074" s="109"/>
      <c r="N2074" s="109"/>
      <c r="O2074" s="109"/>
      <c r="P2074" s="109"/>
      <c r="Q2074" s="109"/>
      <c r="S2074" s="111"/>
      <c r="T2074" s="60"/>
      <c r="U2074" s="112"/>
    </row>
    <row r="2075" spans="4:21" s="110" customFormat="1" ht="15.75" customHeight="1">
      <c r="D2075" s="113"/>
      <c r="E2075" s="60"/>
      <c r="F2075" s="60"/>
      <c r="G2075" s="60"/>
      <c r="H2075" s="60"/>
      <c r="I2075" s="60"/>
      <c r="J2075" s="114"/>
      <c r="K2075" s="60"/>
      <c r="L2075" s="109"/>
      <c r="M2075" s="109"/>
      <c r="N2075" s="109"/>
      <c r="O2075" s="109"/>
      <c r="P2075" s="109"/>
      <c r="Q2075" s="109"/>
      <c r="S2075" s="111"/>
      <c r="T2075" s="60"/>
      <c r="U2075" s="112"/>
    </row>
    <row r="2076" spans="4:21" s="110" customFormat="1" ht="15.75" customHeight="1">
      <c r="D2076" s="113"/>
      <c r="E2076" s="60"/>
      <c r="F2076" s="60"/>
      <c r="G2076" s="60"/>
      <c r="H2076" s="60"/>
      <c r="I2076" s="60"/>
      <c r="J2076" s="114"/>
      <c r="K2076" s="60"/>
      <c r="L2076" s="109"/>
      <c r="M2076" s="109"/>
      <c r="N2076" s="109"/>
      <c r="O2076" s="109"/>
      <c r="P2076" s="109"/>
      <c r="Q2076" s="109"/>
      <c r="S2076" s="111"/>
      <c r="T2076" s="60"/>
      <c r="U2076" s="112"/>
    </row>
    <row r="2077" spans="4:21" s="110" customFormat="1" ht="15.75" customHeight="1">
      <c r="D2077" s="113"/>
      <c r="E2077" s="60"/>
      <c r="F2077" s="60"/>
      <c r="G2077" s="60"/>
      <c r="H2077" s="60"/>
      <c r="I2077" s="60"/>
      <c r="J2077" s="114"/>
      <c r="K2077" s="60"/>
      <c r="L2077" s="109"/>
      <c r="M2077" s="109"/>
      <c r="N2077" s="109"/>
      <c r="O2077" s="109"/>
      <c r="P2077" s="109"/>
      <c r="Q2077" s="109"/>
      <c r="S2077" s="111"/>
      <c r="T2077" s="60"/>
      <c r="U2077" s="112"/>
    </row>
    <row r="2078" spans="4:21" s="110" customFormat="1" ht="15.75" customHeight="1">
      <c r="D2078" s="113"/>
      <c r="E2078" s="60"/>
      <c r="F2078" s="60"/>
      <c r="G2078" s="60"/>
      <c r="H2078" s="60"/>
      <c r="I2078" s="60"/>
      <c r="J2078" s="114"/>
      <c r="K2078" s="60"/>
      <c r="L2078" s="109"/>
      <c r="M2078" s="109"/>
      <c r="N2078" s="109"/>
      <c r="O2078" s="109"/>
      <c r="P2078" s="109"/>
      <c r="Q2078" s="109"/>
      <c r="S2078" s="111"/>
      <c r="T2078" s="60"/>
      <c r="U2078" s="112"/>
    </row>
    <row r="2079" spans="4:21" s="110" customFormat="1" ht="15.75" customHeight="1">
      <c r="D2079" s="113"/>
      <c r="E2079" s="60"/>
      <c r="F2079" s="60"/>
      <c r="G2079" s="60"/>
      <c r="H2079" s="60"/>
      <c r="I2079" s="60"/>
      <c r="J2079" s="114"/>
      <c r="K2079" s="60"/>
      <c r="L2079" s="109"/>
      <c r="M2079" s="109"/>
      <c r="N2079" s="109"/>
      <c r="O2079" s="109"/>
      <c r="P2079" s="109"/>
      <c r="Q2079" s="109"/>
      <c r="S2079" s="111"/>
      <c r="T2079" s="60"/>
      <c r="U2079" s="112"/>
    </row>
    <row r="2080" spans="4:21" s="110" customFormat="1" ht="15.75" customHeight="1">
      <c r="D2080" s="113"/>
      <c r="E2080" s="60"/>
      <c r="F2080" s="60"/>
      <c r="G2080" s="60"/>
      <c r="H2080" s="60"/>
      <c r="I2080" s="60"/>
      <c r="J2080" s="114"/>
      <c r="K2080" s="60"/>
      <c r="L2080" s="109"/>
      <c r="M2080" s="109"/>
      <c r="N2080" s="109"/>
      <c r="O2080" s="109"/>
      <c r="P2080" s="109"/>
      <c r="Q2080" s="109"/>
      <c r="S2080" s="111"/>
      <c r="T2080" s="60"/>
      <c r="U2080" s="112"/>
    </row>
    <row r="2081" spans="4:21" s="110" customFormat="1" ht="15.75" customHeight="1">
      <c r="D2081" s="113"/>
      <c r="E2081" s="60"/>
      <c r="F2081" s="60"/>
      <c r="G2081" s="60"/>
      <c r="H2081" s="60"/>
      <c r="I2081" s="60"/>
      <c r="J2081" s="114"/>
      <c r="K2081" s="60"/>
      <c r="L2081" s="109"/>
      <c r="M2081" s="109"/>
      <c r="N2081" s="109"/>
      <c r="O2081" s="109"/>
      <c r="P2081" s="109"/>
      <c r="Q2081" s="109"/>
      <c r="S2081" s="111"/>
      <c r="T2081" s="60"/>
      <c r="U2081" s="112"/>
    </row>
    <row r="2082" spans="4:21" s="110" customFormat="1" ht="15.75" customHeight="1">
      <c r="D2082" s="113"/>
      <c r="E2082" s="60"/>
      <c r="F2082" s="60"/>
      <c r="G2082" s="60"/>
      <c r="H2082" s="60"/>
      <c r="I2082" s="60"/>
      <c r="J2082" s="114"/>
      <c r="K2082" s="60"/>
      <c r="L2082" s="109"/>
      <c r="M2082" s="109"/>
      <c r="N2082" s="109"/>
      <c r="O2082" s="109"/>
      <c r="P2082" s="109"/>
      <c r="Q2082" s="109"/>
      <c r="S2082" s="111"/>
      <c r="T2082" s="60"/>
      <c r="U2082" s="112"/>
    </row>
    <row r="2083" spans="4:21" s="110" customFormat="1" ht="15.75" customHeight="1">
      <c r="D2083" s="113"/>
      <c r="E2083" s="60"/>
      <c r="F2083" s="60"/>
      <c r="G2083" s="60"/>
      <c r="H2083" s="60"/>
      <c r="I2083" s="60"/>
      <c r="J2083" s="114"/>
      <c r="K2083" s="60"/>
      <c r="L2083" s="109"/>
      <c r="M2083" s="109"/>
      <c r="N2083" s="109"/>
      <c r="O2083" s="109"/>
      <c r="P2083" s="109"/>
      <c r="Q2083" s="109"/>
      <c r="S2083" s="111"/>
      <c r="T2083" s="60"/>
      <c r="U2083" s="112"/>
    </row>
    <row r="2084" spans="4:21" s="110" customFormat="1" ht="15.75" customHeight="1">
      <c r="D2084" s="113"/>
      <c r="E2084" s="60"/>
      <c r="F2084" s="60"/>
      <c r="G2084" s="60"/>
      <c r="H2084" s="60"/>
      <c r="I2084" s="60"/>
      <c r="J2084" s="114"/>
      <c r="K2084" s="60"/>
      <c r="L2084" s="109"/>
      <c r="M2084" s="109"/>
      <c r="N2084" s="109"/>
      <c r="O2084" s="109"/>
      <c r="P2084" s="109"/>
      <c r="Q2084" s="109"/>
      <c r="S2084" s="111"/>
      <c r="T2084" s="60"/>
      <c r="U2084" s="112"/>
    </row>
    <row r="2085" spans="4:21" s="110" customFormat="1" ht="15.75" customHeight="1">
      <c r="D2085" s="113"/>
      <c r="E2085" s="60"/>
      <c r="F2085" s="60"/>
      <c r="G2085" s="60"/>
      <c r="H2085" s="60"/>
      <c r="I2085" s="60"/>
      <c r="J2085" s="114"/>
      <c r="K2085" s="60"/>
      <c r="L2085" s="109"/>
      <c r="M2085" s="109"/>
      <c r="N2085" s="109"/>
      <c r="O2085" s="109"/>
      <c r="P2085" s="109"/>
      <c r="Q2085" s="109"/>
      <c r="S2085" s="111"/>
      <c r="T2085" s="60"/>
      <c r="U2085" s="112"/>
    </row>
    <row r="2086" spans="4:21" s="110" customFormat="1" ht="15.75" customHeight="1">
      <c r="D2086" s="113"/>
      <c r="E2086" s="60"/>
      <c r="F2086" s="60"/>
      <c r="G2086" s="60"/>
      <c r="H2086" s="60"/>
      <c r="I2086" s="60"/>
      <c r="J2086" s="114"/>
      <c r="K2086" s="60"/>
      <c r="L2086" s="109"/>
      <c r="M2086" s="109"/>
      <c r="N2086" s="109"/>
      <c r="O2086" s="109"/>
      <c r="P2086" s="109"/>
      <c r="Q2086" s="109"/>
      <c r="S2086" s="111"/>
      <c r="T2086" s="60"/>
      <c r="U2086" s="112"/>
    </row>
    <row r="2087" spans="4:21" s="110" customFormat="1" ht="15.75" customHeight="1">
      <c r="D2087" s="113"/>
      <c r="E2087" s="60"/>
      <c r="F2087" s="60"/>
      <c r="G2087" s="60"/>
      <c r="H2087" s="60"/>
      <c r="I2087" s="60"/>
      <c r="J2087" s="114"/>
      <c r="K2087" s="60"/>
      <c r="L2087" s="109"/>
      <c r="M2087" s="109"/>
      <c r="N2087" s="109"/>
      <c r="O2087" s="109"/>
      <c r="P2087" s="109"/>
      <c r="Q2087" s="109"/>
      <c r="S2087" s="111"/>
      <c r="T2087" s="60"/>
      <c r="U2087" s="112"/>
    </row>
    <row r="2088" spans="4:21" s="110" customFormat="1" ht="15.75" customHeight="1">
      <c r="D2088" s="113"/>
      <c r="E2088" s="60"/>
      <c r="F2088" s="60"/>
      <c r="G2088" s="60"/>
      <c r="H2088" s="60"/>
      <c r="I2088" s="60"/>
      <c r="J2088" s="114"/>
      <c r="K2088" s="60"/>
      <c r="L2088" s="109"/>
      <c r="M2088" s="109"/>
      <c r="N2088" s="109"/>
      <c r="O2088" s="109"/>
      <c r="P2088" s="109"/>
      <c r="Q2088" s="109"/>
      <c r="S2088" s="111"/>
      <c r="T2088" s="60"/>
      <c r="U2088" s="112"/>
    </row>
    <row r="2089" spans="4:21" s="110" customFormat="1" ht="15.75" customHeight="1">
      <c r="D2089" s="113"/>
      <c r="E2089" s="60"/>
      <c r="F2089" s="60"/>
      <c r="G2089" s="60"/>
      <c r="H2089" s="60"/>
      <c r="I2089" s="60"/>
      <c r="J2089" s="114"/>
      <c r="K2089" s="60"/>
      <c r="L2089" s="109"/>
      <c r="M2089" s="109"/>
      <c r="N2089" s="109"/>
      <c r="O2089" s="109"/>
      <c r="P2089" s="109"/>
      <c r="Q2089" s="109"/>
      <c r="S2089" s="111"/>
      <c r="T2089" s="60"/>
      <c r="U2089" s="112"/>
    </row>
    <row r="2090" spans="4:21" s="110" customFormat="1" ht="15.75" customHeight="1">
      <c r="D2090" s="113"/>
      <c r="E2090" s="60"/>
      <c r="F2090" s="60"/>
      <c r="G2090" s="60"/>
      <c r="H2090" s="60"/>
      <c r="I2090" s="60"/>
      <c r="J2090" s="114"/>
      <c r="K2090" s="60"/>
      <c r="L2090" s="109"/>
      <c r="M2090" s="109"/>
      <c r="N2090" s="109"/>
      <c r="O2090" s="109"/>
      <c r="P2090" s="109"/>
      <c r="Q2090" s="109"/>
      <c r="S2090" s="111"/>
      <c r="T2090" s="60"/>
      <c r="U2090" s="112"/>
    </row>
    <row r="2091" spans="4:21" s="110" customFormat="1" ht="15.75" customHeight="1">
      <c r="D2091" s="113"/>
      <c r="E2091" s="60"/>
      <c r="F2091" s="60"/>
      <c r="G2091" s="60"/>
      <c r="H2091" s="60"/>
      <c r="I2091" s="60"/>
      <c r="J2091" s="114"/>
      <c r="K2091" s="60"/>
      <c r="L2091" s="109"/>
      <c r="M2091" s="109"/>
      <c r="N2091" s="109"/>
      <c r="O2091" s="109"/>
      <c r="P2091" s="109"/>
      <c r="Q2091" s="109"/>
      <c r="S2091" s="111"/>
      <c r="T2091" s="60"/>
      <c r="U2091" s="112"/>
    </row>
    <row r="2092" spans="4:21" s="110" customFormat="1" ht="15.75" customHeight="1">
      <c r="D2092" s="113"/>
      <c r="E2092" s="60"/>
      <c r="F2092" s="60"/>
      <c r="G2092" s="60"/>
      <c r="H2092" s="60"/>
      <c r="I2092" s="60"/>
      <c r="J2092" s="114"/>
      <c r="K2092" s="60"/>
      <c r="L2092" s="109"/>
      <c r="M2092" s="109"/>
      <c r="N2092" s="109"/>
      <c r="O2092" s="109"/>
      <c r="P2092" s="109"/>
      <c r="Q2092" s="109"/>
      <c r="S2092" s="111"/>
      <c r="T2092" s="60"/>
      <c r="U2092" s="112"/>
    </row>
    <row r="2093" spans="4:21" s="110" customFormat="1" ht="15.75" customHeight="1">
      <c r="D2093" s="113"/>
      <c r="E2093" s="60"/>
      <c r="F2093" s="60"/>
      <c r="G2093" s="60"/>
      <c r="H2093" s="60"/>
      <c r="I2093" s="60"/>
      <c r="J2093" s="114"/>
      <c r="K2093" s="60"/>
      <c r="L2093" s="109"/>
      <c r="M2093" s="109"/>
      <c r="N2093" s="109"/>
      <c r="O2093" s="109"/>
      <c r="P2093" s="109"/>
      <c r="Q2093" s="109"/>
      <c r="S2093" s="111"/>
      <c r="T2093" s="60"/>
      <c r="U2093" s="112"/>
    </row>
    <row r="2094" spans="4:21" s="110" customFormat="1" ht="15.75" customHeight="1">
      <c r="D2094" s="113"/>
      <c r="E2094" s="60"/>
      <c r="F2094" s="60"/>
      <c r="G2094" s="60"/>
      <c r="H2094" s="60"/>
      <c r="I2094" s="60"/>
      <c r="J2094" s="114"/>
      <c r="K2094" s="60"/>
      <c r="L2094" s="109"/>
      <c r="M2094" s="109"/>
      <c r="N2094" s="109"/>
      <c r="O2094" s="109"/>
      <c r="P2094" s="109"/>
      <c r="Q2094" s="109"/>
      <c r="S2094" s="111"/>
      <c r="T2094" s="60"/>
      <c r="U2094" s="112"/>
    </row>
    <row r="2095" spans="4:21" s="110" customFormat="1" ht="15.75" customHeight="1">
      <c r="D2095" s="113"/>
      <c r="E2095" s="60"/>
      <c r="F2095" s="60"/>
      <c r="G2095" s="60"/>
      <c r="H2095" s="60"/>
      <c r="I2095" s="60"/>
      <c r="J2095" s="114"/>
      <c r="K2095" s="60"/>
      <c r="L2095" s="109"/>
      <c r="M2095" s="109"/>
      <c r="N2095" s="109"/>
      <c r="O2095" s="109"/>
      <c r="P2095" s="109"/>
      <c r="Q2095" s="109"/>
      <c r="S2095" s="111"/>
      <c r="T2095" s="60"/>
      <c r="U2095" s="112"/>
    </row>
    <row r="2096" spans="4:21" s="110" customFormat="1" ht="15.75" customHeight="1">
      <c r="D2096" s="113"/>
      <c r="E2096" s="60"/>
      <c r="F2096" s="60"/>
      <c r="G2096" s="60"/>
      <c r="H2096" s="60"/>
      <c r="I2096" s="60"/>
      <c r="J2096" s="114"/>
      <c r="K2096" s="60"/>
      <c r="L2096" s="109"/>
      <c r="M2096" s="109"/>
      <c r="N2096" s="109"/>
      <c r="O2096" s="109"/>
      <c r="P2096" s="109"/>
      <c r="Q2096" s="109"/>
      <c r="S2096" s="111"/>
      <c r="T2096" s="60"/>
      <c r="U2096" s="112"/>
    </row>
    <row r="2097" spans="4:21" s="110" customFormat="1" ht="15.75" customHeight="1">
      <c r="D2097" s="113"/>
      <c r="E2097" s="60"/>
      <c r="F2097" s="60"/>
      <c r="G2097" s="60"/>
      <c r="H2097" s="60"/>
      <c r="I2097" s="60"/>
      <c r="J2097" s="114"/>
      <c r="K2097" s="60"/>
      <c r="L2097" s="109"/>
      <c r="M2097" s="109"/>
      <c r="N2097" s="109"/>
      <c r="O2097" s="109"/>
      <c r="P2097" s="109"/>
      <c r="Q2097" s="109"/>
      <c r="S2097" s="111"/>
      <c r="T2097" s="60"/>
      <c r="U2097" s="112"/>
    </row>
    <row r="2098" spans="4:21" s="110" customFormat="1" ht="15.75" customHeight="1">
      <c r="D2098" s="113"/>
      <c r="E2098" s="60"/>
      <c r="F2098" s="60"/>
      <c r="G2098" s="60"/>
      <c r="H2098" s="60"/>
      <c r="I2098" s="60"/>
      <c r="J2098" s="114"/>
      <c r="K2098" s="60"/>
      <c r="L2098" s="109"/>
      <c r="M2098" s="109"/>
      <c r="N2098" s="109"/>
      <c r="O2098" s="109"/>
      <c r="P2098" s="109"/>
      <c r="Q2098" s="109"/>
      <c r="S2098" s="111"/>
      <c r="T2098" s="60"/>
      <c r="U2098" s="112"/>
    </row>
    <row r="2099" spans="4:21" s="110" customFormat="1" ht="15.75" customHeight="1">
      <c r="D2099" s="113"/>
      <c r="E2099" s="60"/>
      <c r="F2099" s="60"/>
      <c r="G2099" s="60"/>
      <c r="H2099" s="60"/>
      <c r="I2099" s="60"/>
      <c r="J2099" s="114"/>
      <c r="K2099" s="60"/>
      <c r="L2099" s="109"/>
      <c r="M2099" s="109"/>
      <c r="N2099" s="109"/>
      <c r="O2099" s="109"/>
      <c r="P2099" s="109"/>
      <c r="Q2099" s="109"/>
      <c r="S2099" s="111"/>
      <c r="T2099" s="60"/>
      <c r="U2099" s="112"/>
    </row>
    <row r="2100" spans="4:21" s="110" customFormat="1" ht="15.75" customHeight="1">
      <c r="D2100" s="113"/>
      <c r="E2100" s="60"/>
      <c r="F2100" s="60"/>
      <c r="G2100" s="60"/>
      <c r="H2100" s="60"/>
      <c r="I2100" s="60"/>
      <c r="J2100" s="114"/>
      <c r="K2100" s="60"/>
      <c r="L2100" s="109"/>
      <c r="M2100" s="109"/>
      <c r="N2100" s="109"/>
      <c r="O2100" s="109"/>
      <c r="P2100" s="109"/>
      <c r="Q2100" s="109"/>
      <c r="S2100" s="111"/>
      <c r="T2100" s="60"/>
      <c r="U2100" s="112"/>
    </row>
    <row r="2101" spans="4:21" s="110" customFormat="1" ht="15.75" customHeight="1">
      <c r="D2101" s="113"/>
      <c r="E2101" s="60"/>
      <c r="F2101" s="60"/>
      <c r="G2101" s="60"/>
      <c r="H2101" s="60"/>
      <c r="I2101" s="60"/>
      <c r="J2101" s="114"/>
      <c r="K2101" s="60"/>
      <c r="L2101" s="109"/>
      <c r="M2101" s="109"/>
      <c r="N2101" s="109"/>
      <c r="O2101" s="109"/>
      <c r="P2101" s="109"/>
      <c r="Q2101" s="109"/>
      <c r="S2101" s="111"/>
      <c r="T2101" s="60"/>
      <c r="U2101" s="112"/>
    </row>
    <row r="2102" spans="4:21" s="110" customFormat="1" ht="15.75" customHeight="1">
      <c r="D2102" s="113"/>
      <c r="E2102" s="60"/>
      <c r="F2102" s="60"/>
      <c r="G2102" s="60"/>
      <c r="H2102" s="60"/>
      <c r="I2102" s="60"/>
      <c r="J2102" s="114"/>
      <c r="K2102" s="60"/>
      <c r="L2102" s="109"/>
      <c r="M2102" s="109"/>
      <c r="N2102" s="109"/>
      <c r="O2102" s="109"/>
      <c r="P2102" s="109"/>
      <c r="Q2102" s="109"/>
      <c r="S2102" s="111"/>
      <c r="T2102" s="60"/>
      <c r="U2102" s="112"/>
    </row>
    <row r="2103" spans="4:21" s="110" customFormat="1" ht="15.75" customHeight="1">
      <c r="D2103" s="113"/>
      <c r="E2103" s="60"/>
      <c r="F2103" s="60"/>
      <c r="G2103" s="60"/>
      <c r="H2103" s="60"/>
      <c r="I2103" s="60"/>
      <c r="J2103" s="114"/>
      <c r="K2103" s="60"/>
      <c r="L2103" s="109"/>
      <c r="M2103" s="109"/>
      <c r="N2103" s="109"/>
      <c r="O2103" s="109"/>
      <c r="P2103" s="109"/>
      <c r="Q2103" s="109"/>
      <c r="S2103" s="111"/>
      <c r="T2103" s="60"/>
      <c r="U2103" s="112"/>
    </row>
    <row r="2104" spans="4:21" s="110" customFormat="1" ht="15.75" customHeight="1">
      <c r="D2104" s="113"/>
      <c r="E2104" s="60"/>
      <c r="F2104" s="60"/>
      <c r="G2104" s="60"/>
      <c r="H2104" s="60"/>
      <c r="I2104" s="60"/>
      <c r="J2104" s="114"/>
      <c r="K2104" s="60"/>
      <c r="L2104" s="109"/>
      <c r="M2104" s="109"/>
      <c r="N2104" s="109"/>
      <c r="O2104" s="109"/>
      <c r="P2104" s="109"/>
      <c r="Q2104" s="109"/>
      <c r="S2104" s="111"/>
      <c r="T2104" s="60"/>
      <c r="U2104" s="112"/>
    </row>
    <row r="2105" spans="4:21" s="110" customFormat="1" ht="15.75" customHeight="1">
      <c r="D2105" s="113"/>
      <c r="E2105" s="60"/>
      <c r="F2105" s="60"/>
      <c r="G2105" s="60"/>
      <c r="H2105" s="60"/>
      <c r="I2105" s="60"/>
      <c r="J2105" s="114"/>
      <c r="K2105" s="60"/>
      <c r="L2105" s="109"/>
      <c r="M2105" s="109"/>
      <c r="N2105" s="109"/>
      <c r="O2105" s="109"/>
      <c r="P2105" s="109"/>
      <c r="Q2105" s="109"/>
      <c r="S2105" s="111"/>
      <c r="T2105" s="60"/>
      <c r="U2105" s="112"/>
    </row>
    <row r="2106" spans="4:21" s="110" customFormat="1" ht="15.75" customHeight="1">
      <c r="D2106" s="113"/>
      <c r="E2106" s="60"/>
      <c r="F2106" s="60"/>
      <c r="G2106" s="60"/>
      <c r="H2106" s="60"/>
      <c r="I2106" s="60"/>
      <c r="J2106" s="114"/>
      <c r="K2106" s="60"/>
      <c r="L2106" s="109"/>
      <c r="M2106" s="109"/>
      <c r="N2106" s="109"/>
      <c r="O2106" s="109"/>
      <c r="P2106" s="109"/>
      <c r="Q2106" s="109"/>
      <c r="S2106" s="111"/>
      <c r="T2106" s="60"/>
      <c r="U2106" s="112"/>
    </row>
    <row r="2107" spans="4:21" s="110" customFormat="1" ht="15.75" customHeight="1">
      <c r="D2107" s="113"/>
      <c r="E2107" s="60"/>
      <c r="F2107" s="60"/>
      <c r="G2107" s="60"/>
      <c r="H2107" s="60"/>
      <c r="I2107" s="60"/>
      <c r="J2107" s="114"/>
      <c r="K2107" s="60"/>
      <c r="L2107" s="109"/>
      <c r="M2107" s="109"/>
      <c r="N2107" s="109"/>
      <c r="O2107" s="109"/>
      <c r="P2107" s="109"/>
      <c r="Q2107" s="109"/>
      <c r="S2107" s="111"/>
      <c r="T2107" s="60"/>
      <c r="U2107" s="112"/>
    </row>
    <row r="2108" spans="4:21" s="110" customFormat="1" ht="15.75" customHeight="1">
      <c r="D2108" s="113"/>
      <c r="E2108" s="60"/>
      <c r="F2108" s="60"/>
      <c r="G2108" s="60"/>
      <c r="H2108" s="60"/>
      <c r="I2108" s="60"/>
      <c r="J2108" s="114"/>
      <c r="K2108" s="60"/>
      <c r="L2108" s="109"/>
      <c r="M2108" s="109"/>
      <c r="N2108" s="109"/>
      <c r="O2108" s="109"/>
      <c r="P2108" s="109"/>
      <c r="Q2108" s="109"/>
      <c r="S2108" s="111"/>
      <c r="T2108" s="60"/>
      <c r="U2108" s="112"/>
    </row>
    <row r="2109" spans="4:21" s="110" customFormat="1" ht="15.75" customHeight="1">
      <c r="D2109" s="113"/>
      <c r="E2109" s="60"/>
      <c r="F2109" s="60"/>
      <c r="G2109" s="60"/>
      <c r="H2109" s="60"/>
      <c r="I2109" s="60"/>
      <c r="J2109" s="114"/>
      <c r="K2109" s="60"/>
      <c r="L2109" s="109"/>
      <c r="M2109" s="109"/>
      <c r="N2109" s="109"/>
      <c r="O2109" s="109"/>
      <c r="P2109" s="109"/>
      <c r="Q2109" s="109"/>
      <c r="S2109" s="111"/>
      <c r="T2109" s="60"/>
      <c r="U2109" s="112"/>
    </row>
    <row r="2110" spans="4:21" s="110" customFormat="1" ht="15.75" customHeight="1">
      <c r="D2110" s="113"/>
      <c r="E2110" s="60"/>
      <c r="F2110" s="60"/>
      <c r="G2110" s="60"/>
      <c r="H2110" s="60"/>
      <c r="I2110" s="60"/>
      <c r="J2110" s="114"/>
      <c r="K2110" s="60"/>
      <c r="L2110" s="109"/>
      <c r="M2110" s="109"/>
      <c r="N2110" s="109"/>
      <c r="O2110" s="109"/>
      <c r="P2110" s="109"/>
      <c r="Q2110" s="109"/>
      <c r="S2110" s="111"/>
      <c r="T2110" s="60"/>
      <c r="U2110" s="112"/>
    </row>
    <row r="2111" spans="4:21" s="110" customFormat="1" ht="15.75" customHeight="1">
      <c r="D2111" s="113"/>
      <c r="E2111" s="60"/>
      <c r="F2111" s="60"/>
      <c r="G2111" s="60"/>
      <c r="H2111" s="60"/>
      <c r="I2111" s="60"/>
      <c r="J2111" s="114"/>
      <c r="K2111" s="60"/>
      <c r="L2111" s="109"/>
      <c r="M2111" s="109"/>
      <c r="N2111" s="109"/>
      <c r="O2111" s="109"/>
      <c r="P2111" s="109"/>
      <c r="Q2111" s="109"/>
      <c r="S2111" s="111"/>
      <c r="T2111" s="60"/>
      <c r="U2111" s="112"/>
    </row>
    <row r="2112" spans="4:21" s="110" customFormat="1" ht="15.75" customHeight="1">
      <c r="D2112" s="113"/>
      <c r="E2112" s="60"/>
      <c r="F2112" s="60"/>
      <c r="G2112" s="60"/>
      <c r="H2112" s="60"/>
      <c r="I2112" s="60"/>
      <c r="J2112" s="114"/>
      <c r="K2112" s="60"/>
      <c r="L2112" s="109"/>
      <c r="M2112" s="109"/>
      <c r="N2112" s="109"/>
      <c r="O2112" s="109"/>
      <c r="P2112" s="109"/>
      <c r="Q2112" s="109"/>
      <c r="S2112" s="111"/>
      <c r="T2112" s="60"/>
      <c r="U2112" s="112"/>
    </row>
    <row r="2113" spans="4:21" s="110" customFormat="1" ht="15.75" customHeight="1">
      <c r="D2113" s="113"/>
      <c r="E2113" s="60"/>
      <c r="F2113" s="60"/>
      <c r="G2113" s="60"/>
      <c r="H2113" s="60"/>
      <c r="I2113" s="60"/>
      <c r="J2113" s="114"/>
      <c r="K2113" s="60"/>
      <c r="L2113" s="109"/>
      <c r="M2113" s="109"/>
      <c r="N2113" s="109"/>
      <c r="O2113" s="109"/>
      <c r="P2113" s="109"/>
      <c r="Q2113" s="109"/>
      <c r="S2113" s="111"/>
      <c r="T2113" s="60"/>
      <c r="U2113" s="112"/>
    </row>
    <row r="2114" spans="4:21" s="110" customFormat="1" ht="15.75" customHeight="1">
      <c r="D2114" s="113"/>
      <c r="E2114" s="60"/>
      <c r="F2114" s="60"/>
      <c r="G2114" s="60"/>
      <c r="H2114" s="60"/>
      <c r="I2114" s="60"/>
      <c r="J2114" s="114"/>
      <c r="K2114" s="60"/>
      <c r="L2114" s="109"/>
      <c r="M2114" s="109"/>
      <c r="N2114" s="109"/>
      <c r="O2114" s="109"/>
      <c r="P2114" s="109"/>
      <c r="Q2114" s="109"/>
      <c r="S2114" s="111"/>
      <c r="T2114" s="60"/>
      <c r="U2114" s="112"/>
    </row>
    <row r="2115" spans="4:21" s="110" customFormat="1" ht="15.75" customHeight="1">
      <c r="D2115" s="113"/>
      <c r="E2115" s="60"/>
      <c r="F2115" s="60"/>
      <c r="G2115" s="60"/>
      <c r="H2115" s="60"/>
      <c r="I2115" s="60"/>
      <c r="J2115" s="114"/>
      <c r="K2115" s="60"/>
      <c r="L2115" s="109"/>
      <c r="M2115" s="109"/>
      <c r="N2115" s="109"/>
      <c r="O2115" s="109"/>
      <c r="P2115" s="109"/>
      <c r="Q2115" s="109"/>
      <c r="S2115" s="111"/>
      <c r="T2115" s="60"/>
      <c r="U2115" s="112"/>
    </row>
    <row r="2116" spans="4:21" s="110" customFormat="1" ht="15.75" customHeight="1">
      <c r="D2116" s="113"/>
      <c r="E2116" s="60"/>
      <c r="F2116" s="60"/>
      <c r="G2116" s="60"/>
      <c r="H2116" s="60"/>
      <c r="I2116" s="60"/>
      <c r="J2116" s="114"/>
      <c r="K2116" s="60"/>
      <c r="L2116" s="109"/>
      <c r="M2116" s="109"/>
      <c r="N2116" s="109"/>
      <c r="O2116" s="109"/>
      <c r="P2116" s="109"/>
      <c r="Q2116" s="109"/>
      <c r="S2116" s="111"/>
      <c r="T2116" s="60"/>
      <c r="U2116" s="112"/>
    </row>
    <row r="2117" spans="4:21" s="110" customFormat="1" ht="15.75" customHeight="1">
      <c r="D2117" s="113"/>
      <c r="E2117" s="60"/>
      <c r="F2117" s="60"/>
      <c r="G2117" s="60"/>
      <c r="H2117" s="60"/>
      <c r="I2117" s="60"/>
      <c r="J2117" s="114"/>
      <c r="K2117" s="60"/>
      <c r="L2117" s="109"/>
      <c r="M2117" s="109"/>
      <c r="N2117" s="109"/>
      <c r="O2117" s="109"/>
      <c r="P2117" s="109"/>
      <c r="Q2117" s="109"/>
      <c r="S2117" s="111"/>
      <c r="T2117" s="60"/>
      <c r="U2117" s="112"/>
    </row>
    <row r="2118" spans="4:21" s="110" customFormat="1" ht="15.75" customHeight="1">
      <c r="D2118" s="113"/>
      <c r="E2118" s="60"/>
      <c r="F2118" s="60"/>
      <c r="G2118" s="60"/>
      <c r="H2118" s="60"/>
      <c r="I2118" s="60"/>
      <c r="J2118" s="114"/>
      <c r="K2118" s="60"/>
      <c r="L2118" s="109"/>
      <c r="M2118" s="109"/>
      <c r="N2118" s="109"/>
      <c r="O2118" s="109"/>
      <c r="P2118" s="109"/>
      <c r="Q2118" s="109"/>
      <c r="S2118" s="111"/>
      <c r="T2118" s="60"/>
      <c r="U2118" s="112"/>
    </row>
    <row r="2119" spans="4:21" s="110" customFormat="1" ht="15.75" customHeight="1">
      <c r="D2119" s="113"/>
      <c r="E2119" s="60"/>
      <c r="F2119" s="60"/>
      <c r="G2119" s="60"/>
      <c r="H2119" s="60"/>
      <c r="I2119" s="60"/>
      <c r="J2119" s="114"/>
      <c r="K2119" s="60"/>
      <c r="L2119" s="109"/>
      <c r="M2119" s="109"/>
      <c r="N2119" s="109"/>
      <c r="O2119" s="109"/>
      <c r="P2119" s="109"/>
      <c r="Q2119" s="109"/>
      <c r="S2119" s="111"/>
      <c r="T2119" s="60"/>
      <c r="U2119" s="112"/>
    </row>
    <row r="2120" spans="4:21" s="110" customFormat="1" ht="15.75" customHeight="1">
      <c r="D2120" s="113"/>
      <c r="E2120" s="60"/>
      <c r="F2120" s="60"/>
      <c r="G2120" s="60"/>
      <c r="H2120" s="60"/>
      <c r="I2120" s="60"/>
      <c r="J2120" s="114"/>
      <c r="K2120" s="60"/>
      <c r="L2120" s="109"/>
      <c r="M2120" s="109"/>
      <c r="N2120" s="109"/>
      <c r="O2120" s="109"/>
      <c r="P2120" s="109"/>
      <c r="Q2120" s="109"/>
      <c r="S2120" s="111"/>
      <c r="T2120" s="60"/>
      <c r="U2120" s="112"/>
    </row>
    <row r="2121" spans="4:21" s="110" customFormat="1" ht="15.75" customHeight="1">
      <c r="D2121" s="113"/>
      <c r="E2121" s="60"/>
      <c r="F2121" s="60"/>
      <c r="G2121" s="60"/>
      <c r="H2121" s="60"/>
      <c r="I2121" s="60"/>
      <c r="J2121" s="114"/>
      <c r="K2121" s="60"/>
      <c r="L2121" s="109"/>
      <c r="M2121" s="109"/>
      <c r="N2121" s="109"/>
      <c r="O2121" s="109"/>
      <c r="P2121" s="109"/>
      <c r="Q2121" s="109"/>
      <c r="S2121" s="111"/>
      <c r="T2121" s="60"/>
      <c r="U2121" s="112"/>
    </row>
    <row r="2122" spans="4:21" s="110" customFormat="1" ht="15.75" customHeight="1">
      <c r="D2122" s="113"/>
      <c r="E2122" s="60"/>
      <c r="F2122" s="60"/>
      <c r="G2122" s="60"/>
      <c r="H2122" s="60"/>
      <c r="I2122" s="60"/>
      <c r="J2122" s="114"/>
      <c r="K2122" s="60"/>
      <c r="L2122" s="109"/>
      <c r="M2122" s="109"/>
      <c r="N2122" s="109"/>
      <c r="O2122" s="109"/>
      <c r="P2122" s="109"/>
      <c r="Q2122" s="109"/>
      <c r="S2122" s="111"/>
      <c r="T2122" s="60"/>
      <c r="U2122" s="112"/>
    </row>
    <row r="2123" spans="4:21" s="110" customFormat="1" ht="15.75" customHeight="1">
      <c r="D2123" s="113"/>
      <c r="E2123" s="60"/>
      <c r="F2123" s="60"/>
      <c r="G2123" s="60"/>
      <c r="H2123" s="60"/>
      <c r="I2123" s="60"/>
      <c r="J2123" s="114"/>
      <c r="K2123" s="60"/>
      <c r="L2123" s="109"/>
      <c r="M2123" s="109"/>
      <c r="N2123" s="109"/>
      <c r="O2123" s="109"/>
      <c r="P2123" s="109"/>
      <c r="Q2123" s="109"/>
      <c r="S2123" s="111"/>
      <c r="T2123" s="60"/>
      <c r="U2123" s="112"/>
    </row>
    <row r="2124" spans="4:21" s="110" customFormat="1" ht="15.75" customHeight="1">
      <c r="D2124" s="113"/>
      <c r="E2124" s="60"/>
      <c r="F2124" s="60"/>
      <c r="G2124" s="60"/>
      <c r="H2124" s="60"/>
      <c r="I2124" s="60"/>
      <c r="J2124" s="114"/>
      <c r="K2124" s="60"/>
      <c r="L2124" s="109"/>
      <c r="M2124" s="109"/>
      <c r="N2124" s="109"/>
      <c r="O2124" s="109"/>
      <c r="P2124" s="109"/>
      <c r="Q2124" s="109"/>
      <c r="S2124" s="111"/>
      <c r="T2124" s="60"/>
      <c r="U2124" s="112"/>
    </row>
    <row r="2125" spans="4:21" s="110" customFormat="1" ht="15.75" customHeight="1">
      <c r="D2125" s="113"/>
      <c r="E2125" s="60"/>
      <c r="F2125" s="60"/>
      <c r="G2125" s="60"/>
      <c r="H2125" s="60"/>
      <c r="I2125" s="60"/>
      <c r="J2125" s="114"/>
      <c r="K2125" s="60"/>
      <c r="L2125" s="109"/>
      <c r="M2125" s="109"/>
      <c r="N2125" s="109"/>
      <c r="O2125" s="109"/>
      <c r="P2125" s="109"/>
      <c r="Q2125" s="109"/>
      <c r="S2125" s="111"/>
      <c r="T2125" s="60"/>
      <c r="U2125" s="112"/>
    </row>
    <row r="2126" spans="4:21" s="110" customFormat="1" ht="15.75" customHeight="1">
      <c r="D2126" s="113"/>
      <c r="E2126" s="60"/>
      <c r="F2126" s="60"/>
      <c r="G2126" s="60"/>
      <c r="H2126" s="60"/>
      <c r="I2126" s="60"/>
      <c r="J2126" s="114"/>
      <c r="K2126" s="60"/>
      <c r="L2126" s="109"/>
      <c r="M2126" s="109"/>
      <c r="N2126" s="109"/>
      <c r="O2126" s="109"/>
      <c r="P2126" s="109"/>
      <c r="Q2126" s="109"/>
      <c r="S2126" s="111"/>
      <c r="T2126" s="60"/>
      <c r="U2126" s="112"/>
    </row>
    <row r="2127" spans="4:21" s="110" customFormat="1" ht="15.75" customHeight="1">
      <c r="D2127" s="113"/>
      <c r="E2127" s="60"/>
      <c r="F2127" s="60"/>
      <c r="G2127" s="60"/>
      <c r="H2127" s="60"/>
      <c r="I2127" s="60"/>
      <c r="J2127" s="114"/>
      <c r="K2127" s="60"/>
      <c r="L2127" s="109"/>
      <c r="M2127" s="109"/>
      <c r="N2127" s="109"/>
      <c r="O2127" s="109"/>
      <c r="P2127" s="109"/>
      <c r="Q2127" s="109"/>
      <c r="S2127" s="111"/>
      <c r="T2127" s="60"/>
      <c r="U2127" s="112"/>
    </row>
    <row r="2128" spans="4:21" s="110" customFormat="1" ht="15.75" customHeight="1">
      <c r="D2128" s="113"/>
      <c r="E2128" s="60"/>
      <c r="F2128" s="60"/>
      <c r="G2128" s="60"/>
      <c r="H2128" s="60"/>
      <c r="I2128" s="60"/>
      <c r="J2128" s="114"/>
      <c r="K2128" s="60"/>
      <c r="L2128" s="109"/>
      <c r="M2128" s="109"/>
      <c r="N2128" s="109"/>
      <c r="O2128" s="109"/>
      <c r="P2128" s="109"/>
      <c r="Q2128" s="109"/>
      <c r="S2128" s="111"/>
      <c r="T2128" s="60"/>
      <c r="U2128" s="112"/>
    </row>
    <row r="2129" spans="4:21" s="110" customFormat="1" ht="15.75" customHeight="1">
      <c r="D2129" s="113"/>
      <c r="E2129" s="60"/>
      <c r="F2129" s="60"/>
      <c r="G2129" s="60"/>
      <c r="H2129" s="60"/>
      <c r="I2129" s="60"/>
      <c r="J2129" s="114"/>
      <c r="K2129" s="60"/>
      <c r="L2129" s="109"/>
      <c r="M2129" s="109"/>
      <c r="N2129" s="109"/>
      <c r="O2129" s="109"/>
      <c r="P2129" s="109"/>
      <c r="Q2129" s="109"/>
      <c r="S2129" s="111"/>
      <c r="T2129" s="60"/>
      <c r="U2129" s="112"/>
    </row>
    <row r="2130" spans="4:21" s="110" customFormat="1" ht="15.75" customHeight="1">
      <c r="D2130" s="113"/>
      <c r="E2130" s="60"/>
      <c r="F2130" s="60"/>
      <c r="G2130" s="60"/>
      <c r="H2130" s="60"/>
      <c r="I2130" s="60"/>
      <c r="J2130" s="114"/>
      <c r="K2130" s="60"/>
      <c r="L2130" s="109"/>
      <c r="M2130" s="109"/>
      <c r="N2130" s="109"/>
      <c r="O2130" s="109"/>
      <c r="P2130" s="109"/>
      <c r="Q2130" s="109"/>
      <c r="S2130" s="111"/>
      <c r="T2130" s="60"/>
      <c r="U2130" s="112"/>
    </row>
    <row r="2131" spans="4:21" s="110" customFormat="1" ht="15.75" customHeight="1">
      <c r="D2131" s="113"/>
      <c r="E2131" s="60"/>
      <c r="F2131" s="60"/>
      <c r="G2131" s="60"/>
      <c r="H2131" s="60"/>
      <c r="I2131" s="60"/>
      <c r="J2131" s="114"/>
      <c r="K2131" s="60"/>
      <c r="L2131" s="109"/>
      <c r="M2131" s="109"/>
      <c r="N2131" s="109"/>
      <c r="O2131" s="109"/>
      <c r="P2131" s="109"/>
      <c r="Q2131" s="109"/>
      <c r="S2131" s="111"/>
      <c r="T2131" s="60"/>
      <c r="U2131" s="112"/>
    </row>
    <row r="2132" spans="4:21" s="110" customFormat="1" ht="15.75" customHeight="1">
      <c r="D2132" s="113"/>
      <c r="E2132" s="60"/>
      <c r="F2132" s="60"/>
      <c r="G2132" s="60"/>
      <c r="H2132" s="60"/>
      <c r="I2132" s="60"/>
      <c r="J2132" s="114"/>
      <c r="K2132" s="60"/>
      <c r="L2132" s="109"/>
      <c r="M2132" s="109"/>
      <c r="N2132" s="109"/>
      <c r="O2132" s="109"/>
      <c r="P2132" s="109"/>
      <c r="Q2132" s="109"/>
      <c r="S2132" s="111"/>
      <c r="T2132" s="60"/>
      <c r="U2132" s="112"/>
    </row>
    <row r="2133" spans="4:21" s="110" customFormat="1" ht="15.75" customHeight="1">
      <c r="D2133" s="113"/>
      <c r="E2133" s="60"/>
      <c r="F2133" s="60"/>
      <c r="G2133" s="60"/>
      <c r="H2133" s="60"/>
      <c r="I2133" s="60"/>
      <c r="J2133" s="114"/>
      <c r="K2133" s="60"/>
      <c r="L2133" s="109"/>
      <c r="M2133" s="109"/>
      <c r="N2133" s="109"/>
      <c r="O2133" s="109"/>
      <c r="P2133" s="109"/>
      <c r="Q2133" s="109"/>
      <c r="S2133" s="111"/>
      <c r="T2133" s="60"/>
      <c r="U2133" s="112"/>
    </row>
    <row r="2134" spans="4:21" s="110" customFormat="1" ht="15.75" customHeight="1">
      <c r="D2134" s="113"/>
      <c r="E2134" s="60"/>
      <c r="F2134" s="60"/>
      <c r="G2134" s="60"/>
      <c r="H2134" s="60"/>
      <c r="I2134" s="60"/>
      <c r="J2134" s="114"/>
      <c r="K2134" s="60"/>
      <c r="L2134" s="109"/>
      <c r="M2134" s="109"/>
      <c r="N2134" s="109"/>
      <c r="O2134" s="109"/>
      <c r="P2134" s="109"/>
      <c r="Q2134" s="109"/>
      <c r="S2134" s="111"/>
      <c r="T2134" s="60"/>
      <c r="U2134" s="112"/>
    </row>
    <row r="2135" spans="4:21" s="110" customFormat="1" ht="15.75" customHeight="1">
      <c r="D2135" s="113"/>
      <c r="E2135" s="60"/>
      <c r="F2135" s="60"/>
      <c r="G2135" s="60"/>
      <c r="H2135" s="60"/>
      <c r="I2135" s="60"/>
      <c r="J2135" s="114"/>
      <c r="K2135" s="60"/>
      <c r="L2135" s="109"/>
      <c r="M2135" s="109"/>
      <c r="N2135" s="109"/>
      <c r="O2135" s="109"/>
      <c r="P2135" s="109"/>
      <c r="Q2135" s="109"/>
      <c r="S2135" s="111"/>
      <c r="T2135" s="60"/>
      <c r="U2135" s="112"/>
    </row>
    <row r="2136" spans="4:21" s="110" customFormat="1" ht="15.75" customHeight="1">
      <c r="D2136" s="113"/>
      <c r="E2136" s="60"/>
      <c r="F2136" s="60"/>
      <c r="G2136" s="60"/>
      <c r="H2136" s="60"/>
      <c r="I2136" s="60"/>
      <c r="J2136" s="114"/>
      <c r="K2136" s="60"/>
      <c r="L2136" s="109"/>
      <c r="M2136" s="109"/>
      <c r="N2136" s="109"/>
      <c r="O2136" s="109"/>
      <c r="P2136" s="109"/>
      <c r="Q2136" s="109"/>
      <c r="S2136" s="111"/>
      <c r="T2136" s="60"/>
      <c r="U2136" s="112"/>
    </row>
    <row r="2137" spans="4:21" s="110" customFormat="1" ht="15.75" customHeight="1">
      <c r="D2137" s="113"/>
      <c r="E2137" s="60"/>
      <c r="F2137" s="60"/>
      <c r="G2137" s="60"/>
      <c r="H2137" s="60"/>
      <c r="I2137" s="60"/>
      <c r="J2137" s="114"/>
      <c r="K2137" s="60"/>
      <c r="L2137" s="109"/>
      <c r="M2137" s="109"/>
      <c r="N2137" s="109"/>
      <c r="O2137" s="109"/>
      <c r="P2137" s="109"/>
      <c r="Q2137" s="109"/>
      <c r="S2137" s="111"/>
      <c r="T2137" s="60"/>
      <c r="U2137" s="112"/>
    </row>
    <row r="2138" spans="4:21" s="110" customFormat="1" ht="15.75" customHeight="1">
      <c r="D2138" s="113"/>
      <c r="E2138" s="60"/>
      <c r="F2138" s="60"/>
      <c r="G2138" s="60"/>
      <c r="H2138" s="60"/>
      <c r="I2138" s="60"/>
      <c r="J2138" s="114"/>
      <c r="K2138" s="60"/>
      <c r="L2138" s="109"/>
      <c r="M2138" s="109"/>
      <c r="N2138" s="109"/>
      <c r="O2138" s="109"/>
      <c r="P2138" s="109"/>
      <c r="Q2138" s="109"/>
      <c r="S2138" s="111"/>
      <c r="T2138" s="60"/>
      <c r="U2138" s="112"/>
    </row>
    <row r="2139" spans="4:21" s="110" customFormat="1" ht="15.75" customHeight="1">
      <c r="D2139" s="113"/>
      <c r="E2139" s="60"/>
      <c r="F2139" s="60"/>
      <c r="G2139" s="60"/>
      <c r="H2139" s="60"/>
      <c r="I2139" s="60"/>
      <c r="J2139" s="114"/>
      <c r="K2139" s="60"/>
      <c r="L2139" s="109"/>
      <c r="M2139" s="109"/>
      <c r="N2139" s="109"/>
      <c r="O2139" s="109"/>
      <c r="P2139" s="109"/>
      <c r="Q2139" s="109"/>
      <c r="S2139" s="111"/>
      <c r="T2139" s="60"/>
      <c r="U2139" s="112"/>
    </row>
    <row r="2140" spans="4:21" s="110" customFormat="1" ht="15.75" customHeight="1">
      <c r="D2140" s="113"/>
      <c r="E2140" s="60"/>
      <c r="F2140" s="60"/>
      <c r="G2140" s="60"/>
      <c r="H2140" s="60"/>
      <c r="I2140" s="60"/>
      <c r="J2140" s="114"/>
      <c r="K2140" s="60"/>
      <c r="L2140" s="109"/>
      <c r="M2140" s="109"/>
      <c r="N2140" s="109"/>
      <c r="O2140" s="109"/>
      <c r="P2140" s="109"/>
      <c r="Q2140" s="109"/>
      <c r="S2140" s="111"/>
      <c r="T2140" s="60"/>
      <c r="U2140" s="112"/>
    </row>
    <row r="2141" spans="4:21" s="110" customFormat="1" ht="15.75" customHeight="1">
      <c r="D2141" s="113"/>
      <c r="E2141" s="60"/>
      <c r="F2141" s="60"/>
      <c r="G2141" s="60"/>
      <c r="H2141" s="60"/>
      <c r="I2141" s="60"/>
      <c r="J2141" s="114"/>
      <c r="K2141" s="60"/>
      <c r="L2141" s="109"/>
      <c r="M2141" s="109"/>
      <c r="N2141" s="109"/>
      <c r="O2141" s="109"/>
      <c r="P2141" s="109"/>
      <c r="Q2141" s="109"/>
      <c r="S2141" s="111"/>
      <c r="T2141" s="60"/>
      <c r="U2141" s="112"/>
    </row>
    <row r="2142" spans="4:21" s="110" customFormat="1" ht="15.75" customHeight="1">
      <c r="D2142" s="113"/>
      <c r="E2142" s="60"/>
      <c r="F2142" s="60"/>
      <c r="G2142" s="60"/>
      <c r="H2142" s="60"/>
      <c r="I2142" s="60"/>
      <c r="J2142" s="114"/>
      <c r="K2142" s="60"/>
      <c r="L2142" s="109"/>
      <c r="M2142" s="109"/>
      <c r="N2142" s="109"/>
      <c r="O2142" s="109"/>
      <c r="P2142" s="109"/>
      <c r="Q2142" s="109"/>
      <c r="S2142" s="111"/>
      <c r="T2142" s="60"/>
      <c r="U2142" s="112"/>
    </row>
    <row r="2143" spans="4:21" s="110" customFormat="1" ht="15.75" customHeight="1">
      <c r="D2143" s="113"/>
      <c r="E2143" s="60"/>
      <c r="F2143" s="60"/>
      <c r="G2143" s="60"/>
      <c r="H2143" s="60"/>
      <c r="I2143" s="60"/>
      <c r="J2143" s="114"/>
      <c r="K2143" s="60"/>
      <c r="L2143" s="109"/>
      <c r="M2143" s="109"/>
      <c r="N2143" s="109"/>
      <c r="O2143" s="109"/>
      <c r="P2143" s="109"/>
      <c r="Q2143" s="109"/>
      <c r="S2143" s="111"/>
      <c r="T2143" s="60"/>
      <c r="U2143" s="112"/>
    </row>
    <row r="2144" spans="4:21" s="110" customFormat="1" ht="15.75" customHeight="1">
      <c r="D2144" s="113"/>
      <c r="E2144" s="60"/>
      <c r="F2144" s="60"/>
      <c r="G2144" s="60"/>
      <c r="H2144" s="60"/>
      <c r="I2144" s="60"/>
      <c r="J2144" s="114"/>
      <c r="K2144" s="60"/>
      <c r="L2144" s="109"/>
      <c r="M2144" s="109"/>
      <c r="N2144" s="109"/>
      <c r="O2144" s="109"/>
      <c r="P2144" s="109"/>
      <c r="Q2144" s="109"/>
      <c r="S2144" s="111"/>
      <c r="T2144" s="60"/>
      <c r="U2144" s="112"/>
    </row>
    <row r="2145" spans="4:21" s="110" customFormat="1" ht="15.75" customHeight="1">
      <c r="D2145" s="113"/>
      <c r="E2145" s="60"/>
      <c r="F2145" s="60"/>
      <c r="G2145" s="60"/>
      <c r="H2145" s="60"/>
      <c r="I2145" s="60"/>
      <c r="J2145" s="114"/>
      <c r="K2145" s="60"/>
      <c r="L2145" s="109"/>
      <c r="M2145" s="109"/>
      <c r="N2145" s="109"/>
      <c r="O2145" s="109"/>
      <c r="P2145" s="109"/>
      <c r="Q2145" s="109"/>
      <c r="S2145" s="111"/>
      <c r="T2145" s="60"/>
      <c r="U2145" s="112"/>
    </row>
    <row r="2146" spans="4:21" s="110" customFormat="1" ht="15.75" customHeight="1">
      <c r="D2146" s="113"/>
      <c r="E2146" s="60"/>
      <c r="F2146" s="60"/>
      <c r="G2146" s="60"/>
      <c r="H2146" s="60"/>
      <c r="I2146" s="60"/>
      <c r="J2146" s="114"/>
      <c r="K2146" s="60"/>
      <c r="L2146" s="109"/>
      <c r="M2146" s="109"/>
      <c r="N2146" s="109"/>
      <c r="O2146" s="109"/>
      <c r="P2146" s="109"/>
      <c r="Q2146" s="109"/>
      <c r="S2146" s="111"/>
      <c r="T2146" s="60"/>
      <c r="U2146" s="112"/>
    </row>
    <row r="2147" spans="4:21" s="110" customFormat="1" ht="15.75" customHeight="1">
      <c r="D2147" s="113"/>
      <c r="E2147" s="60"/>
      <c r="F2147" s="60"/>
      <c r="G2147" s="60"/>
      <c r="H2147" s="60"/>
      <c r="I2147" s="60"/>
      <c r="J2147" s="114"/>
      <c r="K2147" s="60"/>
      <c r="L2147" s="109"/>
      <c r="M2147" s="109"/>
      <c r="N2147" s="109"/>
      <c r="O2147" s="109"/>
      <c r="P2147" s="109"/>
      <c r="Q2147" s="109"/>
      <c r="S2147" s="111"/>
      <c r="T2147" s="60"/>
      <c r="U2147" s="112"/>
    </row>
    <row r="2148" spans="4:21" s="110" customFormat="1" ht="15.75" customHeight="1">
      <c r="D2148" s="113"/>
      <c r="E2148" s="60"/>
      <c r="F2148" s="60"/>
      <c r="G2148" s="60"/>
      <c r="H2148" s="60"/>
      <c r="I2148" s="60"/>
      <c r="J2148" s="114"/>
      <c r="K2148" s="60"/>
      <c r="L2148" s="109"/>
      <c r="M2148" s="109"/>
      <c r="N2148" s="109"/>
      <c r="O2148" s="109"/>
      <c r="P2148" s="109"/>
      <c r="Q2148" s="109"/>
      <c r="S2148" s="111"/>
      <c r="T2148" s="60"/>
      <c r="U2148" s="112"/>
    </row>
    <row r="2149" spans="4:21" s="110" customFormat="1" ht="15.75" customHeight="1">
      <c r="D2149" s="113"/>
      <c r="E2149" s="60"/>
      <c r="F2149" s="60"/>
      <c r="G2149" s="60"/>
      <c r="H2149" s="60"/>
      <c r="I2149" s="60"/>
      <c r="J2149" s="114"/>
      <c r="K2149" s="60"/>
      <c r="L2149" s="109"/>
      <c r="M2149" s="109"/>
      <c r="N2149" s="109"/>
      <c r="O2149" s="109"/>
      <c r="P2149" s="109"/>
      <c r="Q2149" s="109"/>
      <c r="S2149" s="111"/>
      <c r="T2149" s="60"/>
      <c r="U2149" s="112"/>
    </row>
    <row r="2150" spans="4:21" s="110" customFormat="1" ht="15.75" customHeight="1">
      <c r="D2150" s="113"/>
      <c r="E2150" s="60"/>
      <c r="F2150" s="60"/>
      <c r="G2150" s="60"/>
      <c r="H2150" s="60"/>
      <c r="I2150" s="60"/>
      <c r="J2150" s="114"/>
      <c r="K2150" s="60"/>
      <c r="L2150" s="109"/>
      <c r="M2150" s="109"/>
      <c r="N2150" s="109"/>
      <c r="O2150" s="109"/>
      <c r="P2150" s="109"/>
      <c r="Q2150" s="109"/>
      <c r="S2150" s="111"/>
      <c r="T2150" s="60"/>
      <c r="U2150" s="112"/>
    </row>
    <row r="2151" spans="4:21" s="110" customFormat="1" ht="15.75" customHeight="1">
      <c r="D2151" s="113"/>
      <c r="E2151" s="60"/>
      <c r="F2151" s="60"/>
      <c r="G2151" s="60"/>
      <c r="H2151" s="60"/>
      <c r="I2151" s="60"/>
      <c r="J2151" s="114"/>
      <c r="K2151" s="60"/>
      <c r="L2151" s="109"/>
      <c r="M2151" s="109"/>
      <c r="N2151" s="109"/>
      <c r="O2151" s="109"/>
      <c r="P2151" s="109"/>
      <c r="Q2151" s="109"/>
      <c r="S2151" s="111"/>
      <c r="T2151" s="60"/>
      <c r="U2151" s="112"/>
    </row>
    <row r="2152" spans="4:21" s="110" customFormat="1" ht="15.75" customHeight="1">
      <c r="D2152" s="113"/>
      <c r="E2152" s="60"/>
      <c r="F2152" s="60"/>
      <c r="G2152" s="60"/>
      <c r="H2152" s="60"/>
      <c r="I2152" s="60"/>
      <c r="J2152" s="114"/>
      <c r="K2152" s="60"/>
      <c r="L2152" s="109"/>
      <c r="M2152" s="109"/>
      <c r="N2152" s="109"/>
      <c r="O2152" s="109"/>
      <c r="P2152" s="109"/>
      <c r="Q2152" s="109"/>
      <c r="S2152" s="111"/>
      <c r="T2152" s="60"/>
      <c r="U2152" s="112"/>
    </row>
    <row r="2153" spans="4:21" s="110" customFormat="1" ht="15.75" customHeight="1">
      <c r="D2153" s="113"/>
      <c r="E2153" s="60"/>
      <c r="F2153" s="60"/>
      <c r="G2153" s="60"/>
      <c r="H2153" s="60"/>
      <c r="I2153" s="60"/>
      <c r="J2153" s="114"/>
      <c r="K2153" s="60"/>
      <c r="L2153" s="109"/>
      <c r="M2153" s="109"/>
      <c r="N2153" s="109"/>
      <c r="O2153" s="109"/>
      <c r="P2153" s="109"/>
      <c r="Q2153" s="109"/>
      <c r="S2153" s="111"/>
      <c r="T2153" s="60"/>
      <c r="U2153" s="112"/>
    </row>
    <row r="2154" spans="4:21" s="110" customFormat="1" ht="15.75" customHeight="1">
      <c r="D2154" s="113"/>
      <c r="E2154" s="60"/>
      <c r="F2154" s="60"/>
      <c r="G2154" s="60"/>
      <c r="H2154" s="60"/>
      <c r="I2154" s="60"/>
      <c r="J2154" s="114"/>
      <c r="K2154" s="60"/>
      <c r="L2154" s="109"/>
      <c r="M2154" s="109"/>
      <c r="N2154" s="109"/>
      <c r="O2154" s="109"/>
      <c r="P2154" s="109"/>
      <c r="Q2154" s="109"/>
      <c r="S2154" s="111"/>
      <c r="T2154" s="60"/>
      <c r="U2154" s="112"/>
    </row>
    <row r="2155" spans="4:21" s="110" customFormat="1" ht="15.75" customHeight="1">
      <c r="D2155" s="113"/>
      <c r="E2155" s="60"/>
      <c r="F2155" s="60"/>
      <c r="G2155" s="60"/>
      <c r="H2155" s="60"/>
      <c r="I2155" s="60"/>
      <c r="J2155" s="114"/>
      <c r="K2155" s="60"/>
      <c r="L2155" s="109"/>
      <c r="M2155" s="109"/>
      <c r="N2155" s="109"/>
      <c r="O2155" s="109"/>
      <c r="P2155" s="109"/>
      <c r="Q2155" s="109"/>
      <c r="S2155" s="111"/>
      <c r="T2155" s="60"/>
      <c r="U2155" s="112"/>
    </row>
    <row r="2156" spans="4:21" s="110" customFormat="1" ht="15.75" customHeight="1">
      <c r="D2156" s="113"/>
      <c r="E2156" s="60"/>
      <c r="F2156" s="60"/>
      <c r="G2156" s="60"/>
      <c r="H2156" s="60"/>
      <c r="I2156" s="60"/>
      <c r="J2156" s="114"/>
      <c r="K2156" s="60"/>
      <c r="L2156" s="109"/>
      <c r="M2156" s="109"/>
      <c r="N2156" s="109"/>
      <c r="O2156" s="109"/>
      <c r="P2156" s="109"/>
      <c r="Q2156" s="109"/>
      <c r="S2156" s="111"/>
      <c r="T2156" s="60"/>
      <c r="U2156" s="112"/>
    </row>
    <row r="2157" spans="4:21" s="110" customFormat="1" ht="15.75" customHeight="1">
      <c r="D2157" s="113"/>
      <c r="E2157" s="60"/>
      <c r="F2157" s="60"/>
      <c r="G2157" s="60"/>
      <c r="H2157" s="60"/>
      <c r="I2157" s="60"/>
      <c r="J2157" s="114"/>
      <c r="K2157" s="60"/>
      <c r="L2157" s="109"/>
      <c r="M2157" s="109"/>
      <c r="N2157" s="109"/>
      <c r="O2157" s="109"/>
      <c r="P2157" s="109"/>
      <c r="Q2157" s="109"/>
      <c r="S2157" s="111"/>
      <c r="T2157" s="60"/>
      <c r="U2157" s="112"/>
    </row>
    <row r="2158" spans="4:21" s="110" customFormat="1" ht="15.75" customHeight="1">
      <c r="D2158" s="113"/>
      <c r="E2158" s="60"/>
      <c r="F2158" s="60"/>
      <c r="G2158" s="60"/>
      <c r="H2158" s="60"/>
      <c r="I2158" s="60"/>
      <c r="J2158" s="114"/>
      <c r="K2158" s="60"/>
      <c r="L2158" s="109"/>
      <c r="M2158" s="109"/>
      <c r="N2158" s="109"/>
      <c r="O2158" s="109"/>
      <c r="P2158" s="109"/>
      <c r="Q2158" s="109"/>
      <c r="S2158" s="111"/>
      <c r="T2158" s="60"/>
      <c r="U2158" s="112"/>
    </row>
    <row r="2159" spans="4:21" s="110" customFormat="1" ht="15.75" customHeight="1">
      <c r="D2159" s="113"/>
      <c r="E2159" s="60"/>
      <c r="F2159" s="60"/>
      <c r="G2159" s="60"/>
      <c r="H2159" s="60"/>
      <c r="I2159" s="60"/>
      <c r="J2159" s="114"/>
      <c r="K2159" s="60"/>
      <c r="L2159" s="109"/>
      <c r="M2159" s="109"/>
      <c r="N2159" s="109"/>
      <c r="O2159" s="109"/>
      <c r="P2159" s="109"/>
      <c r="Q2159" s="109"/>
      <c r="S2159" s="111"/>
      <c r="T2159" s="60"/>
      <c r="U2159" s="112"/>
    </row>
    <row r="2160" spans="4:21" s="110" customFormat="1" ht="15.75" customHeight="1">
      <c r="D2160" s="113"/>
      <c r="E2160" s="60"/>
      <c r="F2160" s="60"/>
      <c r="G2160" s="60"/>
      <c r="H2160" s="60"/>
      <c r="I2160" s="60"/>
      <c r="J2160" s="114"/>
      <c r="K2160" s="60"/>
      <c r="L2160" s="109"/>
      <c r="M2160" s="109"/>
      <c r="N2160" s="109"/>
      <c r="O2160" s="109"/>
      <c r="P2160" s="109"/>
      <c r="Q2160" s="109"/>
      <c r="S2160" s="111"/>
      <c r="T2160" s="60"/>
      <c r="U2160" s="112"/>
    </row>
    <row r="2161" spans="4:21" s="110" customFormat="1" ht="15.75" customHeight="1">
      <c r="D2161" s="113"/>
      <c r="E2161" s="60"/>
      <c r="F2161" s="60"/>
      <c r="G2161" s="60"/>
      <c r="H2161" s="60"/>
      <c r="I2161" s="60"/>
      <c r="J2161" s="114"/>
      <c r="K2161" s="60"/>
      <c r="L2161" s="109"/>
      <c r="M2161" s="109"/>
      <c r="N2161" s="109"/>
      <c r="O2161" s="109"/>
      <c r="P2161" s="109"/>
      <c r="Q2161" s="109"/>
      <c r="S2161" s="111"/>
      <c r="T2161" s="60"/>
      <c r="U2161" s="112"/>
    </row>
    <row r="2162" spans="4:21" s="110" customFormat="1" ht="15.75" customHeight="1">
      <c r="D2162" s="113"/>
      <c r="E2162" s="60"/>
      <c r="F2162" s="60"/>
      <c r="G2162" s="60"/>
      <c r="H2162" s="60"/>
      <c r="I2162" s="60"/>
      <c r="J2162" s="114"/>
      <c r="K2162" s="60"/>
      <c r="L2162" s="109"/>
      <c r="M2162" s="109"/>
      <c r="N2162" s="109"/>
      <c r="O2162" s="109"/>
      <c r="P2162" s="109"/>
      <c r="Q2162" s="109"/>
      <c r="S2162" s="111"/>
      <c r="T2162" s="60"/>
      <c r="U2162" s="112"/>
    </row>
    <row r="2163" spans="4:21" s="110" customFormat="1" ht="15.75" customHeight="1">
      <c r="D2163" s="113"/>
      <c r="E2163" s="60"/>
      <c r="F2163" s="60"/>
      <c r="G2163" s="60"/>
      <c r="H2163" s="60"/>
      <c r="I2163" s="60"/>
      <c r="J2163" s="114"/>
      <c r="K2163" s="60"/>
      <c r="L2163" s="109"/>
      <c r="M2163" s="109"/>
      <c r="N2163" s="109"/>
      <c r="O2163" s="109"/>
      <c r="P2163" s="109"/>
      <c r="Q2163" s="109"/>
      <c r="S2163" s="111"/>
      <c r="T2163" s="60"/>
      <c r="U2163" s="112"/>
    </row>
    <row r="2164" spans="4:21" s="110" customFormat="1" ht="15.75" customHeight="1">
      <c r="D2164" s="113"/>
      <c r="E2164" s="60"/>
      <c r="F2164" s="60"/>
      <c r="G2164" s="60"/>
      <c r="H2164" s="60"/>
      <c r="I2164" s="60"/>
      <c r="J2164" s="114"/>
      <c r="K2164" s="60"/>
      <c r="L2164" s="109"/>
      <c r="M2164" s="109"/>
      <c r="N2164" s="109"/>
      <c r="O2164" s="109"/>
      <c r="P2164" s="109"/>
      <c r="Q2164" s="109"/>
      <c r="S2164" s="111"/>
      <c r="T2164" s="60"/>
      <c r="U2164" s="112"/>
    </row>
    <row r="2165" spans="4:21" s="110" customFormat="1" ht="15.75" customHeight="1">
      <c r="D2165" s="113"/>
      <c r="E2165" s="60"/>
      <c r="F2165" s="60"/>
      <c r="G2165" s="60"/>
      <c r="H2165" s="60"/>
      <c r="I2165" s="60"/>
      <c r="J2165" s="114"/>
      <c r="K2165" s="60"/>
      <c r="L2165" s="109"/>
      <c r="M2165" s="109"/>
      <c r="N2165" s="109"/>
      <c r="O2165" s="109"/>
      <c r="P2165" s="109"/>
      <c r="Q2165" s="109"/>
      <c r="S2165" s="111"/>
      <c r="T2165" s="60"/>
      <c r="U2165" s="112"/>
    </row>
    <row r="2166" spans="4:21" s="110" customFormat="1" ht="15.75" customHeight="1">
      <c r="D2166" s="113"/>
      <c r="E2166" s="60"/>
      <c r="F2166" s="60"/>
      <c r="G2166" s="60"/>
      <c r="H2166" s="60"/>
      <c r="I2166" s="60"/>
      <c r="J2166" s="114"/>
      <c r="K2166" s="60"/>
      <c r="L2166" s="109"/>
      <c r="M2166" s="109"/>
      <c r="N2166" s="109"/>
      <c r="O2166" s="109"/>
      <c r="P2166" s="109"/>
      <c r="Q2166" s="109"/>
      <c r="S2166" s="111"/>
      <c r="T2166" s="60"/>
      <c r="U2166" s="112"/>
    </row>
    <row r="2167" spans="4:21" s="110" customFormat="1" ht="15.75" customHeight="1">
      <c r="D2167" s="113"/>
      <c r="E2167" s="60"/>
      <c r="F2167" s="60"/>
      <c r="G2167" s="60"/>
      <c r="H2167" s="60"/>
      <c r="I2167" s="60"/>
      <c r="J2167" s="114"/>
      <c r="K2167" s="60"/>
      <c r="L2167" s="109"/>
      <c r="M2167" s="109"/>
      <c r="N2167" s="109"/>
      <c r="O2167" s="109"/>
      <c r="P2167" s="109"/>
      <c r="Q2167" s="109"/>
      <c r="S2167" s="111"/>
      <c r="T2167" s="60"/>
      <c r="U2167" s="112"/>
    </row>
    <row r="2168" spans="4:21" s="110" customFormat="1" ht="15.75" customHeight="1">
      <c r="D2168" s="113"/>
      <c r="E2168" s="60"/>
      <c r="F2168" s="60"/>
      <c r="G2168" s="60"/>
      <c r="H2168" s="60"/>
      <c r="I2168" s="60"/>
      <c r="J2168" s="114"/>
      <c r="K2168" s="60"/>
      <c r="L2168" s="109"/>
      <c r="M2168" s="109"/>
      <c r="N2168" s="109"/>
      <c r="O2168" s="109"/>
      <c r="P2168" s="109"/>
      <c r="Q2168" s="109"/>
      <c r="S2168" s="111"/>
      <c r="T2168" s="60"/>
      <c r="U2168" s="112"/>
    </row>
    <row r="2169" spans="4:21" s="110" customFormat="1" ht="15.75" customHeight="1">
      <c r="D2169" s="113"/>
      <c r="E2169" s="60"/>
      <c r="F2169" s="60"/>
      <c r="G2169" s="60"/>
      <c r="H2169" s="60"/>
      <c r="I2169" s="60"/>
      <c r="J2169" s="114"/>
      <c r="K2169" s="60"/>
      <c r="L2169" s="109"/>
      <c r="M2169" s="109"/>
      <c r="N2169" s="109"/>
      <c r="O2169" s="109"/>
      <c r="P2169" s="109"/>
      <c r="Q2169" s="109"/>
      <c r="S2169" s="111"/>
      <c r="T2169" s="60"/>
      <c r="U2169" s="112"/>
    </row>
    <row r="2170" spans="4:21" s="110" customFormat="1" ht="15.75" customHeight="1">
      <c r="D2170" s="113"/>
      <c r="E2170" s="60"/>
      <c r="F2170" s="60"/>
      <c r="G2170" s="60"/>
      <c r="H2170" s="60"/>
      <c r="I2170" s="60"/>
      <c r="J2170" s="114"/>
      <c r="K2170" s="60"/>
      <c r="L2170" s="109"/>
      <c r="M2170" s="109"/>
      <c r="N2170" s="109"/>
      <c r="O2170" s="109"/>
      <c r="P2170" s="109"/>
      <c r="Q2170" s="109"/>
      <c r="S2170" s="111"/>
      <c r="T2170" s="60"/>
      <c r="U2170" s="112"/>
    </row>
    <row r="2171" spans="4:21" s="110" customFormat="1" ht="15.75" customHeight="1">
      <c r="D2171" s="113"/>
      <c r="E2171" s="60"/>
      <c r="F2171" s="60"/>
      <c r="G2171" s="60"/>
      <c r="H2171" s="60"/>
      <c r="I2171" s="60"/>
      <c r="J2171" s="114"/>
      <c r="K2171" s="60"/>
      <c r="L2171" s="109"/>
      <c r="M2171" s="109"/>
      <c r="N2171" s="109"/>
      <c r="O2171" s="109"/>
      <c r="P2171" s="109"/>
      <c r="Q2171" s="109"/>
      <c r="S2171" s="111"/>
      <c r="T2171" s="60"/>
      <c r="U2171" s="112"/>
    </row>
    <row r="2172" spans="4:21" s="110" customFormat="1" ht="15.75" customHeight="1">
      <c r="D2172" s="113"/>
      <c r="E2172" s="60"/>
      <c r="F2172" s="60"/>
      <c r="G2172" s="60"/>
      <c r="H2172" s="60"/>
      <c r="I2172" s="60"/>
      <c r="J2172" s="114"/>
      <c r="K2172" s="60"/>
      <c r="L2172" s="109"/>
      <c r="M2172" s="109"/>
      <c r="N2172" s="109"/>
      <c r="O2172" s="109"/>
      <c r="P2172" s="109"/>
      <c r="Q2172" s="109"/>
      <c r="S2172" s="111"/>
      <c r="T2172" s="60"/>
      <c r="U2172" s="112"/>
    </row>
    <row r="2173" spans="4:21" s="110" customFormat="1" ht="15.75" customHeight="1">
      <c r="D2173" s="113"/>
      <c r="E2173" s="60"/>
      <c r="F2173" s="60"/>
      <c r="G2173" s="60"/>
      <c r="H2173" s="60"/>
      <c r="I2173" s="60"/>
      <c r="J2173" s="114"/>
      <c r="K2173" s="60"/>
      <c r="L2173" s="109"/>
      <c r="M2173" s="109"/>
      <c r="N2173" s="109"/>
      <c r="O2173" s="109"/>
      <c r="P2173" s="109"/>
      <c r="Q2173" s="109"/>
      <c r="S2173" s="111"/>
      <c r="T2173" s="60"/>
      <c r="U2173" s="112"/>
    </row>
    <row r="2174" spans="4:21" s="110" customFormat="1" ht="15.75" customHeight="1">
      <c r="D2174" s="113"/>
      <c r="E2174" s="60"/>
      <c r="F2174" s="60"/>
      <c r="G2174" s="60"/>
      <c r="H2174" s="60"/>
      <c r="I2174" s="60"/>
      <c r="J2174" s="114"/>
      <c r="K2174" s="60"/>
      <c r="L2174" s="109"/>
      <c r="M2174" s="109"/>
      <c r="N2174" s="109"/>
      <c r="O2174" s="109"/>
      <c r="P2174" s="109"/>
      <c r="Q2174" s="109"/>
      <c r="S2174" s="111"/>
      <c r="T2174" s="60"/>
      <c r="U2174" s="112"/>
    </row>
    <row r="2175" spans="4:21" s="110" customFormat="1" ht="15.75" customHeight="1">
      <c r="D2175" s="113"/>
      <c r="E2175" s="60"/>
      <c r="F2175" s="60"/>
      <c r="G2175" s="60"/>
      <c r="H2175" s="60"/>
      <c r="I2175" s="60"/>
      <c r="J2175" s="114"/>
      <c r="K2175" s="60"/>
      <c r="L2175" s="109"/>
      <c r="M2175" s="109"/>
      <c r="N2175" s="109"/>
      <c r="O2175" s="109"/>
      <c r="P2175" s="109"/>
      <c r="Q2175" s="109"/>
      <c r="S2175" s="111"/>
      <c r="T2175" s="60"/>
      <c r="U2175" s="112"/>
    </row>
    <row r="2176" spans="4:21" s="110" customFormat="1" ht="15.75" customHeight="1">
      <c r="D2176" s="113"/>
      <c r="E2176" s="60"/>
      <c r="F2176" s="60"/>
      <c r="G2176" s="60"/>
      <c r="H2176" s="60"/>
      <c r="I2176" s="60"/>
      <c r="J2176" s="114"/>
      <c r="K2176" s="60"/>
      <c r="L2176" s="109"/>
      <c r="M2176" s="109"/>
      <c r="N2176" s="109"/>
      <c r="O2176" s="109"/>
      <c r="P2176" s="109"/>
      <c r="Q2176" s="109"/>
      <c r="S2176" s="111"/>
      <c r="T2176" s="60"/>
      <c r="U2176" s="112"/>
    </row>
    <row r="2177" spans="4:21" s="110" customFormat="1" ht="15.75" customHeight="1">
      <c r="D2177" s="113"/>
      <c r="E2177" s="60"/>
      <c r="F2177" s="60"/>
      <c r="G2177" s="60"/>
      <c r="H2177" s="60"/>
      <c r="I2177" s="60"/>
      <c r="J2177" s="114"/>
      <c r="K2177" s="60"/>
      <c r="L2177" s="109"/>
      <c r="M2177" s="109"/>
      <c r="N2177" s="109"/>
      <c r="O2177" s="109"/>
      <c r="P2177" s="109"/>
      <c r="Q2177" s="109"/>
      <c r="S2177" s="111"/>
      <c r="T2177" s="60"/>
      <c r="U2177" s="112"/>
    </row>
    <row r="2178" spans="4:21" s="110" customFormat="1" ht="15.75" customHeight="1">
      <c r="D2178" s="113"/>
      <c r="E2178" s="60"/>
      <c r="F2178" s="60"/>
      <c r="G2178" s="60"/>
      <c r="H2178" s="60"/>
      <c r="I2178" s="60"/>
      <c r="J2178" s="114"/>
      <c r="K2178" s="60"/>
      <c r="L2178" s="109"/>
      <c r="M2178" s="109"/>
      <c r="N2178" s="109"/>
      <c r="O2178" s="109"/>
      <c r="P2178" s="109"/>
      <c r="Q2178" s="109"/>
      <c r="S2178" s="111"/>
      <c r="T2178" s="60"/>
      <c r="U2178" s="112"/>
    </row>
    <row r="2179" spans="4:21" s="110" customFormat="1" ht="15.75" customHeight="1">
      <c r="D2179" s="113"/>
      <c r="E2179" s="60"/>
      <c r="F2179" s="60"/>
      <c r="G2179" s="60"/>
      <c r="H2179" s="60"/>
      <c r="I2179" s="60"/>
      <c r="J2179" s="114"/>
      <c r="K2179" s="60"/>
      <c r="L2179" s="109"/>
      <c r="M2179" s="109"/>
      <c r="N2179" s="109"/>
      <c r="O2179" s="109"/>
      <c r="P2179" s="109"/>
      <c r="Q2179" s="109"/>
      <c r="S2179" s="111"/>
      <c r="T2179" s="60"/>
      <c r="U2179" s="112"/>
    </row>
    <row r="2180" spans="4:21" s="110" customFormat="1" ht="15.75" customHeight="1">
      <c r="D2180" s="113"/>
      <c r="E2180" s="60"/>
      <c r="F2180" s="60"/>
      <c r="G2180" s="60"/>
      <c r="H2180" s="60"/>
      <c r="I2180" s="60"/>
      <c r="J2180" s="114"/>
      <c r="K2180" s="60"/>
      <c r="L2180" s="109"/>
      <c r="M2180" s="109"/>
      <c r="N2180" s="109"/>
      <c r="O2180" s="109"/>
      <c r="P2180" s="109"/>
      <c r="Q2180" s="109"/>
      <c r="S2180" s="111"/>
      <c r="T2180" s="60"/>
      <c r="U2180" s="112"/>
    </row>
    <row r="2181" spans="4:21" s="110" customFormat="1" ht="15.75" customHeight="1">
      <c r="D2181" s="113"/>
      <c r="E2181" s="60"/>
      <c r="F2181" s="60"/>
      <c r="G2181" s="60"/>
      <c r="H2181" s="60"/>
      <c r="I2181" s="60"/>
      <c r="J2181" s="114"/>
      <c r="K2181" s="60"/>
      <c r="L2181" s="109"/>
      <c r="M2181" s="109"/>
      <c r="N2181" s="109"/>
      <c r="O2181" s="109"/>
      <c r="P2181" s="109"/>
      <c r="Q2181" s="109"/>
      <c r="S2181" s="111"/>
      <c r="T2181" s="60"/>
      <c r="U2181" s="112"/>
    </row>
    <row r="2182" spans="4:21" s="110" customFormat="1" ht="15.75" customHeight="1">
      <c r="D2182" s="113"/>
      <c r="E2182" s="60"/>
      <c r="F2182" s="60"/>
      <c r="G2182" s="60"/>
      <c r="H2182" s="60"/>
      <c r="I2182" s="60"/>
      <c r="J2182" s="114"/>
      <c r="K2182" s="60"/>
      <c r="L2182" s="109"/>
      <c r="M2182" s="109"/>
      <c r="N2182" s="109"/>
      <c r="O2182" s="109"/>
      <c r="P2182" s="109"/>
      <c r="Q2182" s="109"/>
      <c r="S2182" s="111"/>
      <c r="T2182" s="60"/>
      <c r="U2182" s="112"/>
    </row>
    <row r="2183" spans="4:21" s="110" customFormat="1" ht="15.75" customHeight="1">
      <c r="D2183" s="113"/>
      <c r="E2183" s="60"/>
      <c r="F2183" s="60"/>
      <c r="G2183" s="60"/>
      <c r="H2183" s="60"/>
      <c r="I2183" s="60"/>
      <c r="J2183" s="114"/>
      <c r="K2183" s="60"/>
      <c r="L2183" s="109"/>
      <c r="M2183" s="109"/>
      <c r="N2183" s="109"/>
      <c r="O2183" s="109"/>
      <c r="P2183" s="109"/>
      <c r="Q2183" s="109"/>
      <c r="S2183" s="111"/>
      <c r="T2183" s="60"/>
      <c r="U2183" s="112"/>
    </row>
    <row r="2184" spans="4:21" s="110" customFormat="1" ht="15.75" customHeight="1">
      <c r="D2184" s="113"/>
      <c r="E2184" s="60"/>
      <c r="F2184" s="60"/>
      <c r="G2184" s="60"/>
      <c r="H2184" s="60"/>
      <c r="I2184" s="60"/>
      <c r="J2184" s="114"/>
      <c r="K2184" s="60"/>
      <c r="L2184" s="109"/>
      <c r="M2184" s="109"/>
      <c r="N2184" s="109"/>
      <c r="O2184" s="109"/>
      <c r="P2184" s="109"/>
      <c r="Q2184" s="109"/>
      <c r="S2184" s="111"/>
      <c r="T2184" s="60"/>
      <c r="U2184" s="112"/>
    </row>
    <row r="2185" spans="4:21" s="110" customFormat="1" ht="15.75" customHeight="1">
      <c r="D2185" s="113"/>
      <c r="E2185" s="60"/>
      <c r="F2185" s="60"/>
      <c r="G2185" s="60"/>
      <c r="H2185" s="60"/>
      <c r="I2185" s="60"/>
      <c r="J2185" s="114"/>
      <c r="K2185" s="60"/>
      <c r="L2185" s="109"/>
      <c r="M2185" s="109"/>
      <c r="N2185" s="109"/>
      <c r="O2185" s="109"/>
      <c r="P2185" s="109"/>
      <c r="Q2185" s="109"/>
      <c r="S2185" s="111"/>
      <c r="T2185" s="60"/>
      <c r="U2185" s="112"/>
    </row>
    <row r="2186" spans="4:21" s="110" customFormat="1" ht="15.75" customHeight="1">
      <c r="D2186" s="113"/>
      <c r="E2186" s="60"/>
      <c r="F2186" s="60"/>
      <c r="G2186" s="60"/>
      <c r="H2186" s="60"/>
      <c r="I2186" s="60"/>
      <c r="J2186" s="114"/>
      <c r="K2186" s="60"/>
      <c r="L2186" s="109"/>
      <c r="M2186" s="109"/>
      <c r="N2186" s="109"/>
      <c r="O2186" s="109"/>
      <c r="P2186" s="109"/>
      <c r="Q2186" s="109"/>
      <c r="S2186" s="111"/>
      <c r="T2186" s="60"/>
      <c r="U2186" s="112"/>
    </row>
    <row r="2187" spans="4:21" s="110" customFormat="1" ht="15.75" customHeight="1">
      <c r="D2187" s="113"/>
      <c r="E2187" s="60"/>
      <c r="F2187" s="60"/>
      <c r="G2187" s="60"/>
      <c r="H2187" s="60"/>
      <c r="I2187" s="60"/>
      <c r="J2187" s="114"/>
      <c r="K2187" s="60"/>
      <c r="L2187" s="109"/>
      <c r="M2187" s="109"/>
      <c r="N2187" s="109"/>
      <c r="O2187" s="109"/>
      <c r="P2187" s="109"/>
      <c r="Q2187" s="109"/>
      <c r="S2187" s="111"/>
      <c r="T2187" s="60"/>
      <c r="U2187" s="112"/>
    </row>
    <row r="2188" spans="4:21" s="110" customFormat="1" ht="15.75" customHeight="1">
      <c r="D2188" s="113"/>
      <c r="E2188" s="60"/>
      <c r="F2188" s="60"/>
      <c r="G2188" s="60"/>
      <c r="H2188" s="60"/>
      <c r="I2188" s="60"/>
      <c r="J2188" s="114"/>
      <c r="K2188" s="60"/>
      <c r="L2188" s="109"/>
      <c r="M2188" s="109"/>
      <c r="N2188" s="109"/>
      <c r="O2188" s="109"/>
      <c r="P2188" s="109"/>
      <c r="Q2188" s="109"/>
      <c r="S2188" s="111"/>
      <c r="T2188" s="60"/>
      <c r="U2188" s="112"/>
    </row>
    <row r="2189" spans="4:21" s="110" customFormat="1" ht="15.75" customHeight="1">
      <c r="D2189" s="113"/>
      <c r="E2189" s="60"/>
      <c r="F2189" s="60"/>
      <c r="G2189" s="60"/>
      <c r="H2189" s="60"/>
      <c r="I2189" s="60"/>
      <c r="J2189" s="114"/>
      <c r="K2189" s="60"/>
      <c r="L2189" s="109"/>
      <c r="M2189" s="109"/>
      <c r="N2189" s="109"/>
      <c r="O2189" s="109"/>
      <c r="P2189" s="109"/>
      <c r="Q2189" s="109"/>
      <c r="S2189" s="111"/>
      <c r="T2189" s="60"/>
      <c r="U2189" s="112"/>
    </row>
    <row r="2190" spans="4:21" s="110" customFormat="1" ht="15.75" customHeight="1">
      <c r="D2190" s="113"/>
      <c r="E2190" s="60"/>
      <c r="F2190" s="60"/>
      <c r="G2190" s="60"/>
      <c r="H2190" s="60"/>
      <c r="I2190" s="60"/>
      <c r="J2190" s="114"/>
      <c r="K2190" s="60"/>
      <c r="L2190" s="109"/>
      <c r="M2190" s="109"/>
      <c r="N2190" s="109"/>
      <c r="O2190" s="109"/>
      <c r="P2190" s="109"/>
      <c r="Q2190" s="109"/>
      <c r="S2190" s="111"/>
      <c r="T2190" s="60"/>
      <c r="U2190" s="112"/>
    </row>
    <row r="2191" spans="4:21" s="110" customFormat="1" ht="15.75" customHeight="1">
      <c r="D2191" s="113"/>
      <c r="E2191" s="60"/>
      <c r="F2191" s="60"/>
      <c r="G2191" s="60"/>
      <c r="H2191" s="60"/>
      <c r="I2191" s="60"/>
      <c r="J2191" s="114"/>
      <c r="K2191" s="60"/>
      <c r="L2191" s="109"/>
      <c r="M2191" s="109"/>
      <c r="N2191" s="109"/>
      <c r="O2191" s="109"/>
      <c r="P2191" s="109"/>
      <c r="Q2191" s="109"/>
      <c r="S2191" s="111"/>
      <c r="T2191" s="60"/>
      <c r="U2191" s="112"/>
    </row>
    <row r="2192" spans="4:21" s="110" customFormat="1" ht="15.75" customHeight="1">
      <c r="D2192" s="113"/>
      <c r="E2192" s="60"/>
      <c r="F2192" s="60"/>
      <c r="G2192" s="60"/>
      <c r="H2192" s="60"/>
      <c r="I2192" s="60"/>
      <c r="J2192" s="114"/>
      <c r="K2192" s="60"/>
      <c r="L2192" s="109"/>
      <c r="M2192" s="109"/>
      <c r="N2192" s="109"/>
      <c r="O2192" s="109"/>
      <c r="P2192" s="109"/>
      <c r="Q2192" s="109"/>
      <c r="S2192" s="111"/>
      <c r="T2192" s="60"/>
      <c r="U2192" s="112"/>
    </row>
    <row r="2193" spans="4:21" s="110" customFormat="1" ht="15.75" customHeight="1">
      <c r="D2193" s="113"/>
      <c r="E2193" s="60"/>
      <c r="F2193" s="60"/>
      <c r="G2193" s="60"/>
      <c r="H2193" s="60"/>
      <c r="I2193" s="60"/>
      <c r="J2193" s="114"/>
      <c r="K2193" s="60"/>
      <c r="L2193" s="109"/>
      <c r="M2193" s="109"/>
      <c r="N2193" s="109"/>
      <c r="O2193" s="109"/>
      <c r="P2193" s="109"/>
      <c r="Q2193" s="109"/>
      <c r="S2193" s="111"/>
      <c r="T2193" s="60"/>
      <c r="U2193" s="112"/>
    </row>
    <row r="2194" spans="4:21" s="110" customFormat="1" ht="15.75" customHeight="1">
      <c r="D2194" s="113"/>
      <c r="E2194" s="60"/>
      <c r="F2194" s="60"/>
      <c r="G2194" s="60"/>
      <c r="H2194" s="60"/>
      <c r="I2194" s="60"/>
      <c r="J2194" s="114"/>
      <c r="K2194" s="60"/>
      <c r="L2194" s="109"/>
      <c r="M2194" s="109"/>
      <c r="N2194" s="109"/>
      <c r="O2194" s="109"/>
      <c r="P2194" s="109"/>
      <c r="Q2194" s="109"/>
      <c r="S2194" s="111"/>
      <c r="T2194" s="60"/>
      <c r="U2194" s="112"/>
    </row>
    <row r="2195" spans="4:21" s="110" customFormat="1" ht="15.75" customHeight="1">
      <c r="D2195" s="113"/>
      <c r="E2195" s="60"/>
      <c r="F2195" s="60"/>
      <c r="G2195" s="60"/>
      <c r="H2195" s="60"/>
      <c r="I2195" s="60"/>
      <c r="J2195" s="114"/>
      <c r="K2195" s="60"/>
      <c r="L2195" s="109"/>
      <c r="M2195" s="109"/>
      <c r="N2195" s="109"/>
      <c r="O2195" s="109"/>
      <c r="P2195" s="109"/>
      <c r="Q2195" s="109"/>
      <c r="S2195" s="111"/>
      <c r="T2195" s="60"/>
      <c r="U2195" s="112"/>
    </row>
    <row r="2196" spans="4:21" s="110" customFormat="1" ht="15.75" customHeight="1">
      <c r="D2196" s="113"/>
      <c r="E2196" s="60"/>
      <c r="F2196" s="60"/>
      <c r="G2196" s="60"/>
      <c r="H2196" s="60"/>
      <c r="I2196" s="60"/>
      <c r="J2196" s="114"/>
      <c r="K2196" s="60"/>
      <c r="L2196" s="109"/>
      <c r="M2196" s="109"/>
      <c r="N2196" s="109"/>
      <c r="O2196" s="109"/>
      <c r="P2196" s="109"/>
      <c r="Q2196" s="109"/>
      <c r="S2196" s="111"/>
      <c r="T2196" s="60"/>
      <c r="U2196" s="112"/>
    </row>
    <row r="2197" spans="4:21" s="110" customFormat="1" ht="15.75" customHeight="1">
      <c r="D2197" s="113"/>
      <c r="E2197" s="60"/>
      <c r="F2197" s="60"/>
      <c r="G2197" s="60"/>
      <c r="H2197" s="60"/>
      <c r="I2197" s="60"/>
      <c r="J2197" s="114"/>
      <c r="K2197" s="60"/>
      <c r="L2197" s="109"/>
      <c r="M2197" s="109"/>
      <c r="N2197" s="109"/>
      <c r="O2197" s="109"/>
      <c r="P2197" s="109"/>
      <c r="Q2197" s="109"/>
      <c r="S2197" s="111"/>
      <c r="T2197" s="60"/>
      <c r="U2197" s="112"/>
    </row>
    <row r="2198" spans="4:21" s="110" customFormat="1" ht="15.75" customHeight="1">
      <c r="D2198" s="113"/>
      <c r="E2198" s="60"/>
      <c r="F2198" s="60"/>
      <c r="G2198" s="60"/>
      <c r="H2198" s="60"/>
      <c r="I2198" s="60"/>
      <c r="J2198" s="114"/>
      <c r="K2198" s="60"/>
      <c r="L2198" s="109"/>
      <c r="M2198" s="109"/>
      <c r="N2198" s="109"/>
      <c r="O2198" s="109"/>
      <c r="P2198" s="109"/>
      <c r="Q2198" s="109"/>
      <c r="S2198" s="111"/>
      <c r="T2198" s="60"/>
      <c r="U2198" s="112"/>
    </row>
    <row r="2199" spans="4:21" s="110" customFormat="1" ht="15.75" customHeight="1">
      <c r="D2199" s="113"/>
      <c r="E2199" s="60"/>
      <c r="F2199" s="60"/>
      <c r="G2199" s="60"/>
      <c r="H2199" s="60"/>
      <c r="I2199" s="60"/>
      <c r="J2199" s="114"/>
      <c r="K2199" s="60"/>
      <c r="L2199" s="109"/>
      <c r="M2199" s="109"/>
      <c r="N2199" s="109"/>
      <c r="O2199" s="109"/>
      <c r="P2199" s="109"/>
      <c r="Q2199" s="109"/>
      <c r="S2199" s="111"/>
      <c r="T2199" s="60"/>
      <c r="U2199" s="112"/>
    </row>
    <row r="2200" spans="4:21" s="110" customFormat="1" ht="15.75" customHeight="1">
      <c r="D2200" s="113"/>
      <c r="E2200" s="60"/>
      <c r="F2200" s="60"/>
      <c r="G2200" s="60"/>
      <c r="H2200" s="60"/>
      <c r="I2200" s="60"/>
      <c r="J2200" s="114"/>
      <c r="K2200" s="60"/>
      <c r="L2200" s="109"/>
      <c r="M2200" s="109"/>
      <c r="N2200" s="109"/>
      <c r="O2200" s="109"/>
      <c r="P2200" s="109"/>
      <c r="Q2200" s="109"/>
      <c r="S2200" s="111"/>
      <c r="T2200" s="60"/>
      <c r="U2200" s="112"/>
    </row>
    <row r="2201" spans="4:21" s="110" customFormat="1" ht="15.75" customHeight="1">
      <c r="D2201" s="113"/>
      <c r="E2201" s="60"/>
      <c r="F2201" s="60"/>
      <c r="G2201" s="60"/>
      <c r="H2201" s="60"/>
      <c r="I2201" s="60"/>
      <c r="J2201" s="114"/>
      <c r="K2201" s="60"/>
      <c r="L2201" s="109"/>
      <c r="M2201" s="109"/>
      <c r="N2201" s="109"/>
      <c r="O2201" s="109"/>
      <c r="P2201" s="109"/>
      <c r="Q2201" s="109"/>
      <c r="S2201" s="111"/>
      <c r="T2201" s="60"/>
      <c r="U2201" s="112"/>
    </row>
    <row r="2202" spans="4:21" s="110" customFormat="1" ht="15.75" customHeight="1">
      <c r="D2202" s="113"/>
      <c r="E2202" s="60"/>
      <c r="F2202" s="60"/>
      <c r="G2202" s="60"/>
      <c r="H2202" s="60"/>
      <c r="I2202" s="60"/>
      <c r="J2202" s="114"/>
      <c r="K2202" s="60"/>
      <c r="L2202" s="109"/>
      <c r="M2202" s="109"/>
      <c r="N2202" s="109"/>
      <c r="O2202" s="109"/>
      <c r="P2202" s="109"/>
      <c r="Q2202" s="109"/>
      <c r="S2202" s="111"/>
      <c r="T2202" s="60"/>
      <c r="U2202" s="112"/>
    </row>
    <row r="2203" spans="4:21" s="110" customFormat="1" ht="15.75" customHeight="1">
      <c r="D2203" s="113"/>
      <c r="E2203" s="60"/>
      <c r="F2203" s="60"/>
      <c r="G2203" s="60"/>
      <c r="H2203" s="60"/>
      <c r="I2203" s="60"/>
      <c r="J2203" s="114"/>
      <c r="K2203" s="60"/>
      <c r="L2203" s="109"/>
      <c r="M2203" s="109"/>
      <c r="N2203" s="109"/>
      <c r="O2203" s="109"/>
      <c r="P2203" s="109"/>
      <c r="Q2203" s="109"/>
      <c r="S2203" s="111"/>
      <c r="T2203" s="60"/>
      <c r="U2203" s="112"/>
    </row>
    <row r="2204" spans="4:21" s="110" customFormat="1" ht="15.75" customHeight="1">
      <c r="D2204" s="113"/>
      <c r="E2204" s="60"/>
      <c r="F2204" s="60"/>
      <c r="G2204" s="60"/>
      <c r="H2204" s="60"/>
      <c r="I2204" s="60"/>
      <c r="J2204" s="114"/>
      <c r="K2204" s="60"/>
      <c r="L2204" s="109"/>
      <c r="M2204" s="109"/>
      <c r="N2204" s="109"/>
      <c r="O2204" s="109"/>
      <c r="P2204" s="109"/>
      <c r="Q2204" s="109"/>
      <c r="S2204" s="111"/>
      <c r="T2204" s="60"/>
      <c r="U2204" s="112"/>
    </row>
    <row r="2205" spans="4:21" s="110" customFormat="1" ht="15.75" customHeight="1">
      <c r="D2205" s="113"/>
      <c r="E2205" s="60"/>
      <c r="F2205" s="60"/>
      <c r="G2205" s="60"/>
      <c r="H2205" s="60"/>
      <c r="I2205" s="60"/>
      <c r="J2205" s="114"/>
      <c r="K2205" s="60"/>
      <c r="L2205" s="109"/>
      <c r="M2205" s="109"/>
      <c r="N2205" s="109"/>
      <c r="O2205" s="109"/>
      <c r="P2205" s="109"/>
      <c r="Q2205" s="109"/>
      <c r="S2205" s="111"/>
      <c r="T2205" s="60"/>
      <c r="U2205" s="112"/>
    </row>
    <row r="2206" spans="4:21" s="110" customFormat="1" ht="15.75" customHeight="1">
      <c r="D2206" s="113"/>
      <c r="E2206" s="60"/>
      <c r="F2206" s="60"/>
      <c r="G2206" s="60"/>
      <c r="H2206" s="60"/>
      <c r="I2206" s="60"/>
      <c r="J2206" s="114"/>
      <c r="K2206" s="60"/>
      <c r="L2206" s="109"/>
      <c r="M2206" s="109"/>
      <c r="N2206" s="109"/>
      <c r="O2206" s="109"/>
      <c r="P2206" s="109"/>
      <c r="Q2206" s="109"/>
      <c r="S2206" s="111"/>
      <c r="T2206" s="60"/>
      <c r="U2206" s="112"/>
    </row>
    <row r="2207" spans="4:21" s="110" customFormat="1" ht="15.75" customHeight="1">
      <c r="D2207" s="113"/>
      <c r="E2207" s="60"/>
      <c r="F2207" s="60"/>
      <c r="G2207" s="60"/>
      <c r="H2207" s="60"/>
      <c r="I2207" s="60"/>
      <c r="J2207" s="114"/>
      <c r="K2207" s="60"/>
      <c r="L2207" s="109"/>
      <c r="M2207" s="109"/>
      <c r="N2207" s="109"/>
      <c r="O2207" s="109"/>
      <c r="P2207" s="109"/>
      <c r="Q2207" s="109"/>
      <c r="S2207" s="111"/>
      <c r="T2207" s="60"/>
      <c r="U2207" s="112"/>
    </row>
    <row r="2208" spans="4:21" s="110" customFormat="1" ht="15.75" customHeight="1">
      <c r="D2208" s="113"/>
      <c r="E2208" s="60"/>
      <c r="F2208" s="60"/>
      <c r="G2208" s="60"/>
      <c r="H2208" s="60"/>
      <c r="I2208" s="60"/>
      <c r="J2208" s="114"/>
      <c r="K2208" s="60"/>
      <c r="L2208" s="109"/>
      <c r="M2208" s="109"/>
      <c r="N2208" s="109"/>
      <c r="O2208" s="109"/>
      <c r="P2208" s="109"/>
      <c r="Q2208" s="109"/>
      <c r="S2208" s="111"/>
      <c r="T2208" s="60"/>
      <c r="U2208" s="112"/>
    </row>
    <row r="2209" spans="4:21" s="110" customFormat="1" ht="15.75" customHeight="1">
      <c r="D2209" s="113"/>
      <c r="E2209" s="60"/>
      <c r="F2209" s="60"/>
      <c r="G2209" s="60"/>
      <c r="H2209" s="60"/>
      <c r="I2209" s="60"/>
      <c r="J2209" s="114"/>
      <c r="K2209" s="60"/>
      <c r="L2209" s="109"/>
      <c r="M2209" s="109"/>
      <c r="N2209" s="109"/>
      <c r="O2209" s="109"/>
      <c r="P2209" s="109"/>
      <c r="Q2209" s="109"/>
      <c r="S2209" s="111"/>
      <c r="T2209" s="60"/>
      <c r="U2209" s="112"/>
    </row>
    <row r="2210" spans="4:21" s="110" customFormat="1" ht="15.75" customHeight="1">
      <c r="D2210" s="113"/>
      <c r="E2210" s="60"/>
      <c r="F2210" s="60"/>
      <c r="G2210" s="60"/>
      <c r="H2210" s="60"/>
      <c r="I2210" s="60"/>
      <c r="J2210" s="114"/>
      <c r="K2210" s="60"/>
      <c r="L2210" s="109"/>
      <c r="M2210" s="109"/>
      <c r="N2210" s="109"/>
      <c r="O2210" s="109"/>
      <c r="P2210" s="109"/>
      <c r="Q2210" s="109"/>
      <c r="S2210" s="111"/>
      <c r="T2210" s="60"/>
      <c r="U2210" s="112"/>
    </row>
    <row r="2211" spans="4:21" s="110" customFormat="1" ht="15.75" customHeight="1">
      <c r="D2211" s="113"/>
      <c r="E2211" s="60"/>
      <c r="F2211" s="60"/>
      <c r="G2211" s="60"/>
      <c r="H2211" s="60"/>
      <c r="I2211" s="60"/>
      <c r="J2211" s="114"/>
      <c r="K2211" s="60"/>
      <c r="L2211" s="109"/>
      <c r="M2211" s="109"/>
      <c r="N2211" s="109"/>
      <c r="O2211" s="109"/>
      <c r="P2211" s="109"/>
      <c r="Q2211" s="109"/>
      <c r="S2211" s="111"/>
      <c r="T2211" s="60"/>
      <c r="U2211" s="112"/>
    </row>
    <row r="2212" spans="4:21" s="110" customFormat="1" ht="15.75" customHeight="1">
      <c r="D2212" s="113"/>
      <c r="E2212" s="60"/>
      <c r="F2212" s="60"/>
      <c r="G2212" s="60"/>
      <c r="H2212" s="60"/>
      <c r="I2212" s="60"/>
      <c r="J2212" s="114"/>
      <c r="K2212" s="60"/>
      <c r="L2212" s="109"/>
      <c r="M2212" s="109"/>
      <c r="N2212" s="109"/>
      <c r="O2212" s="109"/>
      <c r="P2212" s="109"/>
      <c r="Q2212" s="109"/>
      <c r="S2212" s="111"/>
      <c r="T2212" s="60"/>
      <c r="U2212" s="112"/>
    </row>
    <row r="2213" spans="4:21" s="110" customFormat="1" ht="15.75" customHeight="1">
      <c r="D2213" s="113"/>
      <c r="E2213" s="60"/>
      <c r="F2213" s="60"/>
      <c r="G2213" s="60"/>
      <c r="H2213" s="60"/>
      <c r="I2213" s="60"/>
      <c r="J2213" s="114"/>
      <c r="K2213" s="60"/>
      <c r="L2213" s="109"/>
      <c r="M2213" s="109"/>
      <c r="N2213" s="109"/>
      <c r="O2213" s="109"/>
      <c r="P2213" s="109"/>
      <c r="Q2213" s="109"/>
      <c r="S2213" s="111"/>
      <c r="T2213" s="60"/>
      <c r="U2213" s="112"/>
    </row>
    <row r="2214" spans="4:21" s="110" customFormat="1" ht="15.75" customHeight="1">
      <c r="D2214" s="113"/>
      <c r="E2214" s="60"/>
      <c r="F2214" s="60"/>
      <c r="G2214" s="60"/>
      <c r="H2214" s="60"/>
      <c r="I2214" s="60"/>
      <c r="J2214" s="114"/>
      <c r="K2214" s="60"/>
      <c r="L2214" s="109"/>
      <c r="M2214" s="109"/>
      <c r="N2214" s="109"/>
      <c r="O2214" s="109"/>
      <c r="P2214" s="109"/>
      <c r="Q2214" s="109"/>
      <c r="S2214" s="111"/>
      <c r="T2214" s="60"/>
      <c r="U2214" s="112"/>
    </row>
    <row r="2215" spans="4:21" s="110" customFormat="1" ht="15.75" customHeight="1">
      <c r="D2215" s="113"/>
      <c r="E2215" s="60"/>
      <c r="F2215" s="60"/>
      <c r="G2215" s="60"/>
      <c r="H2215" s="60"/>
      <c r="I2215" s="60"/>
      <c r="J2215" s="114"/>
      <c r="K2215" s="60"/>
      <c r="L2215" s="109"/>
      <c r="M2215" s="109"/>
      <c r="N2215" s="109"/>
      <c r="O2215" s="109"/>
      <c r="P2215" s="109"/>
      <c r="Q2215" s="109"/>
      <c r="S2215" s="111"/>
      <c r="T2215" s="60"/>
      <c r="U2215" s="112"/>
    </row>
    <row r="2216" spans="4:21" s="110" customFormat="1" ht="15.75" customHeight="1">
      <c r="D2216" s="113"/>
      <c r="E2216" s="60"/>
      <c r="F2216" s="60"/>
      <c r="G2216" s="60"/>
      <c r="H2216" s="60"/>
      <c r="I2216" s="60"/>
      <c r="J2216" s="114"/>
      <c r="K2216" s="60"/>
      <c r="L2216" s="109"/>
      <c r="M2216" s="109"/>
      <c r="N2216" s="109"/>
      <c r="O2216" s="109"/>
      <c r="P2216" s="109"/>
      <c r="Q2216" s="109"/>
      <c r="S2216" s="111"/>
      <c r="T2216" s="60"/>
      <c r="U2216" s="112"/>
    </row>
    <row r="2217" spans="4:21" s="110" customFormat="1" ht="15.75" customHeight="1">
      <c r="D2217" s="113"/>
      <c r="E2217" s="60"/>
      <c r="F2217" s="60"/>
      <c r="G2217" s="60"/>
      <c r="H2217" s="60"/>
      <c r="I2217" s="60"/>
      <c r="J2217" s="114"/>
      <c r="K2217" s="60"/>
      <c r="L2217" s="109"/>
      <c r="M2217" s="109"/>
      <c r="N2217" s="109"/>
      <c r="O2217" s="109"/>
      <c r="P2217" s="109"/>
      <c r="Q2217" s="109"/>
      <c r="S2217" s="111"/>
      <c r="T2217" s="60"/>
      <c r="U2217" s="112"/>
    </row>
    <row r="2218" spans="4:21" s="110" customFormat="1" ht="15.75" customHeight="1">
      <c r="D2218" s="113"/>
      <c r="E2218" s="60"/>
      <c r="F2218" s="60"/>
      <c r="G2218" s="60"/>
      <c r="H2218" s="60"/>
      <c r="I2218" s="60"/>
      <c r="J2218" s="114"/>
      <c r="K2218" s="60"/>
      <c r="L2218" s="109"/>
      <c r="M2218" s="109"/>
      <c r="N2218" s="109"/>
      <c r="O2218" s="109"/>
      <c r="P2218" s="109"/>
      <c r="Q2218" s="109"/>
      <c r="S2218" s="111"/>
      <c r="T2218" s="60"/>
      <c r="U2218" s="112"/>
    </row>
    <row r="2219" spans="4:21" s="110" customFormat="1" ht="15.75" customHeight="1">
      <c r="D2219" s="113"/>
      <c r="E2219" s="60"/>
      <c r="F2219" s="60"/>
      <c r="G2219" s="60"/>
      <c r="H2219" s="60"/>
      <c r="I2219" s="60"/>
      <c r="J2219" s="114"/>
      <c r="K2219" s="60"/>
      <c r="L2219" s="109"/>
      <c r="M2219" s="109"/>
      <c r="N2219" s="109"/>
      <c r="O2219" s="109"/>
      <c r="P2219" s="109"/>
      <c r="Q2219" s="109"/>
      <c r="S2219" s="111"/>
      <c r="T2219" s="60"/>
      <c r="U2219" s="112"/>
    </row>
    <row r="2220" spans="4:21" s="110" customFormat="1" ht="15.75" customHeight="1">
      <c r="D2220" s="113"/>
      <c r="E2220" s="60"/>
      <c r="F2220" s="60"/>
      <c r="G2220" s="60"/>
      <c r="H2220" s="60"/>
      <c r="I2220" s="60"/>
      <c r="J2220" s="114"/>
      <c r="K2220" s="60"/>
      <c r="L2220" s="109"/>
      <c r="M2220" s="109"/>
      <c r="N2220" s="109"/>
      <c r="O2220" s="109"/>
      <c r="P2220" s="109"/>
      <c r="Q2220" s="109"/>
      <c r="S2220" s="111"/>
      <c r="T2220" s="60"/>
      <c r="U2220" s="112"/>
    </row>
    <row r="2221" spans="4:21" s="110" customFormat="1" ht="15.75" customHeight="1">
      <c r="D2221" s="113"/>
      <c r="E2221" s="60"/>
      <c r="F2221" s="60"/>
      <c r="G2221" s="60"/>
      <c r="H2221" s="60"/>
      <c r="I2221" s="60"/>
      <c r="J2221" s="114"/>
      <c r="K2221" s="60"/>
      <c r="L2221" s="109"/>
      <c r="M2221" s="109"/>
      <c r="N2221" s="109"/>
      <c r="O2221" s="109"/>
      <c r="P2221" s="109"/>
      <c r="Q2221" s="109"/>
      <c r="S2221" s="111"/>
      <c r="T2221" s="60"/>
      <c r="U2221" s="112"/>
    </row>
    <row r="2222" spans="4:21" s="110" customFormat="1" ht="15.75" customHeight="1">
      <c r="D2222" s="113"/>
      <c r="E2222" s="60"/>
      <c r="F2222" s="60"/>
      <c r="G2222" s="60"/>
      <c r="H2222" s="60"/>
      <c r="I2222" s="60"/>
      <c r="J2222" s="114"/>
      <c r="K2222" s="60"/>
      <c r="L2222" s="109"/>
      <c r="M2222" s="109"/>
      <c r="N2222" s="109"/>
      <c r="O2222" s="109"/>
      <c r="P2222" s="109"/>
      <c r="Q2222" s="109"/>
      <c r="S2222" s="111"/>
      <c r="T2222" s="60"/>
      <c r="U2222" s="112"/>
    </row>
    <row r="2223" spans="4:21" s="110" customFormat="1" ht="15.75" customHeight="1">
      <c r="D2223" s="113"/>
      <c r="E2223" s="60"/>
      <c r="F2223" s="60"/>
      <c r="G2223" s="60"/>
      <c r="H2223" s="60"/>
      <c r="I2223" s="60"/>
      <c r="J2223" s="114"/>
      <c r="K2223" s="60"/>
      <c r="L2223" s="109"/>
      <c r="M2223" s="109"/>
      <c r="N2223" s="109"/>
      <c r="O2223" s="109"/>
      <c r="P2223" s="109"/>
      <c r="Q2223" s="109"/>
      <c r="S2223" s="111"/>
      <c r="T2223" s="60"/>
      <c r="U2223" s="112"/>
    </row>
    <row r="2224" spans="4:21" s="110" customFormat="1" ht="15.75" customHeight="1">
      <c r="D2224" s="113"/>
      <c r="E2224" s="60"/>
      <c r="F2224" s="60"/>
      <c r="G2224" s="60"/>
      <c r="H2224" s="60"/>
      <c r="I2224" s="60"/>
      <c r="J2224" s="114"/>
      <c r="K2224" s="60"/>
      <c r="L2224" s="109"/>
      <c r="M2224" s="109"/>
      <c r="N2224" s="109"/>
      <c r="O2224" s="109"/>
      <c r="P2224" s="109"/>
      <c r="Q2224" s="109"/>
      <c r="S2224" s="111"/>
      <c r="T2224" s="60"/>
      <c r="U2224" s="112"/>
    </row>
    <row r="2225" spans="4:21" s="110" customFormat="1" ht="15.75" customHeight="1">
      <c r="D2225" s="113"/>
      <c r="E2225" s="60"/>
      <c r="F2225" s="60"/>
      <c r="G2225" s="60"/>
      <c r="H2225" s="60"/>
      <c r="I2225" s="60"/>
      <c r="J2225" s="114"/>
      <c r="K2225" s="60"/>
      <c r="L2225" s="109"/>
      <c r="M2225" s="109"/>
      <c r="N2225" s="109"/>
      <c r="O2225" s="109"/>
      <c r="P2225" s="109"/>
      <c r="Q2225" s="109"/>
      <c r="S2225" s="111"/>
      <c r="T2225" s="60"/>
      <c r="U2225" s="112"/>
    </row>
    <row r="2226" spans="4:21" s="110" customFormat="1" ht="15.75" customHeight="1">
      <c r="D2226" s="113"/>
      <c r="E2226" s="60"/>
      <c r="F2226" s="60"/>
      <c r="G2226" s="60"/>
      <c r="H2226" s="60"/>
      <c r="I2226" s="60"/>
      <c r="J2226" s="114"/>
      <c r="K2226" s="60"/>
      <c r="L2226" s="109"/>
      <c r="M2226" s="109"/>
      <c r="N2226" s="109"/>
      <c r="O2226" s="109"/>
      <c r="P2226" s="109"/>
      <c r="Q2226" s="109"/>
      <c r="S2226" s="111"/>
      <c r="T2226" s="60"/>
      <c r="U2226" s="112"/>
    </row>
    <row r="2227" spans="4:21" s="110" customFormat="1" ht="15.75" customHeight="1">
      <c r="D2227" s="113"/>
      <c r="E2227" s="60"/>
      <c r="F2227" s="60"/>
      <c r="G2227" s="60"/>
      <c r="H2227" s="60"/>
      <c r="I2227" s="60"/>
      <c r="J2227" s="114"/>
      <c r="K2227" s="60"/>
      <c r="L2227" s="109"/>
      <c r="M2227" s="109"/>
      <c r="N2227" s="109"/>
      <c r="O2227" s="109"/>
      <c r="P2227" s="109"/>
      <c r="Q2227" s="109"/>
      <c r="S2227" s="111"/>
      <c r="T2227" s="60"/>
      <c r="U2227" s="112"/>
    </row>
    <row r="2228" spans="4:21" s="110" customFormat="1" ht="15.75" customHeight="1">
      <c r="D2228" s="113"/>
      <c r="E2228" s="60"/>
      <c r="F2228" s="60"/>
      <c r="G2228" s="60"/>
      <c r="H2228" s="60"/>
      <c r="I2228" s="60"/>
      <c r="J2228" s="114"/>
      <c r="K2228" s="60"/>
      <c r="L2228" s="109"/>
      <c r="M2228" s="109"/>
      <c r="N2228" s="109"/>
      <c r="O2228" s="109"/>
      <c r="P2228" s="109"/>
      <c r="Q2228" s="109"/>
      <c r="S2228" s="111"/>
      <c r="T2228" s="60"/>
      <c r="U2228" s="112"/>
    </row>
    <row r="2229" spans="4:21" s="110" customFormat="1" ht="15.75" customHeight="1">
      <c r="D2229" s="113"/>
      <c r="E2229" s="60"/>
      <c r="F2229" s="60"/>
      <c r="G2229" s="60"/>
      <c r="H2229" s="60"/>
      <c r="I2229" s="60"/>
      <c r="J2229" s="114"/>
      <c r="K2229" s="60"/>
      <c r="L2229" s="109"/>
      <c r="M2229" s="109"/>
      <c r="N2229" s="109"/>
      <c r="O2229" s="109"/>
      <c r="P2229" s="109"/>
      <c r="Q2229" s="109"/>
      <c r="S2229" s="111"/>
      <c r="T2229" s="60"/>
      <c r="U2229" s="112"/>
    </row>
    <row r="2230" spans="4:21" s="110" customFormat="1" ht="15.75" customHeight="1">
      <c r="D2230" s="113"/>
      <c r="E2230" s="60"/>
      <c r="F2230" s="60"/>
      <c r="G2230" s="60"/>
      <c r="H2230" s="60"/>
      <c r="I2230" s="60"/>
      <c r="J2230" s="114"/>
      <c r="K2230" s="60"/>
      <c r="L2230" s="109"/>
      <c r="M2230" s="109"/>
      <c r="N2230" s="109"/>
      <c r="O2230" s="109"/>
      <c r="P2230" s="109"/>
      <c r="Q2230" s="109"/>
      <c r="S2230" s="111"/>
      <c r="T2230" s="60"/>
      <c r="U2230" s="112"/>
    </row>
    <row r="2231" spans="4:21" s="110" customFormat="1" ht="15.75" customHeight="1">
      <c r="D2231" s="113"/>
      <c r="E2231" s="60"/>
      <c r="F2231" s="60"/>
      <c r="G2231" s="60"/>
      <c r="H2231" s="60"/>
      <c r="I2231" s="60"/>
      <c r="J2231" s="114"/>
      <c r="K2231" s="60"/>
      <c r="L2231" s="109"/>
      <c r="M2231" s="109"/>
      <c r="N2231" s="109"/>
      <c r="O2231" s="109"/>
      <c r="P2231" s="109"/>
      <c r="Q2231" s="109"/>
      <c r="S2231" s="111"/>
      <c r="T2231" s="60"/>
      <c r="U2231" s="112"/>
    </row>
    <row r="2232" spans="4:21" s="110" customFormat="1" ht="15.75" customHeight="1">
      <c r="D2232" s="113"/>
      <c r="E2232" s="60"/>
      <c r="F2232" s="60"/>
      <c r="G2232" s="60"/>
      <c r="H2232" s="60"/>
      <c r="I2232" s="60"/>
      <c r="J2232" s="114"/>
      <c r="K2232" s="60"/>
      <c r="L2232" s="109"/>
      <c r="M2232" s="109"/>
      <c r="N2232" s="109"/>
      <c r="O2232" s="109"/>
      <c r="P2232" s="109"/>
      <c r="Q2232" s="109"/>
      <c r="S2232" s="111"/>
      <c r="T2232" s="60"/>
      <c r="U2232" s="112"/>
    </row>
    <row r="2233" spans="4:21" s="110" customFormat="1" ht="15.75" customHeight="1">
      <c r="D2233" s="113"/>
      <c r="E2233" s="60"/>
      <c r="F2233" s="60"/>
      <c r="G2233" s="60"/>
      <c r="H2233" s="60"/>
      <c r="I2233" s="60"/>
      <c r="J2233" s="114"/>
      <c r="K2233" s="60"/>
      <c r="L2233" s="109"/>
      <c r="M2233" s="109"/>
      <c r="N2233" s="109"/>
      <c r="O2233" s="109"/>
      <c r="P2233" s="109"/>
      <c r="Q2233" s="109"/>
      <c r="S2233" s="111"/>
      <c r="T2233" s="60"/>
      <c r="U2233" s="112"/>
    </row>
    <row r="2234" spans="4:21" s="110" customFormat="1" ht="15.75" customHeight="1">
      <c r="D2234" s="113"/>
      <c r="E2234" s="60"/>
      <c r="F2234" s="60"/>
      <c r="G2234" s="60"/>
      <c r="H2234" s="60"/>
      <c r="I2234" s="60"/>
      <c r="J2234" s="114"/>
      <c r="K2234" s="60"/>
      <c r="L2234" s="109"/>
      <c r="M2234" s="109"/>
      <c r="N2234" s="109"/>
      <c r="O2234" s="109"/>
      <c r="P2234" s="109"/>
      <c r="Q2234" s="109"/>
      <c r="S2234" s="111"/>
      <c r="T2234" s="60"/>
      <c r="U2234" s="112"/>
    </row>
    <row r="2235" spans="4:21" s="110" customFormat="1" ht="15.75" customHeight="1">
      <c r="D2235" s="113"/>
      <c r="E2235" s="60"/>
      <c r="F2235" s="60"/>
      <c r="G2235" s="60"/>
      <c r="H2235" s="60"/>
      <c r="I2235" s="60"/>
      <c r="J2235" s="114"/>
      <c r="K2235" s="60"/>
      <c r="L2235" s="109"/>
      <c r="M2235" s="109"/>
      <c r="N2235" s="109"/>
      <c r="O2235" s="109"/>
      <c r="P2235" s="109"/>
      <c r="Q2235" s="109"/>
      <c r="S2235" s="111"/>
      <c r="T2235" s="60"/>
      <c r="U2235" s="112"/>
    </row>
    <row r="2236" spans="4:21" s="110" customFormat="1" ht="15.75" customHeight="1">
      <c r="D2236" s="113"/>
      <c r="E2236" s="60"/>
      <c r="F2236" s="60"/>
      <c r="G2236" s="60"/>
      <c r="H2236" s="60"/>
      <c r="I2236" s="60"/>
      <c r="J2236" s="114"/>
      <c r="K2236" s="60"/>
      <c r="L2236" s="109"/>
      <c r="M2236" s="109"/>
      <c r="N2236" s="109"/>
      <c r="O2236" s="109"/>
      <c r="P2236" s="109"/>
      <c r="Q2236" s="109"/>
      <c r="S2236" s="111"/>
      <c r="T2236" s="60"/>
      <c r="U2236" s="112"/>
    </row>
    <row r="2237" spans="4:21" s="110" customFormat="1" ht="15.75" customHeight="1">
      <c r="D2237" s="113"/>
      <c r="E2237" s="60"/>
      <c r="F2237" s="60"/>
      <c r="G2237" s="60"/>
      <c r="H2237" s="60"/>
      <c r="I2237" s="60"/>
      <c r="J2237" s="114"/>
      <c r="K2237" s="60"/>
      <c r="L2237" s="109"/>
      <c r="M2237" s="109"/>
      <c r="N2237" s="109"/>
      <c r="O2237" s="109"/>
      <c r="P2237" s="109"/>
      <c r="Q2237" s="109"/>
      <c r="S2237" s="111"/>
      <c r="T2237" s="60"/>
      <c r="U2237" s="112"/>
    </row>
    <row r="2238" spans="4:21" s="110" customFormat="1" ht="15.75" customHeight="1">
      <c r="D2238" s="113"/>
      <c r="E2238" s="60"/>
      <c r="F2238" s="60"/>
      <c r="G2238" s="60"/>
      <c r="H2238" s="60"/>
      <c r="I2238" s="60"/>
      <c r="J2238" s="114"/>
      <c r="K2238" s="60"/>
      <c r="L2238" s="109"/>
      <c r="M2238" s="109"/>
      <c r="N2238" s="109"/>
      <c r="O2238" s="109"/>
      <c r="P2238" s="109"/>
      <c r="Q2238" s="109"/>
      <c r="S2238" s="111"/>
      <c r="T2238" s="60"/>
      <c r="U2238" s="112"/>
    </row>
    <row r="2239" spans="4:21" s="110" customFormat="1" ht="15.75" customHeight="1">
      <c r="D2239" s="113"/>
      <c r="E2239" s="60"/>
      <c r="F2239" s="60"/>
      <c r="G2239" s="60"/>
      <c r="H2239" s="60"/>
      <c r="I2239" s="60"/>
      <c r="J2239" s="114"/>
      <c r="K2239" s="60"/>
      <c r="L2239" s="109"/>
      <c r="M2239" s="109"/>
      <c r="N2239" s="109"/>
      <c r="O2239" s="109"/>
      <c r="P2239" s="109"/>
      <c r="Q2239" s="109"/>
      <c r="S2239" s="111"/>
      <c r="T2239" s="60"/>
      <c r="U2239" s="112"/>
    </row>
    <row r="2240" spans="4:21" s="110" customFormat="1" ht="15.75" customHeight="1">
      <c r="D2240" s="113"/>
      <c r="E2240" s="60"/>
      <c r="F2240" s="60"/>
      <c r="G2240" s="60"/>
      <c r="H2240" s="60"/>
      <c r="I2240" s="60"/>
      <c r="J2240" s="114"/>
      <c r="K2240" s="60"/>
      <c r="L2240" s="109"/>
      <c r="M2240" s="109"/>
      <c r="N2240" s="109"/>
      <c r="O2240" s="109"/>
      <c r="P2240" s="109"/>
      <c r="Q2240" s="109"/>
      <c r="S2240" s="111"/>
      <c r="T2240" s="60"/>
      <c r="U2240" s="112"/>
    </row>
    <row r="2241" spans="4:21" s="110" customFormat="1" ht="15.75" customHeight="1">
      <c r="D2241" s="113"/>
      <c r="E2241" s="60"/>
      <c r="F2241" s="60"/>
      <c r="G2241" s="60"/>
      <c r="H2241" s="60"/>
      <c r="I2241" s="60"/>
      <c r="J2241" s="114"/>
      <c r="K2241" s="60"/>
      <c r="L2241" s="109"/>
      <c r="M2241" s="109"/>
      <c r="N2241" s="109"/>
      <c r="O2241" s="109"/>
      <c r="P2241" s="109"/>
      <c r="Q2241" s="109"/>
      <c r="S2241" s="111"/>
      <c r="T2241" s="60"/>
      <c r="U2241" s="112"/>
    </row>
    <row r="2242" spans="4:21" s="110" customFormat="1" ht="15.75" customHeight="1">
      <c r="D2242" s="113"/>
      <c r="E2242" s="60"/>
      <c r="F2242" s="60"/>
      <c r="G2242" s="60"/>
      <c r="H2242" s="60"/>
      <c r="I2242" s="60"/>
      <c r="J2242" s="114"/>
      <c r="K2242" s="60"/>
      <c r="L2242" s="109"/>
      <c r="M2242" s="109"/>
      <c r="N2242" s="109"/>
      <c r="O2242" s="109"/>
      <c r="P2242" s="109"/>
      <c r="Q2242" s="109"/>
      <c r="S2242" s="111"/>
      <c r="T2242" s="60"/>
      <c r="U2242" s="112"/>
    </row>
    <row r="2243" spans="4:21" s="110" customFormat="1" ht="15.75" customHeight="1">
      <c r="D2243" s="113"/>
      <c r="E2243" s="60"/>
      <c r="F2243" s="60"/>
      <c r="G2243" s="60"/>
      <c r="H2243" s="60"/>
      <c r="I2243" s="60"/>
      <c r="J2243" s="114"/>
      <c r="K2243" s="60"/>
      <c r="L2243" s="109"/>
      <c r="M2243" s="109"/>
      <c r="N2243" s="109"/>
      <c r="O2243" s="109"/>
      <c r="P2243" s="109"/>
      <c r="Q2243" s="109"/>
      <c r="S2243" s="111"/>
      <c r="T2243" s="60"/>
      <c r="U2243" s="112"/>
    </row>
    <row r="2244" spans="4:21" s="110" customFormat="1" ht="15.75" customHeight="1">
      <c r="D2244" s="113"/>
      <c r="E2244" s="60"/>
      <c r="F2244" s="60"/>
      <c r="G2244" s="60"/>
      <c r="H2244" s="60"/>
      <c r="I2244" s="60"/>
      <c r="J2244" s="114"/>
      <c r="K2244" s="60"/>
      <c r="L2244" s="109"/>
      <c r="M2244" s="109"/>
      <c r="N2244" s="109"/>
      <c r="O2244" s="109"/>
      <c r="P2244" s="109"/>
      <c r="Q2244" s="109"/>
      <c r="S2244" s="111"/>
      <c r="T2244" s="60"/>
      <c r="U2244" s="112"/>
    </row>
    <row r="2245" spans="4:21" s="110" customFormat="1" ht="15.75" customHeight="1">
      <c r="D2245" s="113"/>
      <c r="E2245" s="60"/>
      <c r="F2245" s="60"/>
      <c r="G2245" s="60"/>
      <c r="H2245" s="60"/>
      <c r="I2245" s="60"/>
      <c r="J2245" s="114"/>
      <c r="K2245" s="60"/>
      <c r="L2245" s="109"/>
      <c r="M2245" s="109"/>
      <c r="N2245" s="109"/>
      <c r="O2245" s="109"/>
      <c r="P2245" s="109"/>
      <c r="Q2245" s="109"/>
      <c r="S2245" s="111"/>
      <c r="T2245" s="60"/>
      <c r="U2245" s="112"/>
    </row>
    <row r="2246" spans="4:21" s="110" customFormat="1" ht="15.75" customHeight="1">
      <c r="D2246" s="113"/>
      <c r="E2246" s="60"/>
      <c r="F2246" s="60"/>
      <c r="G2246" s="60"/>
      <c r="H2246" s="60"/>
      <c r="I2246" s="60"/>
      <c r="J2246" s="114"/>
      <c r="K2246" s="60"/>
      <c r="L2246" s="109"/>
      <c r="M2246" s="109"/>
      <c r="N2246" s="109"/>
      <c r="O2246" s="109"/>
      <c r="P2246" s="109"/>
      <c r="Q2246" s="109"/>
      <c r="S2246" s="111"/>
      <c r="T2246" s="60"/>
      <c r="U2246" s="112"/>
    </row>
    <row r="2247" spans="4:21" s="110" customFormat="1" ht="15.75" customHeight="1">
      <c r="D2247" s="113"/>
      <c r="E2247" s="60"/>
      <c r="F2247" s="60"/>
      <c r="G2247" s="60"/>
      <c r="H2247" s="60"/>
      <c r="I2247" s="60"/>
      <c r="J2247" s="114"/>
      <c r="K2247" s="60"/>
      <c r="L2247" s="109"/>
      <c r="M2247" s="109"/>
      <c r="N2247" s="109"/>
      <c r="O2247" s="109"/>
      <c r="P2247" s="109"/>
      <c r="Q2247" s="109"/>
      <c r="S2247" s="111"/>
      <c r="T2247" s="60"/>
      <c r="U2247" s="112"/>
    </row>
    <row r="2248" spans="4:21" s="110" customFormat="1" ht="15.75" customHeight="1">
      <c r="D2248" s="113"/>
      <c r="E2248" s="60"/>
      <c r="F2248" s="60"/>
      <c r="G2248" s="60"/>
      <c r="H2248" s="60"/>
      <c r="I2248" s="60"/>
      <c r="J2248" s="114"/>
      <c r="K2248" s="60"/>
      <c r="L2248" s="109"/>
      <c r="M2248" s="109"/>
      <c r="N2248" s="109"/>
      <c r="O2248" s="109"/>
      <c r="P2248" s="109"/>
      <c r="Q2248" s="109"/>
      <c r="S2248" s="111"/>
      <c r="T2248" s="60"/>
      <c r="U2248" s="112"/>
    </row>
    <row r="2249" spans="4:21" s="110" customFormat="1" ht="15.75" customHeight="1">
      <c r="D2249" s="113"/>
      <c r="E2249" s="60"/>
      <c r="F2249" s="60"/>
      <c r="G2249" s="60"/>
      <c r="H2249" s="60"/>
      <c r="I2249" s="60"/>
      <c r="J2249" s="114"/>
      <c r="K2249" s="60"/>
      <c r="L2249" s="109"/>
      <c r="M2249" s="109"/>
      <c r="N2249" s="109"/>
      <c r="O2249" s="109"/>
      <c r="P2249" s="109"/>
      <c r="Q2249" s="109"/>
      <c r="S2249" s="111"/>
      <c r="T2249" s="60"/>
      <c r="U2249" s="112"/>
    </row>
    <row r="2250" spans="4:21" s="110" customFormat="1" ht="15.75" customHeight="1">
      <c r="D2250" s="113"/>
      <c r="E2250" s="60"/>
      <c r="F2250" s="60"/>
      <c r="G2250" s="60"/>
      <c r="H2250" s="60"/>
      <c r="I2250" s="60"/>
      <c r="J2250" s="114"/>
      <c r="K2250" s="60"/>
      <c r="L2250" s="109"/>
      <c r="M2250" s="109"/>
      <c r="N2250" s="109"/>
      <c r="O2250" s="109"/>
      <c r="P2250" s="109"/>
      <c r="Q2250" s="109"/>
      <c r="S2250" s="111"/>
      <c r="T2250" s="60"/>
      <c r="U2250" s="112"/>
    </row>
    <row r="2251" spans="4:21" s="110" customFormat="1" ht="15.75" customHeight="1">
      <c r="D2251" s="113"/>
      <c r="E2251" s="60"/>
      <c r="F2251" s="60"/>
      <c r="G2251" s="60"/>
      <c r="H2251" s="60"/>
      <c r="I2251" s="60"/>
      <c r="J2251" s="114"/>
      <c r="K2251" s="60"/>
      <c r="L2251" s="109"/>
      <c r="M2251" s="109"/>
      <c r="N2251" s="109"/>
      <c r="O2251" s="109"/>
      <c r="P2251" s="109"/>
      <c r="Q2251" s="109"/>
      <c r="S2251" s="111"/>
      <c r="T2251" s="60"/>
      <c r="U2251" s="112"/>
    </row>
    <row r="2252" spans="4:21" s="110" customFormat="1" ht="15.75" customHeight="1">
      <c r="D2252" s="113"/>
      <c r="E2252" s="60"/>
      <c r="F2252" s="60"/>
      <c r="G2252" s="60"/>
      <c r="H2252" s="60"/>
      <c r="I2252" s="60"/>
      <c r="J2252" s="114"/>
      <c r="K2252" s="60"/>
      <c r="L2252" s="109"/>
      <c r="M2252" s="109"/>
      <c r="N2252" s="109"/>
      <c r="O2252" s="109"/>
      <c r="P2252" s="109"/>
      <c r="Q2252" s="109"/>
      <c r="S2252" s="111"/>
      <c r="T2252" s="60"/>
      <c r="U2252" s="112"/>
    </row>
    <row r="2253" spans="4:21" s="110" customFormat="1" ht="15.75" customHeight="1">
      <c r="D2253" s="113"/>
      <c r="E2253" s="60"/>
      <c r="F2253" s="60"/>
      <c r="G2253" s="60"/>
      <c r="H2253" s="60"/>
      <c r="I2253" s="60"/>
      <c r="J2253" s="114"/>
      <c r="K2253" s="60"/>
      <c r="L2253" s="109"/>
      <c r="M2253" s="109"/>
      <c r="N2253" s="109"/>
      <c r="O2253" s="109"/>
      <c r="P2253" s="109"/>
      <c r="Q2253" s="109"/>
      <c r="S2253" s="111"/>
      <c r="T2253" s="60"/>
      <c r="U2253" s="112"/>
    </row>
    <row r="2254" spans="4:21" s="110" customFormat="1" ht="15.75" customHeight="1">
      <c r="D2254" s="113"/>
      <c r="E2254" s="60"/>
      <c r="F2254" s="60"/>
      <c r="G2254" s="60"/>
      <c r="H2254" s="60"/>
      <c r="I2254" s="60"/>
      <c r="J2254" s="114"/>
      <c r="K2254" s="60"/>
      <c r="L2254" s="109"/>
      <c r="M2254" s="109"/>
      <c r="N2254" s="109"/>
      <c r="O2254" s="109"/>
      <c r="P2254" s="109"/>
      <c r="Q2254" s="109"/>
      <c r="S2254" s="111"/>
      <c r="T2254" s="60"/>
      <c r="U2254" s="112"/>
    </row>
    <row r="2255" spans="4:21" s="110" customFormat="1" ht="15.75" customHeight="1">
      <c r="D2255" s="113"/>
      <c r="E2255" s="60"/>
      <c r="F2255" s="60"/>
      <c r="G2255" s="60"/>
      <c r="H2255" s="60"/>
      <c r="I2255" s="60"/>
      <c r="J2255" s="114"/>
      <c r="K2255" s="60"/>
      <c r="L2255" s="109"/>
      <c r="M2255" s="109"/>
      <c r="N2255" s="109"/>
      <c r="O2255" s="109"/>
      <c r="P2255" s="109"/>
      <c r="Q2255" s="109"/>
      <c r="S2255" s="111"/>
      <c r="T2255" s="60"/>
      <c r="U2255" s="112"/>
    </row>
    <row r="2256" spans="4:21" s="110" customFormat="1" ht="15.75" customHeight="1">
      <c r="D2256" s="113"/>
      <c r="E2256" s="60"/>
      <c r="F2256" s="60"/>
      <c r="G2256" s="60"/>
      <c r="H2256" s="60"/>
      <c r="I2256" s="60"/>
      <c r="J2256" s="114"/>
      <c r="K2256" s="60"/>
      <c r="L2256" s="109"/>
      <c r="M2256" s="109"/>
      <c r="N2256" s="109"/>
      <c r="O2256" s="109"/>
      <c r="P2256" s="109"/>
      <c r="Q2256" s="109"/>
      <c r="S2256" s="111"/>
      <c r="T2256" s="60"/>
      <c r="U2256" s="112"/>
    </row>
    <row r="2257" spans="4:21" s="110" customFormat="1" ht="15.75" customHeight="1">
      <c r="D2257" s="113"/>
      <c r="E2257" s="60"/>
      <c r="F2257" s="60"/>
      <c r="G2257" s="60"/>
      <c r="H2257" s="60"/>
      <c r="I2257" s="60"/>
      <c r="J2257" s="114"/>
      <c r="K2257" s="60"/>
      <c r="L2257" s="109"/>
      <c r="M2257" s="109"/>
      <c r="N2257" s="109"/>
      <c r="O2257" s="109"/>
      <c r="P2257" s="109"/>
      <c r="Q2257" s="109"/>
      <c r="S2257" s="111"/>
      <c r="T2257" s="60"/>
      <c r="U2257" s="112"/>
    </row>
    <row r="2258" spans="4:21" s="110" customFormat="1" ht="15.75" customHeight="1">
      <c r="D2258" s="113"/>
      <c r="E2258" s="60"/>
      <c r="F2258" s="60"/>
      <c r="G2258" s="60"/>
      <c r="H2258" s="60"/>
      <c r="I2258" s="60"/>
      <c r="J2258" s="114"/>
      <c r="K2258" s="60"/>
      <c r="L2258" s="109"/>
      <c r="M2258" s="109"/>
      <c r="N2258" s="109"/>
      <c r="O2258" s="109"/>
      <c r="P2258" s="109"/>
      <c r="Q2258" s="109"/>
      <c r="S2258" s="111"/>
      <c r="T2258" s="60"/>
      <c r="U2258" s="112"/>
    </row>
    <row r="2259" spans="4:21" s="110" customFormat="1" ht="15.75" customHeight="1">
      <c r="D2259" s="113"/>
      <c r="E2259" s="60"/>
      <c r="F2259" s="60"/>
      <c r="G2259" s="60"/>
      <c r="H2259" s="60"/>
      <c r="I2259" s="60"/>
      <c r="J2259" s="114"/>
      <c r="K2259" s="60"/>
      <c r="L2259" s="109"/>
      <c r="M2259" s="109"/>
      <c r="N2259" s="109"/>
      <c r="O2259" s="109"/>
      <c r="P2259" s="109"/>
      <c r="Q2259" s="109"/>
      <c r="S2259" s="111"/>
      <c r="T2259" s="60"/>
      <c r="U2259" s="112"/>
    </row>
    <row r="2260" spans="4:21" s="110" customFormat="1" ht="15.75" customHeight="1">
      <c r="D2260" s="113"/>
      <c r="E2260" s="60"/>
      <c r="F2260" s="60"/>
      <c r="G2260" s="60"/>
      <c r="H2260" s="60"/>
      <c r="I2260" s="60"/>
      <c r="J2260" s="114"/>
      <c r="K2260" s="60"/>
      <c r="L2260" s="109"/>
      <c r="M2260" s="109"/>
      <c r="N2260" s="109"/>
      <c r="O2260" s="109"/>
      <c r="P2260" s="109"/>
      <c r="Q2260" s="109"/>
      <c r="S2260" s="111"/>
      <c r="T2260" s="60"/>
      <c r="U2260" s="112"/>
    </row>
    <row r="2261" spans="4:21" s="110" customFormat="1" ht="15.75" customHeight="1">
      <c r="D2261" s="113"/>
      <c r="E2261" s="60"/>
      <c r="F2261" s="60"/>
      <c r="G2261" s="60"/>
      <c r="H2261" s="60"/>
      <c r="I2261" s="60"/>
      <c r="J2261" s="114"/>
      <c r="K2261" s="60"/>
      <c r="L2261" s="109"/>
      <c r="M2261" s="109"/>
      <c r="N2261" s="109"/>
      <c r="O2261" s="109"/>
      <c r="P2261" s="109"/>
      <c r="Q2261" s="109"/>
      <c r="S2261" s="111"/>
      <c r="T2261" s="60"/>
      <c r="U2261" s="112"/>
    </row>
    <row r="2262" spans="4:21" s="110" customFormat="1" ht="15.75" customHeight="1">
      <c r="D2262" s="113"/>
      <c r="E2262" s="60"/>
      <c r="F2262" s="60"/>
      <c r="G2262" s="60"/>
      <c r="H2262" s="60"/>
      <c r="I2262" s="60"/>
      <c r="J2262" s="114"/>
      <c r="K2262" s="60"/>
      <c r="L2262" s="109"/>
      <c r="M2262" s="109"/>
      <c r="N2262" s="109"/>
      <c r="O2262" s="109"/>
      <c r="P2262" s="109"/>
      <c r="Q2262" s="109"/>
      <c r="S2262" s="111"/>
      <c r="T2262" s="60"/>
      <c r="U2262" s="112"/>
    </row>
    <row r="2263" spans="4:21" s="110" customFormat="1" ht="15.75" customHeight="1">
      <c r="D2263" s="113"/>
      <c r="E2263" s="60"/>
      <c r="F2263" s="60"/>
      <c r="G2263" s="60"/>
      <c r="H2263" s="60"/>
      <c r="I2263" s="60"/>
      <c r="J2263" s="114"/>
      <c r="K2263" s="60"/>
      <c r="L2263" s="109"/>
      <c r="M2263" s="109"/>
      <c r="N2263" s="109"/>
      <c r="O2263" s="109"/>
      <c r="P2263" s="109"/>
      <c r="Q2263" s="109"/>
      <c r="S2263" s="111"/>
      <c r="T2263" s="60"/>
      <c r="U2263" s="112"/>
    </row>
    <row r="2264" spans="4:21" s="110" customFormat="1" ht="15.75" customHeight="1">
      <c r="D2264" s="113"/>
      <c r="E2264" s="60"/>
      <c r="F2264" s="60"/>
      <c r="G2264" s="60"/>
      <c r="H2264" s="60"/>
      <c r="I2264" s="60"/>
      <c r="J2264" s="114"/>
      <c r="K2264" s="60"/>
      <c r="L2264" s="109"/>
      <c r="M2264" s="109"/>
      <c r="N2264" s="109"/>
      <c r="O2264" s="109"/>
      <c r="P2264" s="109"/>
      <c r="Q2264" s="109"/>
      <c r="S2264" s="111"/>
      <c r="T2264" s="60"/>
      <c r="U2264" s="112"/>
    </row>
    <row r="2265" spans="4:21" s="110" customFormat="1" ht="15.75" customHeight="1">
      <c r="D2265" s="113"/>
      <c r="E2265" s="60"/>
      <c r="F2265" s="60"/>
      <c r="G2265" s="60"/>
      <c r="H2265" s="60"/>
      <c r="I2265" s="60"/>
      <c r="J2265" s="114"/>
      <c r="K2265" s="60"/>
      <c r="L2265" s="109"/>
      <c r="M2265" s="109"/>
      <c r="N2265" s="109"/>
      <c r="O2265" s="109"/>
      <c r="P2265" s="109"/>
      <c r="Q2265" s="109"/>
      <c r="S2265" s="111"/>
      <c r="T2265" s="60"/>
      <c r="U2265" s="112"/>
    </row>
    <row r="2266" spans="4:21" s="110" customFormat="1" ht="15.75" customHeight="1">
      <c r="D2266" s="113"/>
      <c r="E2266" s="60"/>
      <c r="F2266" s="60"/>
      <c r="G2266" s="60"/>
      <c r="H2266" s="60"/>
      <c r="I2266" s="60"/>
      <c r="J2266" s="114"/>
      <c r="K2266" s="60"/>
      <c r="L2266" s="109"/>
      <c r="M2266" s="109"/>
      <c r="N2266" s="109"/>
      <c r="O2266" s="109"/>
      <c r="P2266" s="109"/>
      <c r="Q2266" s="109"/>
      <c r="S2266" s="111"/>
      <c r="T2266" s="60"/>
      <c r="U2266" s="112"/>
    </row>
    <row r="2267" spans="4:21" s="110" customFormat="1" ht="15.75" customHeight="1">
      <c r="D2267" s="113"/>
      <c r="E2267" s="60"/>
      <c r="F2267" s="60"/>
      <c r="G2267" s="60"/>
      <c r="H2267" s="60"/>
      <c r="I2267" s="60"/>
      <c r="J2267" s="114"/>
      <c r="K2267" s="60"/>
      <c r="L2267" s="109"/>
      <c r="M2267" s="109"/>
      <c r="N2267" s="109"/>
      <c r="O2267" s="109"/>
      <c r="P2267" s="109"/>
      <c r="Q2267" s="109"/>
      <c r="S2267" s="111"/>
      <c r="T2267" s="60"/>
      <c r="U2267" s="112"/>
    </row>
    <row r="2268" spans="4:21" s="110" customFormat="1" ht="15.75" customHeight="1">
      <c r="D2268" s="113"/>
      <c r="E2268" s="60"/>
      <c r="F2268" s="60"/>
      <c r="G2268" s="60"/>
      <c r="H2268" s="60"/>
      <c r="I2268" s="60"/>
      <c r="J2268" s="114"/>
      <c r="K2268" s="60"/>
      <c r="L2268" s="109"/>
      <c r="M2268" s="109"/>
      <c r="N2268" s="109"/>
      <c r="O2268" s="109"/>
      <c r="P2268" s="109"/>
      <c r="Q2268" s="109"/>
      <c r="S2268" s="111"/>
      <c r="T2268" s="60"/>
      <c r="U2268" s="112"/>
    </row>
    <row r="2269" spans="4:21" s="110" customFormat="1" ht="15.75" customHeight="1">
      <c r="D2269" s="113"/>
      <c r="E2269" s="60"/>
      <c r="F2269" s="60"/>
      <c r="G2269" s="60"/>
      <c r="H2269" s="60"/>
      <c r="I2269" s="60"/>
      <c r="J2269" s="114"/>
      <c r="K2269" s="60"/>
      <c r="L2269" s="109"/>
      <c r="M2269" s="109"/>
      <c r="N2269" s="109"/>
      <c r="O2269" s="109"/>
      <c r="P2269" s="109"/>
      <c r="Q2269" s="109"/>
      <c r="S2269" s="111"/>
      <c r="T2269" s="60"/>
      <c r="U2269" s="112"/>
    </row>
    <row r="2270" spans="4:21" s="110" customFormat="1" ht="15.75" customHeight="1">
      <c r="D2270" s="113"/>
      <c r="E2270" s="60"/>
      <c r="F2270" s="60"/>
      <c r="G2270" s="60"/>
      <c r="H2270" s="60"/>
      <c r="I2270" s="60"/>
      <c r="J2270" s="114"/>
      <c r="K2270" s="60"/>
      <c r="L2270" s="109"/>
      <c r="M2270" s="109"/>
      <c r="N2270" s="109"/>
      <c r="O2270" s="109"/>
      <c r="P2270" s="109"/>
      <c r="Q2270" s="109"/>
      <c r="S2270" s="111"/>
      <c r="T2270" s="60"/>
      <c r="U2270" s="112"/>
    </row>
    <row r="2271" spans="4:21" s="110" customFormat="1" ht="15.75" customHeight="1">
      <c r="D2271" s="113"/>
      <c r="E2271" s="60"/>
      <c r="F2271" s="60"/>
      <c r="G2271" s="60"/>
      <c r="H2271" s="60"/>
      <c r="I2271" s="60"/>
      <c r="J2271" s="114"/>
      <c r="K2271" s="60"/>
      <c r="L2271" s="109"/>
      <c r="M2271" s="109"/>
      <c r="N2271" s="109"/>
      <c r="O2271" s="109"/>
      <c r="P2271" s="109"/>
      <c r="Q2271" s="109"/>
      <c r="S2271" s="111"/>
      <c r="T2271" s="60"/>
      <c r="U2271" s="112"/>
    </row>
    <row r="2272" spans="4:21" s="110" customFormat="1" ht="15.75" customHeight="1">
      <c r="D2272" s="113"/>
      <c r="E2272" s="60"/>
      <c r="F2272" s="60"/>
      <c r="G2272" s="60"/>
      <c r="H2272" s="60"/>
      <c r="I2272" s="60"/>
      <c r="J2272" s="114"/>
      <c r="K2272" s="60"/>
      <c r="L2272" s="109"/>
      <c r="M2272" s="109"/>
      <c r="N2272" s="109"/>
      <c r="O2272" s="109"/>
      <c r="P2272" s="109"/>
      <c r="Q2272" s="109"/>
      <c r="S2272" s="111"/>
      <c r="T2272" s="60"/>
      <c r="U2272" s="112"/>
    </row>
    <row r="2273" spans="4:21" s="110" customFormat="1" ht="15.75" customHeight="1">
      <c r="D2273" s="113"/>
      <c r="E2273" s="60"/>
      <c r="F2273" s="60"/>
      <c r="G2273" s="60"/>
      <c r="H2273" s="60"/>
      <c r="I2273" s="60"/>
      <c r="J2273" s="114"/>
      <c r="K2273" s="60"/>
      <c r="L2273" s="109"/>
      <c r="M2273" s="109"/>
      <c r="N2273" s="109"/>
      <c r="O2273" s="109"/>
      <c r="P2273" s="109"/>
      <c r="Q2273" s="109"/>
      <c r="S2273" s="111"/>
      <c r="T2273" s="60"/>
      <c r="U2273" s="112"/>
    </row>
    <row r="2274" spans="4:21" s="110" customFormat="1" ht="15.75" customHeight="1">
      <c r="D2274" s="113"/>
      <c r="E2274" s="60"/>
      <c r="F2274" s="60"/>
      <c r="G2274" s="60"/>
      <c r="H2274" s="60"/>
      <c r="I2274" s="60"/>
      <c r="J2274" s="114"/>
      <c r="K2274" s="60"/>
      <c r="L2274" s="109"/>
      <c r="M2274" s="109"/>
      <c r="N2274" s="109"/>
      <c r="O2274" s="109"/>
      <c r="P2274" s="109"/>
      <c r="Q2274" s="109"/>
      <c r="S2274" s="111"/>
      <c r="T2274" s="60"/>
      <c r="U2274" s="112"/>
    </row>
    <row r="2275" spans="4:21" s="110" customFormat="1" ht="15.75" customHeight="1">
      <c r="D2275" s="113"/>
      <c r="E2275" s="60"/>
      <c r="F2275" s="60"/>
      <c r="G2275" s="60"/>
      <c r="H2275" s="60"/>
      <c r="I2275" s="60"/>
      <c r="J2275" s="114"/>
      <c r="K2275" s="60"/>
      <c r="L2275" s="109"/>
      <c r="M2275" s="109"/>
      <c r="N2275" s="109"/>
      <c r="O2275" s="109"/>
      <c r="P2275" s="109"/>
      <c r="Q2275" s="109"/>
      <c r="S2275" s="111"/>
      <c r="T2275" s="60"/>
      <c r="U2275" s="112"/>
    </row>
    <row r="2276" spans="4:21" s="110" customFormat="1" ht="15.75" customHeight="1">
      <c r="D2276" s="113"/>
      <c r="E2276" s="60"/>
      <c r="F2276" s="60"/>
      <c r="G2276" s="60"/>
      <c r="H2276" s="60"/>
      <c r="I2276" s="60"/>
      <c r="J2276" s="114"/>
      <c r="K2276" s="60"/>
      <c r="L2276" s="109"/>
      <c r="M2276" s="109"/>
      <c r="N2276" s="109"/>
      <c r="O2276" s="109"/>
      <c r="P2276" s="109"/>
      <c r="Q2276" s="109"/>
      <c r="S2276" s="111"/>
      <c r="T2276" s="60"/>
      <c r="U2276" s="112"/>
    </row>
    <row r="2277" spans="4:21" s="110" customFormat="1" ht="15.75" customHeight="1">
      <c r="D2277" s="113"/>
      <c r="E2277" s="60"/>
      <c r="F2277" s="60"/>
      <c r="G2277" s="60"/>
      <c r="H2277" s="60"/>
      <c r="I2277" s="60"/>
      <c r="J2277" s="114"/>
      <c r="K2277" s="60"/>
      <c r="L2277" s="109"/>
      <c r="M2277" s="109"/>
      <c r="N2277" s="109"/>
      <c r="O2277" s="109"/>
      <c r="P2277" s="109"/>
      <c r="Q2277" s="109"/>
      <c r="S2277" s="111"/>
      <c r="T2277" s="60"/>
      <c r="U2277" s="112"/>
    </row>
    <row r="2278" spans="4:21" s="110" customFormat="1" ht="15.75" customHeight="1">
      <c r="D2278" s="113"/>
      <c r="E2278" s="60"/>
      <c r="F2278" s="60"/>
      <c r="G2278" s="60"/>
      <c r="H2278" s="60"/>
      <c r="I2278" s="60"/>
      <c r="J2278" s="114"/>
      <c r="K2278" s="60"/>
      <c r="L2278" s="109"/>
      <c r="M2278" s="109"/>
      <c r="N2278" s="109"/>
      <c r="O2278" s="109"/>
      <c r="P2278" s="109"/>
      <c r="Q2278" s="109"/>
      <c r="S2278" s="111"/>
      <c r="T2278" s="60"/>
      <c r="U2278" s="112"/>
    </row>
    <row r="2279" spans="4:21" s="110" customFormat="1" ht="15.75" customHeight="1">
      <c r="D2279" s="113"/>
      <c r="E2279" s="60"/>
      <c r="F2279" s="60"/>
      <c r="G2279" s="60"/>
      <c r="H2279" s="60"/>
      <c r="I2279" s="60"/>
      <c r="J2279" s="114"/>
      <c r="K2279" s="60"/>
      <c r="L2279" s="109"/>
      <c r="M2279" s="109"/>
      <c r="N2279" s="109"/>
      <c r="O2279" s="109"/>
      <c r="P2279" s="109"/>
      <c r="Q2279" s="109"/>
      <c r="S2279" s="111"/>
      <c r="T2279" s="60"/>
      <c r="U2279" s="112"/>
    </row>
    <row r="2280" spans="4:21" s="110" customFormat="1" ht="15.75" customHeight="1">
      <c r="D2280" s="113"/>
      <c r="E2280" s="60"/>
      <c r="F2280" s="60"/>
      <c r="G2280" s="60"/>
      <c r="H2280" s="60"/>
      <c r="I2280" s="60"/>
      <c r="J2280" s="114"/>
      <c r="K2280" s="60"/>
      <c r="L2280" s="109"/>
      <c r="M2280" s="109"/>
      <c r="N2280" s="109"/>
      <c r="O2280" s="109"/>
      <c r="P2280" s="109"/>
      <c r="Q2280" s="109"/>
      <c r="S2280" s="111"/>
      <c r="T2280" s="60"/>
      <c r="U2280" s="112"/>
    </row>
    <row r="2281" spans="4:21" s="110" customFormat="1" ht="15.75" customHeight="1">
      <c r="D2281" s="113"/>
      <c r="E2281" s="60"/>
      <c r="F2281" s="60"/>
      <c r="G2281" s="60"/>
      <c r="H2281" s="60"/>
      <c r="I2281" s="60"/>
      <c r="J2281" s="114"/>
      <c r="K2281" s="60"/>
      <c r="L2281" s="109"/>
      <c r="M2281" s="109"/>
      <c r="N2281" s="109"/>
      <c r="O2281" s="109"/>
      <c r="P2281" s="109"/>
      <c r="Q2281" s="109"/>
      <c r="S2281" s="111"/>
      <c r="T2281" s="60"/>
      <c r="U2281" s="112"/>
    </row>
    <row r="2282" spans="4:21" s="110" customFormat="1" ht="15.75" customHeight="1">
      <c r="D2282" s="113"/>
      <c r="E2282" s="60"/>
      <c r="F2282" s="60"/>
      <c r="G2282" s="60"/>
      <c r="H2282" s="60"/>
      <c r="I2282" s="60"/>
      <c r="J2282" s="114"/>
      <c r="K2282" s="60"/>
      <c r="L2282" s="109"/>
      <c r="M2282" s="109"/>
      <c r="N2282" s="109"/>
      <c r="O2282" s="109"/>
      <c r="P2282" s="109"/>
      <c r="Q2282" s="109"/>
      <c r="S2282" s="111"/>
      <c r="T2282" s="60"/>
      <c r="U2282" s="112"/>
    </row>
    <row r="2283" spans="4:21" s="110" customFormat="1" ht="15.75" customHeight="1">
      <c r="D2283" s="113"/>
      <c r="E2283" s="60"/>
      <c r="F2283" s="60"/>
      <c r="G2283" s="60"/>
      <c r="H2283" s="60"/>
      <c r="I2283" s="60"/>
      <c r="J2283" s="114"/>
      <c r="K2283" s="60"/>
      <c r="L2283" s="109"/>
      <c r="M2283" s="109"/>
      <c r="N2283" s="109"/>
      <c r="O2283" s="109"/>
      <c r="P2283" s="109"/>
      <c r="Q2283" s="109"/>
      <c r="S2283" s="111"/>
      <c r="T2283" s="60"/>
      <c r="U2283" s="112"/>
    </row>
    <row r="2284" spans="4:21" s="110" customFormat="1" ht="15.75" customHeight="1">
      <c r="D2284" s="113"/>
      <c r="E2284" s="60"/>
      <c r="F2284" s="60"/>
      <c r="G2284" s="60"/>
      <c r="H2284" s="60"/>
      <c r="I2284" s="60"/>
      <c r="J2284" s="114"/>
      <c r="K2284" s="60"/>
      <c r="L2284" s="109"/>
      <c r="M2284" s="109"/>
      <c r="N2284" s="109"/>
      <c r="O2284" s="109"/>
      <c r="P2284" s="109"/>
      <c r="Q2284" s="109"/>
      <c r="S2284" s="111"/>
      <c r="T2284" s="60"/>
      <c r="U2284" s="112"/>
    </row>
    <row r="2285" spans="4:21" s="110" customFormat="1" ht="15.75" customHeight="1">
      <c r="D2285" s="113"/>
      <c r="E2285" s="60"/>
      <c r="F2285" s="60"/>
      <c r="G2285" s="60"/>
      <c r="H2285" s="60"/>
      <c r="I2285" s="60"/>
      <c r="J2285" s="114"/>
      <c r="K2285" s="60"/>
      <c r="L2285" s="109"/>
      <c r="M2285" s="109"/>
      <c r="N2285" s="109"/>
      <c r="O2285" s="109"/>
      <c r="P2285" s="109"/>
      <c r="Q2285" s="109"/>
      <c r="S2285" s="111"/>
      <c r="T2285" s="60"/>
      <c r="U2285" s="112"/>
    </row>
    <row r="2286" spans="4:21" s="110" customFormat="1" ht="15.75" customHeight="1">
      <c r="D2286" s="113"/>
      <c r="E2286" s="60"/>
      <c r="F2286" s="60"/>
      <c r="G2286" s="60"/>
      <c r="H2286" s="60"/>
      <c r="I2286" s="60"/>
      <c r="J2286" s="114"/>
      <c r="K2286" s="60"/>
      <c r="L2286" s="109"/>
      <c r="M2286" s="109"/>
      <c r="N2286" s="109"/>
      <c r="O2286" s="109"/>
      <c r="P2286" s="109"/>
      <c r="Q2286" s="109"/>
      <c r="S2286" s="111"/>
      <c r="T2286" s="60"/>
      <c r="U2286" s="112"/>
    </row>
    <row r="2287" spans="4:21" s="110" customFormat="1" ht="15.75" customHeight="1">
      <c r="D2287" s="113"/>
      <c r="E2287" s="60"/>
      <c r="F2287" s="60"/>
      <c r="G2287" s="60"/>
      <c r="H2287" s="60"/>
      <c r="I2287" s="60"/>
      <c r="J2287" s="114"/>
      <c r="K2287" s="60"/>
      <c r="L2287" s="109"/>
      <c r="M2287" s="109"/>
      <c r="N2287" s="109"/>
      <c r="O2287" s="109"/>
      <c r="P2287" s="109"/>
      <c r="Q2287" s="109"/>
      <c r="S2287" s="111"/>
      <c r="T2287" s="60"/>
      <c r="U2287" s="112"/>
    </row>
    <row r="2288" spans="4:21" s="110" customFormat="1" ht="15.75" customHeight="1">
      <c r="D2288" s="113"/>
      <c r="E2288" s="60"/>
      <c r="F2288" s="60"/>
      <c r="G2288" s="60"/>
      <c r="H2288" s="60"/>
      <c r="I2288" s="60"/>
      <c r="J2288" s="114"/>
      <c r="K2288" s="60"/>
      <c r="L2288" s="109"/>
      <c r="M2288" s="109"/>
      <c r="N2288" s="109"/>
      <c r="O2288" s="109"/>
      <c r="P2288" s="109"/>
      <c r="Q2288" s="109"/>
      <c r="S2288" s="111"/>
      <c r="T2288" s="60"/>
      <c r="U2288" s="112"/>
    </row>
    <row r="2289" spans="4:21" s="110" customFormat="1" ht="15.75" customHeight="1">
      <c r="D2289" s="113"/>
      <c r="E2289" s="60"/>
      <c r="F2289" s="60"/>
      <c r="G2289" s="60"/>
      <c r="H2289" s="60"/>
      <c r="I2289" s="60"/>
      <c r="J2289" s="114"/>
      <c r="K2289" s="60"/>
      <c r="L2289" s="109"/>
      <c r="M2289" s="109"/>
      <c r="N2289" s="109"/>
      <c r="O2289" s="109"/>
      <c r="P2289" s="109"/>
      <c r="Q2289" s="109"/>
      <c r="S2289" s="111"/>
      <c r="T2289" s="60"/>
      <c r="U2289" s="112"/>
    </row>
    <row r="2290" spans="4:21" s="110" customFormat="1" ht="15.75" customHeight="1">
      <c r="D2290" s="113"/>
      <c r="E2290" s="60"/>
      <c r="F2290" s="60"/>
      <c r="G2290" s="60"/>
      <c r="H2290" s="60"/>
      <c r="I2290" s="60"/>
      <c r="J2290" s="114"/>
      <c r="K2290" s="60"/>
      <c r="L2290" s="109"/>
      <c r="M2290" s="109"/>
      <c r="N2290" s="109"/>
      <c r="O2290" s="109"/>
      <c r="P2290" s="109"/>
      <c r="Q2290" s="109"/>
      <c r="S2290" s="111"/>
      <c r="T2290" s="60"/>
      <c r="U2290" s="112"/>
    </row>
    <row r="2291" spans="4:21" s="110" customFormat="1" ht="15.75" customHeight="1">
      <c r="D2291" s="113"/>
      <c r="E2291" s="60"/>
      <c r="F2291" s="60"/>
      <c r="G2291" s="60"/>
      <c r="H2291" s="60"/>
      <c r="I2291" s="60"/>
      <c r="J2291" s="114"/>
      <c r="K2291" s="60"/>
      <c r="L2291" s="109"/>
      <c r="M2291" s="109"/>
      <c r="N2291" s="109"/>
      <c r="O2291" s="109"/>
      <c r="P2291" s="109"/>
      <c r="Q2291" s="109"/>
      <c r="S2291" s="111"/>
      <c r="T2291" s="60"/>
      <c r="U2291" s="112"/>
    </row>
    <row r="2292" spans="4:21" s="110" customFormat="1" ht="15.75" customHeight="1">
      <c r="D2292" s="113"/>
      <c r="E2292" s="60"/>
      <c r="F2292" s="60"/>
      <c r="G2292" s="60"/>
      <c r="H2292" s="60"/>
      <c r="I2292" s="60"/>
      <c r="J2292" s="114"/>
      <c r="K2292" s="60"/>
      <c r="L2292" s="109"/>
      <c r="M2292" s="109"/>
      <c r="N2292" s="109"/>
      <c r="O2292" s="109"/>
      <c r="P2292" s="109"/>
      <c r="Q2292" s="109"/>
      <c r="S2292" s="111"/>
      <c r="T2292" s="60"/>
      <c r="U2292" s="112"/>
    </row>
    <row r="2293" spans="4:21" s="110" customFormat="1" ht="15.75" customHeight="1">
      <c r="D2293" s="113"/>
      <c r="E2293" s="60"/>
      <c r="F2293" s="60"/>
      <c r="G2293" s="60"/>
      <c r="H2293" s="60"/>
      <c r="I2293" s="60"/>
      <c r="J2293" s="114"/>
      <c r="K2293" s="60"/>
      <c r="L2293" s="109"/>
      <c r="M2293" s="109"/>
      <c r="N2293" s="109"/>
      <c r="O2293" s="109"/>
      <c r="P2293" s="109"/>
      <c r="Q2293" s="109"/>
      <c r="S2293" s="111"/>
      <c r="T2293" s="60"/>
      <c r="U2293" s="112"/>
    </row>
    <row r="2294" spans="4:21" s="110" customFormat="1" ht="15.75" customHeight="1">
      <c r="D2294" s="113"/>
      <c r="E2294" s="60"/>
      <c r="F2294" s="60"/>
      <c r="G2294" s="60"/>
      <c r="H2294" s="60"/>
      <c r="I2294" s="60"/>
      <c r="J2294" s="114"/>
      <c r="K2294" s="60"/>
      <c r="L2294" s="109"/>
      <c r="M2294" s="109"/>
      <c r="N2294" s="109"/>
      <c r="O2294" s="109"/>
      <c r="P2294" s="109"/>
      <c r="Q2294" s="109"/>
      <c r="S2294" s="111"/>
      <c r="T2294" s="60"/>
      <c r="U2294" s="112"/>
    </row>
    <row r="2295" spans="4:21" s="110" customFormat="1" ht="15.75" customHeight="1">
      <c r="D2295" s="113"/>
      <c r="E2295" s="60"/>
      <c r="F2295" s="60"/>
      <c r="G2295" s="60"/>
      <c r="H2295" s="60"/>
      <c r="I2295" s="60"/>
      <c r="J2295" s="114"/>
      <c r="K2295" s="60"/>
      <c r="L2295" s="109"/>
      <c r="M2295" s="109"/>
      <c r="N2295" s="109"/>
      <c r="O2295" s="109"/>
      <c r="P2295" s="109"/>
      <c r="Q2295" s="109"/>
      <c r="S2295" s="111"/>
      <c r="T2295" s="60"/>
      <c r="U2295" s="112"/>
    </row>
    <row r="2296" spans="4:21" s="110" customFormat="1" ht="15.75" customHeight="1">
      <c r="D2296" s="113"/>
      <c r="E2296" s="60"/>
      <c r="F2296" s="60"/>
      <c r="G2296" s="60"/>
      <c r="H2296" s="60"/>
      <c r="I2296" s="60"/>
      <c r="J2296" s="114"/>
      <c r="K2296" s="60"/>
      <c r="L2296" s="109"/>
      <c r="M2296" s="109"/>
      <c r="N2296" s="109"/>
      <c r="O2296" s="109"/>
      <c r="P2296" s="109"/>
      <c r="Q2296" s="109"/>
      <c r="S2296" s="111"/>
      <c r="T2296" s="60"/>
      <c r="U2296" s="112"/>
    </row>
    <row r="2297" spans="4:21" s="110" customFormat="1" ht="15.75" customHeight="1">
      <c r="D2297" s="113"/>
      <c r="E2297" s="60"/>
      <c r="F2297" s="60"/>
      <c r="G2297" s="60"/>
      <c r="H2297" s="60"/>
      <c r="I2297" s="60"/>
      <c r="J2297" s="114"/>
      <c r="K2297" s="60"/>
      <c r="L2297" s="109"/>
      <c r="M2297" s="109"/>
      <c r="N2297" s="109"/>
      <c r="O2297" s="109"/>
      <c r="P2297" s="109"/>
      <c r="Q2297" s="109"/>
      <c r="S2297" s="111"/>
      <c r="T2297" s="60"/>
      <c r="U2297" s="112"/>
    </row>
    <row r="2298" spans="4:21" s="110" customFormat="1" ht="15.75" customHeight="1">
      <c r="D2298" s="113"/>
      <c r="E2298" s="60"/>
      <c r="F2298" s="60"/>
      <c r="G2298" s="60"/>
      <c r="H2298" s="60"/>
      <c r="I2298" s="60"/>
      <c r="J2298" s="114"/>
      <c r="K2298" s="60"/>
      <c r="L2298" s="109"/>
      <c r="M2298" s="109"/>
      <c r="N2298" s="109"/>
      <c r="O2298" s="109"/>
      <c r="P2298" s="109"/>
      <c r="Q2298" s="109"/>
      <c r="S2298" s="111"/>
      <c r="T2298" s="60"/>
      <c r="U2298" s="112"/>
    </row>
    <row r="2299" spans="4:21" s="110" customFormat="1" ht="15.75" customHeight="1">
      <c r="D2299" s="113"/>
      <c r="E2299" s="60"/>
      <c r="F2299" s="60"/>
      <c r="G2299" s="60"/>
      <c r="H2299" s="60"/>
      <c r="I2299" s="60"/>
      <c r="J2299" s="114"/>
      <c r="K2299" s="60"/>
      <c r="L2299" s="109"/>
      <c r="M2299" s="109"/>
      <c r="N2299" s="109"/>
      <c r="O2299" s="109"/>
      <c r="P2299" s="109"/>
      <c r="Q2299" s="109"/>
      <c r="S2299" s="111"/>
      <c r="T2299" s="60"/>
      <c r="U2299" s="112"/>
    </row>
    <row r="2300" spans="4:21" s="110" customFormat="1" ht="15.75" customHeight="1">
      <c r="D2300" s="113"/>
      <c r="E2300" s="60"/>
      <c r="F2300" s="60"/>
      <c r="G2300" s="60"/>
      <c r="H2300" s="60"/>
      <c r="I2300" s="60"/>
      <c r="J2300" s="114"/>
      <c r="K2300" s="60"/>
      <c r="L2300" s="109"/>
      <c r="M2300" s="109"/>
      <c r="N2300" s="109"/>
      <c r="O2300" s="109"/>
      <c r="P2300" s="109"/>
      <c r="Q2300" s="109"/>
      <c r="S2300" s="111"/>
      <c r="T2300" s="60"/>
      <c r="U2300" s="112"/>
    </row>
    <row r="2301" spans="4:21" s="110" customFormat="1" ht="15.75" customHeight="1">
      <c r="D2301" s="113"/>
      <c r="E2301" s="60"/>
      <c r="F2301" s="60"/>
      <c r="G2301" s="60"/>
      <c r="H2301" s="60"/>
      <c r="I2301" s="60"/>
      <c r="J2301" s="114"/>
      <c r="K2301" s="60"/>
      <c r="L2301" s="109"/>
      <c r="M2301" s="109"/>
      <c r="N2301" s="109"/>
      <c r="O2301" s="109"/>
      <c r="P2301" s="109"/>
      <c r="Q2301" s="109"/>
      <c r="S2301" s="111"/>
      <c r="T2301" s="60"/>
      <c r="U2301" s="112"/>
    </row>
    <row r="2302" spans="4:21" s="110" customFormat="1" ht="15.75" customHeight="1">
      <c r="D2302" s="113"/>
      <c r="E2302" s="60"/>
      <c r="F2302" s="60"/>
      <c r="G2302" s="60"/>
      <c r="H2302" s="60"/>
      <c r="I2302" s="60"/>
      <c r="J2302" s="114"/>
      <c r="K2302" s="60"/>
      <c r="L2302" s="109"/>
      <c r="M2302" s="109"/>
      <c r="N2302" s="109"/>
      <c r="O2302" s="109"/>
      <c r="P2302" s="109"/>
      <c r="Q2302" s="109"/>
      <c r="S2302" s="111"/>
      <c r="T2302" s="60"/>
      <c r="U2302" s="112"/>
    </row>
    <row r="2303" spans="4:21" s="110" customFormat="1" ht="15.75" customHeight="1">
      <c r="D2303" s="113"/>
      <c r="E2303" s="60"/>
      <c r="F2303" s="60"/>
      <c r="G2303" s="60"/>
      <c r="H2303" s="60"/>
      <c r="I2303" s="60"/>
      <c r="J2303" s="114"/>
      <c r="K2303" s="60"/>
      <c r="L2303" s="109"/>
      <c r="M2303" s="109"/>
      <c r="N2303" s="109"/>
      <c r="O2303" s="109"/>
      <c r="P2303" s="109"/>
      <c r="Q2303" s="109"/>
      <c r="S2303" s="111"/>
      <c r="T2303" s="60"/>
      <c r="U2303" s="112"/>
    </row>
    <row r="2304" spans="4:21" s="110" customFormat="1" ht="15.75" customHeight="1">
      <c r="D2304" s="113"/>
      <c r="E2304" s="60"/>
      <c r="F2304" s="60"/>
      <c r="G2304" s="60"/>
      <c r="H2304" s="60"/>
      <c r="I2304" s="60"/>
      <c r="J2304" s="114"/>
      <c r="K2304" s="60"/>
      <c r="L2304" s="109"/>
      <c r="M2304" s="109"/>
      <c r="N2304" s="109"/>
      <c r="O2304" s="109"/>
      <c r="P2304" s="109"/>
      <c r="Q2304" s="109"/>
      <c r="S2304" s="111"/>
      <c r="T2304" s="60"/>
      <c r="U2304" s="112"/>
    </row>
    <row r="2305" spans="4:21" s="110" customFormat="1" ht="15.75" customHeight="1">
      <c r="D2305" s="113"/>
      <c r="E2305" s="60"/>
      <c r="F2305" s="60"/>
      <c r="G2305" s="60"/>
      <c r="H2305" s="60"/>
      <c r="I2305" s="60"/>
      <c r="J2305" s="114"/>
      <c r="K2305" s="60"/>
      <c r="L2305" s="109"/>
      <c r="M2305" s="109"/>
      <c r="N2305" s="109"/>
      <c r="O2305" s="109"/>
      <c r="P2305" s="109"/>
      <c r="Q2305" s="109"/>
      <c r="S2305" s="111"/>
      <c r="T2305" s="60"/>
      <c r="U2305" s="112"/>
    </row>
    <row r="2306" spans="4:21" s="110" customFormat="1" ht="15.75" customHeight="1">
      <c r="D2306" s="113"/>
      <c r="E2306" s="60"/>
      <c r="F2306" s="60"/>
      <c r="G2306" s="60"/>
      <c r="H2306" s="60"/>
      <c r="I2306" s="60"/>
      <c r="J2306" s="114"/>
      <c r="K2306" s="60"/>
      <c r="L2306" s="109"/>
      <c r="M2306" s="109"/>
      <c r="N2306" s="109"/>
      <c r="O2306" s="109"/>
      <c r="P2306" s="109"/>
      <c r="Q2306" s="109"/>
      <c r="S2306" s="111"/>
      <c r="T2306" s="60"/>
      <c r="U2306" s="112"/>
    </row>
    <row r="2307" spans="4:21" s="110" customFormat="1" ht="15.75" customHeight="1">
      <c r="D2307" s="113"/>
      <c r="E2307" s="60"/>
      <c r="F2307" s="60"/>
      <c r="G2307" s="60"/>
      <c r="H2307" s="60"/>
      <c r="I2307" s="60"/>
      <c r="J2307" s="114"/>
      <c r="K2307" s="60"/>
      <c r="L2307" s="109"/>
      <c r="M2307" s="109"/>
      <c r="N2307" s="109"/>
      <c r="O2307" s="109"/>
      <c r="P2307" s="109"/>
      <c r="Q2307" s="109"/>
      <c r="S2307" s="111"/>
      <c r="T2307" s="60"/>
      <c r="U2307" s="112"/>
    </row>
    <row r="2308" spans="4:21" s="110" customFormat="1" ht="15.75" customHeight="1">
      <c r="D2308" s="113"/>
      <c r="E2308" s="60"/>
      <c r="F2308" s="60"/>
      <c r="G2308" s="60"/>
      <c r="H2308" s="60"/>
      <c r="I2308" s="60"/>
      <c r="J2308" s="114"/>
      <c r="K2308" s="60"/>
      <c r="L2308" s="109"/>
      <c r="M2308" s="109"/>
      <c r="N2308" s="109"/>
      <c r="O2308" s="109"/>
      <c r="P2308" s="109"/>
      <c r="Q2308" s="109"/>
      <c r="S2308" s="111"/>
      <c r="T2308" s="60"/>
      <c r="U2308" s="112"/>
    </row>
    <row r="2309" spans="4:21" s="110" customFormat="1" ht="15.75" customHeight="1">
      <c r="D2309" s="113"/>
      <c r="E2309" s="60"/>
      <c r="F2309" s="60"/>
      <c r="G2309" s="60"/>
      <c r="H2309" s="60"/>
      <c r="I2309" s="60"/>
      <c r="J2309" s="114"/>
      <c r="K2309" s="60"/>
      <c r="L2309" s="109"/>
      <c r="M2309" s="109"/>
      <c r="N2309" s="109"/>
      <c r="O2309" s="109"/>
      <c r="P2309" s="109"/>
      <c r="Q2309" s="109"/>
      <c r="S2309" s="111"/>
      <c r="T2309" s="60"/>
      <c r="U2309" s="112"/>
    </row>
    <row r="2310" spans="4:21" s="110" customFormat="1" ht="15.75" customHeight="1">
      <c r="D2310" s="113"/>
      <c r="E2310" s="60"/>
      <c r="F2310" s="60"/>
      <c r="G2310" s="60"/>
      <c r="H2310" s="60"/>
      <c r="I2310" s="60"/>
      <c r="J2310" s="114"/>
      <c r="K2310" s="60"/>
      <c r="L2310" s="109"/>
      <c r="M2310" s="109"/>
      <c r="N2310" s="109"/>
      <c r="O2310" s="109"/>
      <c r="P2310" s="109"/>
      <c r="Q2310" s="109"/>
      <c r="S2310" s="111"/>
      <c r="T2310" s="60"/>
      <c r="U2310" s="112"/>
    </row>
    <row r="2311" spans="4:21" s="110" customFormat="1" ht="15.75" customHeight="1">
      <c r="D2311" s="113"/>
      <c r="E2311" s="60"/>
      <c r="F2311" s="60"/>
      <c r="G2311" s="60"/>
      <c r="H2311" s="60"/>
      <c r="I2311" s="60"/>
      <c r="J2311" s="114"/>
      <c r="K2311" s="60"/>
      <c r="L2311" s="109"/>
      <c r="M2311" s="109"/>
      <c r="N2311" s="109"/>
      <c r="O2311" s="109"/>
      <c r="P2311" s="109"/>
      <c r="Q2311" s="109"/>
      <c r="S2311" s="111"/>
      <c r="T2311" s="60"/>
      <c r="U2311" s="112"/>
    </row>
    <row r="2312" spans="4:21" s="110" customFormat="1" ht="15.75" customHeight="1">
      <c r="D2312" s="113"/>
      <c r="E2312" s="60"/>
      <c r="F2312" s="60"/>
      <c r="G2312" s="60"/>
      <c r="H2312" s="60"/>
      <c r="I2312" s="60"/>
      <c r="J2312" s="114"/>
      <c r="K2312" s="60"/>
      <c r="L2312" s="109"/>
      <c r="M2312" s="109"/>
      <c r="N2312" s="109"/>
      <c r="O2312" s="109"/>
      <c r="P2312" s="109"/>
      <c r="Q2312" s="109"/>
      <c r="S2312" s="111"/>
      <c r="T2312" s="60"/>
      <c r="U2312" s="112"/>
    </row>
    <row r="2313" spans="4:21" s="110" customFormat="1" ht="15.75" customHeight="1">
      <c r="D2313" s="113"/>
      <c r="E2313" s="60"/>
      <c r="F2313" s="60"/>
      <c r="G2313" s="60"/>
      <c r="H2313" s="60"/>
      <c r="I2313" s="60"/>
      <c r="J2313" s="114"/>
      <c r="K2313" s="60"/>
      <c r="L2313" s="109"/>
      <c r="M2313" s="109"/>
      <c r="N2313" s="109"/>
      <c r="O2313" s="109"/>
      <c r="P2313" s="109"/>
      <c r="Q2313" s="109"/>
      <c r="S2313" s="111"/>
      <c r="T2313" s="60"/>
      <c r="U2313" s="112"/>
    </row>
    <row r="2314" spans="4:21" s="110" customFormat="1" ht="15.75" customHeight="1">
      <c r="D2314" s="113"/>
      <c r="E2314" s="60"/>
      <c r="F2314" s="60"/>
      <c r="G2314" s="60"/>
      <c r="H2314" s="60"/>
      <c r="I2314" s="60"/>
      <c r="J2314" s="114"/>
      <c r="K2314" s="60"/>
      <c r="L2314" s="109"/>
      <c r="M2314" s="109"/>
      <c r="N2314" s="109"/>
      <c r="O2314" s="109"/>
      <c r="P2314" s="109"/>
      <c r="Q2314" s="109"/>
      <c r="S2314" s="111"/>
      <c r="T2314" s="60"/>
      <c r="U2314" s="112"/>
    </row>
    <row r="2315" spans="4:21" s="110" customFormat="1" ht="15.75" customHeight="1">
      <c r="D2315" s="113"/>
      <c r="E2315" s="60"/>
      <c r="F2315" s="60"/>
      <c r="G2315" s="60"/>
      <c r="H2315" s="60"/>
      <c r="I2315" s="60"/>
      <c r="J2315" s="114"/>
      <c r="K2315" s="60"/>
      <c r="L2315" s="109"/>
      <c r="M2315" s="109"/>
      <c r="N2315" s="109"/>
      <c r="O2315" s="109"/>
      <c r="P2315" s="109"/>
      <c r="Q2315" s="109"/>
      <c r="S2315" s="111"/>
      <c r="T2315" s="60"/>
      <c r="U2315" s="112"/>
    </row>
    <row r="2316" spans="4:21" s="110" customFormat="1" ht="15.75" customHeight="1">
      <c r="D2316" s="113"/>
      <c r="E2316" s="60"/>
      <c r="F2316" s="60"/>
      <c r="G2316" s="60"/>
      <c r="H2316" s="60"/>
      <c r="I2316" s="60"/>
      <c r="J2316" s="114"/>
      <c r="K2316" s="60"/>
      <c r="L2316" s="109"/>
      <c r="M2316" s="109"/>
      <c r="N2316" s="109"/>
      <c r="O2316" s="109"/>
      <c r="P2316" s="109"/>
      <c r="Q2316" s="109"/>
      <c r="S2316" s="111"/>
      <c r="T2316" s="60"/>
      <c r="U2316" s="112"/>
    </row>
    <row r="2317" spans="4:21" s="110" customFormat="1" ht="15.75" customHeight="1">
      <c r="D2317" s="113"/>
      <c r="E2317" s="60"/>
      <c r="F2317" s="60"/>
      <c r="G2317" s="60"/>
      <c r="H2317" s="60"/>
      <c r="I2317" s="60"/>
      <c r="J2317" s="114"/>
      <c r="K2317" s="60"/>
      <c r="L2317" s="109"/>
      <c r="M2317" s="109"/>
      <c r="N2317" s="109"/>
      <c r="O2317" s="109"/>
      <c r="P2317" s="109"/>
      <c r="Q2317" s="109"/>
      <c r="S2317" s="111"/>
      <c r="T2317" s="60"/>
      <c r="U2317" s="112"/>
    </row>
    <row r="2318" spans="4:21" s="110" customFormat="1" ht="15.75" customHeight="1">
      <c r="D2318" s="113"/>
      <c r="E2318" s="60"/>
      <c r="F2318" s="60"/>
      <c r="G2318" s="60"/>
      <c r="H2318" s="60"/>
      <c r="I2318" s="60"/>
      <c r="J2318" s="114"/>
      <c r="K2318" s="60"/>
      <c r="L2318" s="109"/>
      <c r="M2318" s="109"/>
      <c r="N2318" s="109"/>
      <c r="O2318" s="109"/>
      <c r="P2318" s="109"/>
      <c r="Q2318" s="109"/>
      <c r="S2318" s="111"/>
      <c r="T2318" s="60"/>
      <c r="U2318" s="112"/>
    </row>
    <row r="2319" spans="4:21" s="110" customFormat="1" ht="15.75" customHeight="1">
      <c r="D2319" s="113"/>
      <c r="E2319" s="60"/>
      <c r="F2319" s="60"/>
      <c r="G2319" s="60"/>
      <c r="H2319" s="60"/>
      <c r="I2319" s="60"/>
      <c r="J2319" s="114"/>
      <c r="K2319" s="60"/>
      <c r="L2319" s="109"/>
      <c r="M2319" s="109"/>
      <c r="N2319" s="109"/>
      <c r="O2319" s="109"/>
      <c r="P2319" s="109"/>
      <c r="Q2319" s="109"/>
      <c r="S2319" s="111"/>
      <c r="T2319" s="60"/>
      <c r="U2319" s="112"/>
    </row>
    <row r="2320" spans="4:21" s="110" customFormat="1" ht="15.75" customHeight="1">
      <c r="D2320" s="113"/>
      <c r="E2320" s="60"/>
      <c r="F2320" s="60"/>
      <c r="G2320" s="60"/>
      <c r="H2320" s="60"/>
      <c r="I2320" s="60"/>
      <c r="J2320" s="114"/>
      <c r="K2320" s="60"/>
      <c r="L2320" s="109"/>
      <c r="M2320" s="109"/>
      <c r="N2320" s="109"/>
      <c r="O2320" s="109"/>
      <c r="P2320" s="109"/>
      <c r="Q2320" s="109"/>
      <c r="S2320" s="111"/>
      <c r="T2320" s="60"/>
      <c r="U2320" s="112"/>
    </row>
    <row r="2321" spans="4:21" s="110" customFormat="1" ht="15.75" customHeight="1">
      <c r="D2321" s="113"/>
      <c r="E2321" s="60"/>
      <c r="F2321" s="60"/>
      <c r="G2321" s="60"/>
      <c r="H2321" s="60"/>
      <c r="I2321" s="60"/>
      <c r="J2321" s="114"/>
      <c r="K2321" s="60"/>
      <c r="L2321" s="109"/>
      <c r="M2321" s="109"/>
      <c r="N2321" s="109"/>
      <c r="O2321" s="109"/>
      <c r="P2321" s="109"/>
      <c r="Q2321" s="109"/>
      <c r="S2321" s="111"/>
      <c r="T2321" s="60"/>
      <c r="U2321" s="112"/>
    </row>
    <row r="2322" spans="4:21" s="110" customFormat="1" ht="15.75" customHeight="1">
      <c r="D2322" s="113"/>
      <c r="E2322" s="60"/>
      <c r="F2322" s="60"/>
      <c r="G2322" s="60"/>
      <c r="H2322" s="60"/>
      <c r="I2322" s="60"/>
      <c r="J2322" s="114"/>
      <c r="K2322" s="60"/>
      <c r="L2322" s="109"/>
      <c r="M2322" s="109"/>
      <c r="N2322" s="109"/>
      <c r="O2322" s="109"/>
      <c r="P2322" s="109"/>
      <c r="Q2322" s="109"/>
      <c r="S2322" s="111"/>
      <c r="T2322" s="60"/>
      <c r="U2322" s="112"/>
    </row>
    <row r="2323" spans="4:21" s="110" customFormat="1" ht="15.75" customHeight="1">
      <c r="D2323" s="113"/>
      <c r="E2323" s="60"/>
      <c r="F2323" s="60"/>
      <c r="G2323" s="60"/>
      <c r="H2323" s="60"/>
      <c r="I2323" s="60"/>
      <c r="J2323" s="114"/>
      <c r="K2323" s="60"/>
      <c r="L2323" s="109"/>
      <c r="M2323" s="109"/>
      <c r="N2323" s="109"/>
      <c r="O2323" s="109"/>
      <c r="P2323" s="109"/>
      <c r="Q2323" s="109"/>
      <c r="S2323" s="111"/>
      <c r="T2323" s="60"/>
      <c r="U2323" s="112"/>
    </row>
    <row r="2324" spans="4:21" s="110" customFormat="1" ht="15.75" customHeight="1">
      <c r="D2324" s="113"/>
      <c r="E2324" s="60"/>
      <c r="F2324" s="60"/>
      <c r="G2324" s="60"/>
      <c r="H2324" s="60"/>
      <c r="I2324" s="60"/>
      <c r="J2324" s="114"/>
      <c r="K2324" s="60"/>
      <c r="L2324" s="109"/>
      <c r="M2324" s="109"/>
      <c r="N2324" s="109"/>
      <c r="O2324" s="109"/>
      <c r="P2324" s="109"/>
      <c r="Q2324" s="109"/>
      <c r="S2324" s="111"/>
      <c r="T2324" s="60"/>
      <c r="U2324" s="112"/>
    </row>
    <row r="2325" spans="4:21" s="110" customFormat="1" ht="15.75" customHeight="1">
      <c r="D2325" s="113"/>
      <c r="E2325" s="60"/>
      <c r="F2325" s="60"/>
      <c r="G2325" s="60"/>
      <c r="H2325" s="60"/>
      <c r="I2325" s="60"/>
      <c r="J2325" s="114"/>
      <c r="K2325" s="60"/>
      <c r="L2325" s="109"/>
      <c r="M2325" s="109"/>
      <c r="N2325" s="109"/>
      <c r="O2325" s="109"/>
      <c r="P2325" s="109"/>
      <c r="Q2325" s="109"/>
      <c r="S2325" s="111"/>
      <c r="T2325" s="60"/>
      <c r="U2325" s="112"/>
    </row>
    <row r="2326" spans="4:21" s="110" customFormat="1" ht="15.75" customHeight="1">
      <c r="D2326" s="113"/>
      <c r="E2326" s="60"/>
      <c r="F2326" s="60"/>
      <c r="G2326" s="60"/>
      <c r="H2326" s="60"/>
      <c r="I2326" s="60"/>
      <c r="J2326" s="114"/>
      <c r="K2326" s="60"/>
      <c r="L2326" s="109"/>
      <c r="M2326" s="109"/>
      <c r="N2326" s="109"/>
      <c r="O2326" s="109"/>
      <c r="P2326" s="109"/>
      <c r="Q2326" s="109"/>
      <c r="S2326" s="111"/>
      <c r="T2326" s="60"/>
      <c r="U2326" s="112"/>
    </row>
    <row r="2327" spans="4:21" s="110" customFormat="1" ht="15.75" customHeight="1">
      <c r="D2327" s="113"/>
      <c r="E2327" s="60"/>
      <c r="F2327" s="60"/>
      <c r="G2327" s="60"/>
      <c r="H2327" s="60"/>
      <c r="I2327" s="60"/>
      <c r="J2327" s="114"/>
      <c r="K2327" s="60"/>
      <c r="L2327" s="109"/>
      <c r="M2327" s="109"/>
      <c r="N2327" s="109"/>
      <c r="O2327" s="109"/>
      <c r="P2327" s="109"/>
      <c r="Q2327" s="109"/>
      <c r="S2327" s="111"/>
      <c r="T2327" s="60"/>
      <c r="U2327" s="112"/>
    </row>
    <row r="2328" spans="4:21" s="110" customFormat="1" ht="15.75" customHeight="1">
      <c r="D2328" s="113"/>
      <c r="E2328" s="60"/>
      <c r="F2328" s="60"/>
      <c r="G2328" s="60"/>
      <c r="H2328" s="60"/>
      <c r="I2328" s="60"/>
      <c r="J2328" s="114"/>
      <c r="K2328" s="60"/>
      <c r="L2328" s="109"/>
      <c r="M2328" s="109"/>
      <c r="N2328" s="109"/>
      <c r="O2328" s="109"/>
      <c r="P2328" s="109"/>
      <c r="Q2328" s="109"/>
      <c r="S2328" s="111"/>
      <c r="T2328" s="60"/>
      <c r="U2328" s="112"/>
    </row>
    <row r="2329" spans="4:21" s="110" customFormat="1" ht="15.75" customHeight="1">
      <c r="D2329" s="113"/>
      <c r="E2329" s="60"/>
      <c r="F2329" s="60"/>
      <c r="G2329" s="60"/>
      <c r="H2329" s="60"/>
      <c r="I2329" s="60"/>
      <c r="J2329" s="114"/>
      <c r="K2329" s="60"/>
      <c r="L2329" s="109"/>
      <c r="M2329" s="109"/>
      <c r="N2329" s="109"/>
      <c r="O2329" s="109"/>
      <c r="P2329" s="109"/>
      <c r="Q2329" s="109"/>
      <c r="S2329" s="111"/>
      <c r="T2329" s="60"/>
      <c r="U2329" s="112"/>
    </row>
    <row r="2330" spans="4:21" s="110" customFormat="1" ht="15.75" customHeight="1">
      <c r="D2330" s="113"/>
      <c r="E2330" s="60"/>
      <c r="F2330" s="60"/>
      <c r="G2330" s="60"/>
      <c r="H2330" s="60"/>
      <c r="I2330" s="60"/>
      <c r="J2330" s="114"/>
      <c r="K2330" s="60"/>
      <c r="L2330" s="109"/>
      <c r="M2330" s="109"/>
      <c r="N2330" s="109"/>
      <c r="O2330" s="109"/>
      <c r="P2330" s="109"/>
      <c r="Q2330" s="109"/>
      <c r="S2330" s="111"/>
      <c r="T2330" s="60"/>
      <c r="U2330" s="112"/>
    </row>
    <row r="2331" spans="4:21" s="110" customFormat="1" ht="15.75" customHeight="1">
      <c r="D2331" s="113"/>
      <c r="E2331" s="60"/>
      <c r="F2331" s="60"/>
      <c r="G2331" s="60"/>
      <c r="H2331" s="60"/>
      <c r="I2331" s="60"/>
      <c r="J2331" s="114"/>
      <c r="K2331" s="60"/>
      <c r="L2331" s="109"/>
      <c r="M2331" s="109"/>
      <c r="N2331" s="109"/>
      <c r="O2331" s="109"/>
      <c r="P2331" s="109"/>
      <c r="Q2331" s="109"/>
      <c r="S2331" s="111"/>
      <c r="T2331" s="60"/>
      <c r="U2331" s="112"/>
    </row>
    <row r="2332" spans="4:21" s="110" customFormat="1" ht="15.75" customHeight="1">
      <c r="D2332" s="113"/>
      <c r="E2332" s="60"/>
      <c r="F2332" s="60"/>
      <c r="G2332" s="60"/>
      <c r="H2332" s="60"/>
      <c r="I2332" s="60"/>
      <c r="J2332" s="114"/>
      <c r="K2332" s="60"/>
      <c r="L2332" s="109"/>
      <c r="M2332" s="109"/>
      <c r="N2332" s="109"/>
      <c r="O2332" s="109"/>
      <c r="P2332" s="109"/>
      <c r="Q2332" s="109"/>
      <c r="S2332" s="111"/>
      <c r="T2332" s="60"/>
      <c r="U2332" s="112"/>
    </row>
    <row r="2333" spans="4:21" s="110" customFormat="1" ht="15.75" customHeight="1">
      <c r="D2333" s="113"/>
      <c r="E2333" s="60"/>
      <c r="F2333" s="60"/>
      <c r="G2333" s="60"/>
      <c r="H2333" s="60"/>
      <c r="I2333" s="60"/>
      <c r="J2333" s="114"/>
      <c r="K2333" s="60"/>
      <c r="L2333" s="109"/>
      <c r="M2333" s="109"/>
      <c r="N2333" s="109"/>
      <c r="O2333" s="109"/>
      <c r="P2333" s="109"/>
      <c r="Q2333" s="109"/>
      <c r="S2333" s="111"/>
      <c r="T2333" s="60"/>
      <c r="U2333" s="112"/>
    </row>
    <row r="2334" spans="4:21" s="110" customFormat="1" ht="15.75" customHeight="1">
      <c r="D2334" s="113"/>
      <c r="E2334" s="60"/>
      <c r="F2334" s="60"/>
      <c r="G2334" s="60"/>
      <c r="H2334" s="60"/>
      <c r="I2334" s="60"/>
      <c r="J2334" s="114"/>
      <c r="K2334" s="60"/>
      <c r="L2334" s="109"/>
      <c r="M2334" s="109"/>
      <c r="N2334" s="109"/>
      <c r="O2334" s="109"/>
      <c r="P2334" s="109"/>
      <c r="Q2334" s="109"/>
      <c r="S2334" s="111"/>
      <c r="T2334" s="60"/>
      <c r="U2334" s="112"/>
    </row>
    <row r="2335" spans="4:21" s="110" customFormat="1" ht="15.75" customHeight="1">
      <c r="D2335" s="113"/>
      <c r="E2335" s="60"/>
      <c r="F2335" s="60"/>
      <c r="G2335" s="60"/>
      <c r="H2335" s="60"/>
      <c r="I2335" s="60"/>
      <c r="J2335" s="114"/>
      <c r="K2335" s="60"/>
      <c r="L2335" s="109"/>
      <c r="M2335" s="109"/>
      <c r="N2335" s="109"/>
      <c r="O2335" s="109"/>
      <c r="P2335" s="109"/>
      <c r="Q2335" s="109"/>
      <c r="S2335" s="111"/>
      <c r="T2335" s="60"/>
      <c r="U2335" s="112"/>
    </row>
    <row r="2336" spans="4:21" s="110" customFormat="1" ht="15.75" customHeight="1">
      <c r="D2336" s="113"/>
      <c r="E2336" s="60"/>
      <c r="F2336" s="60"/>
      <c r="G2336" s="60"/>
      <c r="H2336" s="60"/>
      <c r="I2336" s="60"/>
      <c r="J2336" s="114"/>
      <c r="K2336" s="60"/>
      <c r="L2336" s="109"/>
      <c r="M2336" s="109"/>
      <c r="N2336" s="109"/>
      <c r="O2336" s="109"/>
      <c r="P2336" s="109"/>
      <c r="Q2336" s="109"/>
      <c r="S2336" s="111"/>
      <c r="T2336" s="60"/>
      <c r="U2336" s="112"/>
    </row>
    <row r="2337" spans="4:21" s="110" customFormat="1" ht="15.75" customHeight="1">
      <c r="D2337" s="113"/>
      <c r="E2337" s="60"/>
      <c r="F2337" s="60"/>
      <c r="G2337" s="60"/>
      <c r="H2337" s="60"/>
      <c r="I2337" s="60"/>
      <c r="J2337" s="114"/>
      <c r="K2337" s="60"/>
      <c r="L2337" s="109"/>
      <c r="M2337" s="109"/>
      <c r="N2337" s="109"/>
      <c r="O2337" s="109"/>
      <c r="P2337" s="109"/>
      <c r="Q2337" s="109"/>
      <c r="S2337" s="111"/>
      <c r="T2337" s="60"/>
      <c r="U2337" s="112"/>
    </row>
    <row r="2338" spans="4:21" s="110" customFormat="1" ht="15.75" customHeight="1">
      <c r="D2338" s="113"/>
      <c r="E2338" s="60"/>
      <c r="F2338" s="60"/>
      <c r="G2338" s="60"/>
      <c r="H2338" s="60"/>
      <c r="I2338" s="60"/>
      <c r="J2338" s="114"/>
      <c r="K2338" s="60"/>
      <c r="L2338" s="109"/>
      <c r="M2338" s="109"/>
      <c r="N2338" s="109"/>
      <c r="O2338" s="109"/>
      <c r="P2338" s="109"/>
      <c r="Q2338" s="109"/>
      <c r="S2338" s="111"/>
      <c r="T2338" s="60"/>
      <c r="U2338" s="112"/>
    </row>
    <row r="2339" spans="4:21" s="110" customFormat="1" ht="15.75" customHeight="1">
      <c r="D2339" s="113"/>
      <c r="E2339" s="60"/>
      <c r="F2339" s="60"/>
      <c r="G2339" s="60"/>
      <c r="H2339" s="60"/>
      <c r="I2339" s="60"/>
      <c r="J2339" s="114"/>
      <c r="K2339" s="60"/>
      <c r="L2339" s="109"/>
      <c r="M2339" s="109"/>
      <c r="N2339" s="109"/>
      <c r="O2339" s="109"/>
      <c r="P2339" s="109"/>
      <c r="Q2339" s="109"/>
      <c r="S2339" s="111"/>
      <c r="T2339" s="60"/>
      <c r="U2339" s="112"/>
    </row>
    <row r="2340" spans="4:21" s="110" customFormat="1" ht="15.75" customHeight="1">
      <c r="D2340" s="113"/>
      <c r="E2340" s="60"/>
      <c r="F2340" s="60"/>
      <c r="G2340" s="60"/>
      <c r="H2340" s="60"/>
      <c r="I2340" s="60"/>
      <c r="J2340" s="114"/>
      <c r="K2340" s="60"/>
      <c r="L2340" s="109"/>
      <c r="M2340" s="109"/>
      <c r="N2340" s="109"/>
      <c r="O2340" s="109"/>
      <c r="P2340" s="109"/>
      <c r="Q2340" s="109"/>
      <c r="S2340" s="111"/>
      <c r="T2340" s="60"/>
      <c r="U2340" s="112"/>
    </row>
    <row r="2341" spans="4:21" s="110" customFormat="1" ht="15.75" customHeight="1">
      <c r="D2341" s="113"/>
      <c r="E2341" s="60"/>
      <c r="F2341" s="60"/>
      <c r="G2341" s="60"/>
      <c r="H2341" s="60"/>
      <c r="I2341" s="60"/>
      <c r="J2341" s="114"/>
      <c r="K2341" s="60"/>
      <c r="L2341" s="109"/>
      <c r="M2341" s="109"/>
      <c r="N2341" s="109"/>
      <c r="O2341" s="109"/>
      <c r="P2341" s="109"/>
      <c r="Q2341" s="109"/>
      <c r="S2341" s="111"/>
      <c r="T2341" s="60"/>
      <c r="U2341" s="112"/>
    </row>
    <row r="2342" spans="4:21" s="110" customFormat="1" ht="15.75" customHeight="1">
      <c r="D2342" s="113"/>
      <c r="E2342" s="60"/>
      <c r="F2342" s="60"/>
      <c r="G2342" s="60"/>
      <c r="H2342" s="60"/>
      <c r="I2342" s="60"/>
      <c r="J2342" s="114"/>
      <c r="K2342" s="60"/>
      <c r="L2342" s="109"/>
      <c r="M2342" s="109"/>
      <c r="N2342" s="109"/>
      <c r="O2342" s="109"/>
      <c r="P2342" s="109"/>
      <c r="Q2342" s="109"/>
      <c r="S2342" s="111"/>
      <c r="T2342" s="60"/>
      <c r="U2342" s="112"/>
    </row>
    <row r="2343" spans="4:21" s="110" customFormat="1" ht="15.75" customHeight="1">
      <c r="D2343" s="113"/>
      <c r="E2343" s="60"/>
      <c r="F2343" s="60"/>
      <c r="G2343" s="60"/>
      <c r="H2343" s="60"/>
      <c r="I2343" s="60"/>
      <c r="J2343" s="114"/>
      <c r="K2343" s="60"/>
      <c r="L2343" s="109"/>
      <c r="M2343" s="109"/>
      <c r="N2343" s="109"/>
      <c r="O2343" s="109"/>
      <c r="P2343" s="109"/>
      <c r="Q2343" s="109"/>
      <c r="S2343" s="111"/>
      <c r="T2343" s="60"/>
      <c r="U2343" s="112"/>
    </row>
    <row r="2344" spans="4:21" s="110" customFormat="1" ht="15.75" customHeight="1">
      <c r="D2344" s="113"/>
      <c r="E2344" s="60"/>
      <c r="F2344" s="60"/>
      <c r="G2344" s="60"/>
      <c r="H2344" s="60"/>
      <c r="I2344" s="60"/>
      <c r="J2344" s="114"/>
      <c r="K2344" s="60"/>
      <c r="L2344" s="109"/>
      <c r="M2344" s="109"/>
      <c r="N2344" s="109"/>
      <c r="O2344" s="109"/>
      <c r="P2344" s="109"/>
      <c r="Q2344" s="109"/>
      <c r="S2344" s="111"/>
      <c r="T2344" s="60"/>
      <c r="U2344" s="112"/>
    </row>
    <row r="2345" spans="4:21" s="110" customFormat="1" ht="15.75" customHeight="1">
      <c r="D2345" s="113"/>
      <c r="E2345" s="60"/>
      <c r="F2345" s="60"/>
      <c r="G2345" s="60"/>
      <c r="H2345" s="60"/>
      <c r="I2345" s="60"/>
      <c r="J2345" s="114"/>
      <c r="K2345" s="60"/>
      <c r="L2345" s="109"/>
      <c r="M2345" s="109"/>
      <c r="N2345" s="109"/>
      <c r="O2345" s="109"/>
      <c r="P2345" s="109"/>
      <c r="Q2345" s="109"/>
      <c r="S2345" s="111"/>
      <c r="T2345" s="60"/>
      <c r="U2345" s="112"/>
    </row>
    <row r="2346" spans="4:21" s="110" customFormat="1" ht="15.75" customHeight="1">
      <c r="D2346" s="113"/>
      <c r="E2346" s="60"/>
      <c r="F2346" s="60"/>
      <c r="G2346" s="60"/>
      <c r="H2346" s="60"/>
      <c r="I2346" s="60"/>
      <c r="J2346" s="114"/>
      <c r="K2346" s="60"/>
      <c r="L2346" s="109"/>
      <c r="M2346" s="109"/>
      <c r="N2346" s="109"/>
      <c r="O2346" s="109"/>
      <c r="P2346" s="109"/>
      <c r="Q2346" s="109"/>
      <c r="S2346" s="111"/>
      <c r="T2346" s="60"/>
      <c r="U2346" s="112"/>
    </row>
    <row r="2347" spans="4:21" s="110" customFormat="1" ht="15.75" customHeight="1">
      <c r="D2347" s="113"/>
      <c r="E2347" s="60"/>
      <c r="F2347" s="60"/>
      <c r="G2347" s="60"/>
      <c r="H2347" s="60"/>
      <c r="I2347" s="60"/>
      <c r="J2347" s="114"/>
      <c r="K2347" s="60"/>
      <c r="L2347" s="109"/>
      <c r="M2347" s="109"/>
      <c r="N2347" s="109"/>
      <c r="O2347" s="109"/>
      <c r="P2347" s="109"/>
      <c r="Q2347" s="109"/>
      <c r="S2347" s="111"/>
      <c r="T2347" s="60"/>
      <c r="U2347" s="112"/>
    </row>
    <row r="2348" spans="4:21" s="110" customFormat="1" ht="15.75" customHeight="1">
      <c r="D2348" s="113"/>
      <c r="E2348" s="60"/>
      <c r="F2348" s="60"/>
      <c r="G2348" s="60"/>
      <c r="H2348" s="60"/>
      <c r="I2348" s="60"/>
      <c r="J2348" s="114"/>
      <c r="K2348" s="60"/>
      <c r="L2348" s="109"/>
      <c r="M2348" s="109"/>
      <c r="N2348" s="109"/>
      <c r="O2348" s="109"/>
      <c r="P2348" s="109"/>
      <c r="Q2348" s="109"/>
      <c r="S2348" s="111"/>
      <c r="T2348" s="60"/>
      <c r="U2348" s="112"/>
    </row>
    <row r="2349" spans="4:21" s="110" customFormat="1" ht="15.75" customHeight="1">
      <c r="D2349" s="113"/>
      <c r="E2349" s="60"/>
      <c r="F2349" s="60"/>
      <c r="G2349" s="60"/>
      <c r="H2349" s="60"/>
      <c r="I2349" s="60"/>
      <c r="J2349" s="114"/>
      <c r="K2349" s="60"/>
      <c r="L2349" s="109"/>
      <c r="M2349" s="109"/>
      <c r="N2349" s="109"/>
      <c r="O2349" s="109"/>
      <c r="P2349" s="109"/>
      <c r="Q2349" s="109"/>
      <c r="S2349" s="111"/>
      <c r="T2349" s="60"/>
      <c r="U2349" s="112"/>
    </row>
    <row r="2350" spans="4:21" s="110" customFormat="1" ht="15.75" customHeight="1">
      <c r="D2350" s="113"/>
      <c r="E2350" s="60"/>
      <c r="F2350" s="60"/>
      <c r="G2350" s="60"/>
      <c r="H2350" s="60"/>
      <c r="I2350" s="60"/>
      <c r="J2350" s="114"/>
      <c r="K2350" s="60"/>
      <c r="L2350" s="109"/>
      <c r="M2350" s="109"/>
      <c r="N2350" s="109"/>
      <c r="O2350" s="109"/>
      <c r="P2350" s="109"/>
      <c r="Q2350" s="109"/>
      <c r="S2350" s="111"/>
      <c r="T2350" s="60"/>
      <c r="U2350" s="112"/>
    </row>
    <row r="2351" spans="4:21" s="110" customFormat="1" ht="15.75" customHeight="1">
      <c r="D2351" s="113"/>
      <c r="E2351" s="60"/>
      <c r="F2351" s="60"/>
      <c r="G2351" s="60"/>
      <c r="H2351" s="60"/>
      <c r="I2351" s="60"/>
      <c r="J2351" s="114"/>
      <c r="K2351" s="60"/>
      <c r="L2351" s="109"/>
      <c r="M2351" s="109"/>
      <c r="N2351" s="109"/>
      <c r="O2351" s="109"/>
      <c r="P2351" s="109"/>
      <c r="Q2351" s="109"/>
      <c r="S2351" s="111"/>
      <c r="T2351" s="60"/>
      <c r="U2351" s="112"/>
    </row>
    <row r="2352" spans="4:21" s="110" customFormat="1" ht="15.75" customHeight="1">
      <c r="D2352" s="113"/>
      <c r="E2352" s="60"/>
      <c r="F2352" s="60"/>
      <c r="G2352" s="60"/>
      <c r="H2352" s="60"/>
      <c r="I2352" s="60"/>
      <c r="J2352" s="114"/>
      <c r="K2352" s="60"/>
      <c r="L2352" s="109"/>
      <c r="M2352" s="109"/>
      <c r="N2352" s="109"/>
      <c r="O2352" s="109"/>
      <c r="P2352" s="109"/>
      <c r="Q2352" s="109"/>
      <c r="S2352" s="111"/>
      <c r="T2352" s="60"/>
      <c r="U2352" s="112"/>
    </row>
    <row r="2353" spans="4:21" s="110" customFormat="1" ht="15.75" customHeight="1">
      <c r="D2353" s="113"/>
      <c r="E2353" s="60"/>
      <c r="F2353" s="60"/>
      <c r="G2353" s="60"/>
      <c r="H2353" s="60"/>
      <c r="I2353" s="60"/>
      <c r="J2353" s="114"/>
      <c r="K2353" s="60"/>
      <c r="L2353" s="109"/>
      <c r="M2353" s="109"/>
      <c r="N2353" s="109"/>
      <c r="O2353" s="109"/>
      <c r="P2353" s="109"/>
      <c r="Q2353" s="109"/>
      <c r="S2353" s="111"/>
      <c r="T2353" s="60"/>
      <c r="U2353" s="112"/>
    </row>
    <row r="2354" spans="4:21" s="110" customFormat="1" ht="15.75" customHeight="1">
      <c r="D2354" s="113"/>
      <c r="E2354" s="60"/>
      <c r="F2354" s="60"/>
      <c r="G2354" s="60"/>
      <c r="H2354" s="60"/>
      <c r="I2354" s="60"/>
      <c r="J2354" s="114"/>
      <c r="K2354" s="60"/>
      <c r="L2354" s="109"/>
      <c r="M2354" s="109"/>
      <c r="N2354" s="109"/>
      <c r="O2354" s="109"/>
      <c r="P2354" s="109"/>
      <c r="Q2354" s="109"/>
      <c r="S2354" s="111"/>
      <c r="T2354" s="60"/>
      <c r="U2354" s="112"/>
    </row>
    <row r="2355" spans="4:21" s="110" customFormat="1" ht="15.75" customHeight="1">
      <c r="D2355" s="113"/>
      <c r="E2355" s="60"/>
      <c r="F2355" s="60"/>
      <c r="G2355" s="60"/>
      <c r="H2355" s="60"/>
      <c r="I2355" s="60"/>
      <c r="J2355" s="114"/>
      <c r="K2355" s="60"/>
      <c r="L2355" s="109"/>
      <c r="M2355" s="109"/>
      <c r="N2355" s="109"/>
      <c r="O2355" s="109"/>
      <c r="P2355" s="109"/>
      <c r="Q2355" s="109"/>
      <c r="S2355" s="111"/>
      <c r="T2355" s="60"/>
      <c r="U2355" s="112"/>
    </row>
    <row r="2356" spans="4:21" s="110" customFormat="1" ht="15.75" customHeight="1">
      <c r="D2356" s="113"/>
      <c r="E2356" s="60"/>
      <c r="F2356" s="60"/>
      <c r="G2356" s="60"/>
      <c r="H2356" s="60"/>
      <c r="I2356" s="60"/>
      <c r="J2356" s="114"/>
      <c r="K2356" s="60"/>
      <c r="L2356" s="109"/>
      <c r="M2356" s="109"/>
      <c r="N2356" s="109"/>
      <c r="O2356" s="109"/>
      <c r="P2356" s="109"/>
      <c r="Q2356" s="109"/>
      <c r="S2356" s="111"/>
      <c r="T2356" s="60"/>
      <c r="U2356" s="112"/>
    </row>
    <row r="2357" spans="4:21" s="110" customFormat="1" ht="15.75" customHeight="1">
      <c r="D2357" s="113"/>
      <c r="E2357" s="60"/>
      <c r="F2357" s="60"/>
      <c r="G2357" s="60"/>
      <c r="H2357" s="60"/>
      <c r="I2357" s="60"/>
      <c r="J2357" s="114"/>
      <c r="K2357" s="60"/>
      <c r="L2357" s="109"/>
      <c r="M2357" s="109"/>
      <c r="N2357" s="109"/>
      <c r="O2357" s="109"/>
      <c r="P2357" s="109"/>
      <c r="Q2357" s="109"/>
      <c r="S2357" s="111"/>
      <c r="T2357" s="60"/>
      <c r="U2357" s="112"/>
    </row>
    <row r="2358" spans="4:21" s="110" customFormat="1" ht="15.75" customHeight="1">
      <c r="D2358" s="113"/>
      <c r="E2358" s="60"/>
      <c r="F2358" s="60"/>
      <c r="G2358" s="60"/>
      <c r="H2358" s="60"/>
      <c r="I2358" s="60"/>
      <c r="J2358" s="114"/>
      <c r="K2358" s="60"/>
      <c r="L2358" s="109"/>
      <c r="M2358" s="109"/>
      <c r="N2358" s="109"/>
      <c r="O2358" s="109"/>
      <c r="P2358" s="109"/>
      <c r="Q2358" s="109"/>
      <c r="S2358" s="111"/>
      <c r="T2358" s="60"/>
      <c r="U2358" s="112"/>
    </row>
    <row r="2359" spans="4:21" s="110" customFormat="1" ht="15.75" customHeight="1">
      <c r="D2359" s="113"/>
      <c r="E2359" s="60"/>
      <c r="F2359" s="60"/>
      <c r="G2359" s="60"/>
      <c r="H2359" s="60"/>
      <c r="I2359" s="60"/>
      <c r="J2359" s="114"/>
      <c r="K2359" s="60"/>
      <c r="L2359" s="109"/>
      <c r="M2359" s="109"/>
      <c r="N2359" s="109"/>
      <c r="O2359" s="109"/>
      <c r="P2359" s="109"/>
      <c r="Q2359" s="109"/>
      <c r="S2359" s="111"/>
      <c r="T2359" s="60"/>
      <c r="U2359" s="112"/>
    </row>
    <row r="2360" spans="4:21" s="110" customFormat="1" ht="15.75" customHeight="1">
      <c r="D2360" s="113"/>
      <c r="E2360" s="60"/>
      <c r="F2360" s="60"/>
      <c r="G2360" s="60"/>
      <c r="H2360" s="60"/>
      <c r="I2360" s="60"/>
      <c r="J2360" s="114"/>
      <c r="K2360" s="60"/>
      <c r="L2360" s="109"/>
      <c r="M2360" s="109"/>
      <c r="N2360" s="109"/>
      <c r="O2360" s="109"/>
      <c r="P2360" s="109"/>
      <c r="Q2360" s="109"/>
      <c r="S2360" s="111"/>
      <c r="T2360" s="60"/>
      <c r="U2360" s="112"/>
    </row>
    <row r="2361" spans="4:21" s="110" customFormat="1" ht="15.75" customHeight="1">
      <c r="D2361" s="113"/>
      <c r="E2361" s="60"/>
      <c r="F2361" s="60"/>
      <c r="G2361" s="60"/>
      <c r="H2361" s="60"/>
      <c r="I2361" s="60"/>
      <c r="J2361" s="114"/>
      <c r="K2361" s="60"/>
      <c r="L2361" s="109"/>
      <c r="M2361" s="109"/>
      <c r="N2361" s="109"/>
      <c r="O2361" s="109"/>
      <c r="P2361" s="109"/>
      <c r="Q2361" s="109"/>
      <c r="S2361" s="111"/>
      <c r="T2361" s="60"/>
      <c r="U2361" s="112"/>
    </row>
    <row r="2362" spans="4:21" s="110" customFormat="1" ht="15.75" customHeight="1">
      <c r="D2362" s="113"/>
      <c r="E2362" s="60"/>
      <c r="F2362" s="60"/>
      <c r="G2362" s="60"/>
      <c r="H2362" s="60"/>
      <c r="I2362" s="60"/>
      <c r="J2362" s="114"/>
      <c r="K2362" s="60"/>
      <c r="L2362" s="109"/>
      <c r="M2362" s="109"/>
      <c r="N2362" s="109"/>
      <c r="O2362" s="109"/>
      <c r="P2362" s="109"/>
      <c r="Q2362" s="109"/>
      <c r="S2362" s="111"/>
      <c r="T2362" s="60"/>
      <c r="U2362" s="112"/>
    </row>
    <row r="2363" spans="4:21" s="110" customFormat="1" ht="15.75" customHeight="1">
      <c r="D2363" s="113"/>
      <c r="E2363" s="60"/>
      <c r="F2363" s="60"/>
      <c r="G2363" s="60"/>
      <c r="H2363" s="60"/>
      <c r="I2363" s="60"/>
      <c r="J2363" s="114"/>
      <c r="K2363" s="60"/>
      <c r="L2363" s="109"/>
      <c r="M2363" s="109"/>
      <c r="N2363" s="109"/>
      <c r="O2363" s="109"/>
      <c r="P2363" s="109"/>
      <c r="Q2363" s="109"/>
      <c r="S2363" s="111"/>
      <c r="T2363" s="60"/>
      <c r="U2363" s="112"/>
    </row>
    <row r="2364" spans="4:21" s="110" customFormat="1" ht="15.75" customHeight="1">
      <c r="D2364" s="113"/>
      <c r="E2364" s="60"/>
      <c r="F2364" s="60"/>
      <c r="G2364" s="60"/>
      <c r="H2364" s="60"/>
      <c r="I2364" s="60"/>
      <c r="J2364" s="114"/>
      <c r="K2364" s="60"/>
      <c r="L2364" s="109"/>
      <c r="M2364" s="109"/>
      <c r="N2364" s="109"/>
      <c r="O2364" s="109"/>
      <c r="P2364" s="109"/>
      <c r="Q2364" s="109"/>
      <c r="S2364" s="111"/>
      <c r="T2364" s="60"/>
      <c r="U2364" s="112"/>
    </row>
    <row r="2365" spans="4:21" s="110" customFormat="1" ht="15.75" customHeight="1">
      <c r="D2365" s="113"/>
      <c r="E2365" s="60"/>
      <c r="F2365" s="60"/>
      <c r="G2365" s="60"/>
      <c r="H2365" s="60"/>
      <c r="I2365" s="60"/>
      <c r="J2365" s="114"/>
      <c r="K2365" s="60"/>
      <c r="L2365" s="109"/>
      <c r="M2365" s="109"/>
      <c r="N2365" s="109"/>
      <c r="O2365" s="109"/>
      <c r="P2365" s="109"/>
      <c r="Q2365" s="109"/>
      <c r="S2365" s="111"/>
      <c r="T2365" s="60"/>
      <c r="U2365" s="112"/>
    </row>
    <row r="2366" spans="4:21" s="110" customFormat="1" ht="15.75" customHeight="1">
      <c r="D2366" s="113"/>
      <c r="E2366" s="60"/>
      <c r="F2366" s="60"/>
      <c r="G2366" s="60"/>
      <c r="H2366" s="60"/>
      <c r="I2366" s="60"/>
      <c r="J2366" s="114"/>
      <c r="K2366" s="60"/>
      <c r="L2366" s="109"/>
      <c r="M2366" s="109"/>
      <c r="N2366" s="109"/>
      <c r="O2366" s="109"/>
      <c r="P2366" s="109"/>
      <c r="Q2366" s="109"/>
      <c r="S2366" s="111"/>
      <c r="T2366" s="60"/>
      <c r="U2366" s="112"/>
    </row>
    <row r="2367" spans="4:21" s="110" customFormat="1" ht="15.75" customHeight="1">
      <c r="D2367" s="113"/>
      <c r="E2367" s="60"/>
      <c r="F2367" s="60"/>
      <c r="G2367" s="60"/>
      <c r="H2367" s="60"/>
      <c r="I2367" s="60"/>
      <c r="J2367" s="114"/>
      <c r="K2367" s="60"/>
      <c r="L2367" s="109"/>
      <c r="M2367" s="109"/>
      <c r="N2367" s="109"/>
      <c r="O2367" s="109"/>
      <c r="P2367" s="109"/>
      <c r="Q2367" s="109"/>
      <c r="S2367" s="111"/>
      <c r="T2367" s="60"/>
      <c r="U2367" s="112"/>
    </row>
    <row r="2368" spans="4:21" s="110" customFormat="1" ht="15.75" customHeight="1">
      <c r="D2368" s="113"/>
      <c r="E2368" s="60"/>
      <c r="F2368" s="60"/>
      <c r="G2368" s="60"/>
      <c r="H2368" s="60"/>
      <c r="I2368" s="60"/>
      <c r="J2368" s="114"/>
      <c r="K2368" s="60"/>
      <c r="L2368" s="109"/>
      <c r="M2368" s="109"/>
      <c r="N2368" s="109"/>
      <c r="O2368" s="109"/>
      <c r="P2368" s="109"/>
      <c r="Q2368" s="109"/>
      <c r="S2368" s="111"/>
      <c r="T2368" s="60"/>
      <c r="U2368" s="112"/>
    </row>
    <row r="2369" spans="4:21" s="110" customFormat="1" ht="15.75" customHeight="1">
      <c r="D2369" s="113"/>
      <c r="E2369" s="60"/>
      <c r="F2369" s="60"/>
      <c r="G2369" s="60"/>
      <c r="H2369" s="60"/>
      <c r="I2369" s="60"/>
      <c r="J2369" s="114"/>
      <c r="K2369" s="60"/>
      <c r="L2369" s="109"/>
      <c r="M2369" s="109"/>
      <c r="N2369" s="109"/>
      <c r="O2369" s="109"/>
      <c r="P2369" s="109"/>
      <c r="Q2369" s="109"/>
      <c r="S2369" s="111"/>
      <c r="T2369" s="60"/>
      <c r="U2369" s="112"/>
    </row>
    <row r="2370" spans="4:21" s="110" customFormat="1" ht="15.75" customHeight="1">
      <c r="D2370" s="113"/>
      <c r="E2370" s="60"/>
      <c r="F2370" s="60"/>
      <c r="G2370" s="60"/>
      <c r="H2370" s="60"/>
      <c r="I2370" s="60"/>
      <c r="J2370" s="114"/>
      <c r="K2370" s="60"/>
      <c r="L2370" s="109"/>
      <c r="M2370" s="109"/>
      <c r="N2370" s="109"/>
      <c r="O2370" s="109"/>
      <c r="P2370" s="109"/>
      <c r="Q2370" s="109"/>
      <c r="S2370" s="111"/>
      <c r="T2370" s="60"/>
      <c r="U2370" s="112"/>
    </row>
    <row r="2371" spans="4:21" s="110" customFormat="1" ht="15.75" customHeight="1">
      <c r="D2371" s="113"/>
      <c r="E2371" s="60"/>
      <c r="F2371" s="60"/>
      <c r="G2371" s="60"/>
      <c r="H2371" s="60"/>
      <c r="I2371" s="60"/>
      <c r="J2371" s="114"/>
      <c r="K2371" s="60"/>
      <c r="L2371" s="109"/>
      <c r="M2371" s="109"/>
      <c r="N2371" s="109"/>
      <c r="O2371" s="109"/>
      <c r="P2371" s="109"/>
      <c r="Q2371" s="109"/>
      <c r="S2371" s="111"/>
      <c r="T2371" s="60"/>
      <c r="U2371" s="112"/>
    </row>
    <row r="2372" spans="4:21" s="110" customFormat="1" ht="15.75" customHeight="1">
      <c r="D2372" s="113"/>
      <c r="E2372" s="60"/>
      <c r="F2372" s="60"/>
      <c r="G2372" s="60"/>
      <c r="H2372" s="60"/>
      <c r="I2372" s="60"/>
      <c r="J2372" s="114"/>
      <c r="K2372" s="60"/>
      <c r="L2372" s="109"/>
      <c r="M2372" s="109"/>
      <c r="N2372" s="109"/>
      <c r="O2372" s="109"/>
      <c r="P2372" s="109"/>
      <c r="Q2372" s="109"/>
      <c r="S2372" s="111"/>
      <c r="T2372" s="60"/>
      <c r="U2372" s="112"/>
    </row>
    <row r="2373" spans="4:21" s="110" customFormat="1" ht="15.75" customHeight="1">
      <c r="D2373" s="113"/>
      <c r="E2373" s="60"/>
      <c r="F2373" s="60"/>
      <c r="G2373" s="60"/>
      <c r="H2373" s="60"/>
      <c r="I2373" s="60"/>
      <c r="J2373" s="114"/>
      <c r="K2373" s="60"/>
      <c r="L2373" s="109"/>
      <c r="M2373" s="109"/>
      <c r="N2373" s="109"/>
      <c r="O2373" s="109"/>
      <c r="P2373" s="109"/>
      <c r="Q2373" s="109"/>
      <c r="S2373" s="111"/>
      <c r="T2373" s="60"/>
      <c r="U2373" s="112"/>
    </row>
    <row r="2374" spans="4:21" s="110" customFormat="1" ht="15.75" customHeight="1">
      <c r="D2374" s="113"/>
      <c r="E2374" s="60"/>
      <c r="F2374" s="60"/>
      <c r="G2374" s="60"/>
      <c r="H2374" s="60"/>
      <c r="I2374" s="60"/>
      <c r="J2374" s="114"/>
      <c r="K2374" s="60"/>
      <c r="L2374" s="109"/>
      <c r="M2374" s="109"/>
      <c r="N2374" s="109"/>
      <c r="O2374" s="109"/>
      <c r="P2374" s="109"/>
      <c r="Q2374" s="109"/>
      <c r="S2374" s="111"/>
      <c r="T2374" s="60"/>
      <c r="U2374" s="112"/>
    </row>
    <row r="2375" spans="4:21" s="110" customFormat="1" ht="15.75" customHeight="1">
      <c r="D2375" s="113"/>
      <c r="E2375" s="60"/>
      <c r="F2375" s="60"/>
      <c r="G2375" s="60"/>
      <c r="H2375" s="60"/>
      <c r="I2375" s="60"/>
      <c r="J2375" s="114"/>
      <c r="K2375" s="60"/>
      <c r="L2375" s="109"/>
      <c r="M2375" s="109"/>
      <c r="N2375" s="109"/>
      <c r="O2375" s="109"/>
      <c r="P2375" s="109"/>
      <c r="Q2375" s="109"/>
      <c r="S2375" s="111"/>
      <c r="T2375" s="60"/>
      <c r="U2375" s="112"/>
    </row>
    <row r="2376" spans="4:21" s="110" customFormat="1" ht="15.75" customHeight="1">
      <c r="D2376" s="113"/>
      <c r="E2376" s="60"/>
      <c r="F2376" s="60"/>
      <c r="G2376" s="60"/>
      <c r="H2376" s="60"/>
      <c r="I2376" s="60"/>
      <c r="J2376" s="114"/>
      <c r="K2376" s="60"/>
      <c r="L2376" s="109"/>
      <c r="M2376" s="109"/>
      <c r="N2376" s="109"/>
      <c r="O2376" s="109"/>
      <c r="P2376" s="109"/>
      <c r="Q2376" s="109"/>
      <c r="S2376" s="111"/>
      <c r="T2376" s="60"/>
      <c r="U2376" s="112"/>
    </row>
    <row r="2377" spans="4:21" s="110" customFormat="1" ht="15.75" customHeight="1">
      <c r="D2377" s="113"/>
      <c r="E2377" s="60"/>
      <c r="F2377" s="60"/>
      <c r="G2377" s="60"/>
      <c r="H2377" s="60"/>
      <c r="I2377" s="60"/>
      <c r="J2377" s="114"/>
      <c r="K2377" s="60"/>
      <c r="L2377" s="109"/>
      <c r="M2377" s="109"/>
      <c r="N2377" s="109"/>
      <c r="O2377" s="109"/>
      <c r="P2377" s="109"/>
      <c r="Q2377" s="109"/>
      <c r="S2377" s="111"/>
      <c r="T2377" s="60"/>
      <c r="U2377" s="112"/>
    </row>
    <row r="2378" spans="4:21" s="110" customFormat="1" ht="15.75" customHeight="1">
      <c r="D2378" s="113"/>
      <c r="E2378" s="60"/>
      <c r="F2378" s="60"/>
      <c r="G2378" s="60"/>
      <c r="H2378" s="60"/>
      <c r="I2378" s="60"/>
      <c r="J2378" s="114"/>
      <c r="K2378" s="60"/>
      <c r="L2378" s="109"/>
      <c r="M2378" s="109"/>
      <c r="N2378" s="109"/>
      <c r="O2378" s="109"/>
      <c r="P2378" s="109"/>
      <c r="Q2378" s="109"/>
      <c r="S2378" s="111"/>
      <c r="T2378" s="60"/>
      <c r="U2378" s="112"/>
    </row>
    <row r="2379" spans="4:21" s="110" customFormat="1" ht="15.75" customHeight="1">
      <c r="D2379" s="113"/>
      <c r="E2379" s="60"/>
      <c r="F2379" s="60"/>
      <c r="G2379" s="60"/>
      <c r="H2379" s="60"/>
      <c r="I2379" s="60"/>
      <c r="J2379" s="114"/>
      <c r="K2379" s="60"/>
      <c r="L2379" s="109"/>
      <c r="M2379" s="109"/>
      <c r="N2379" s="109"/>
      <c r="O2379" s="109"/>
      <c r="P2379" s="109"/>
      <c r="Q2379" s="109"/>
      <c r="S2379" s="111"/>
      <c r="T2379" s="60"/>
      <c r="U2379" s="112"/>
    </row>
    <row r="2380" spans="4:21" s="110" customFormat="1" ht="15.75" customHeight="1">
      <c r="D2380" s="113"/>
      <c r="E2380" s="60"/>
      <c r="F2380" s="60"/>
      <c r="G2380" s="60"/>
      <c r="H2380" s="60"/>
      <c r="I2380" s="60"/>
      <c r="J2380" s="114"/>
      <c r="K2380" s="60"/>
      <c r="L2380" s="109"/>
      <c r="M2380" s="109"/>
      <c r="N2380" s="109"/>
      <c r="O2380" s="109"/>
      <c r="P2380" s="109"/>
      <c r="Q2380" s="109"/>
      <c r="S2380" s="111"/>
      <c r="T2380" s="60"/>
      <c r="U2380" s="112"/>
    </row>
    <row r="2381" spans="4:21" s="110" customFormat="1" ht="15.75" customHeight="1">
      <c r="D2381" s="113"/>
      <c r="E2381" s="60"/>
      <c r="F2381" s="60"/>
      <c r="G2381" s="60"/>
      <c r="H2381" s="60"/>
      <c r="I2381" s="60"/>
      <c r="J2381" s="114"/>
      <c r="K2381" s="60"/>
      <c r="L2381" s="109"/>
      <c r="M2381" s="109"/>
      <c r="N2381" s="109"/>
      <c r="O2381" s="109"/>
      <c r="P2381" s="109"/>
      <c r="Q2381" s="109"/>
      <c r="S2381" s="111"/>
      <c r="T2381" s="60"/>
      <c r="U2381" s="112"/>
    </row>
    <row r="2382" spans="4:21" s="110" customFormat="1" ht="15.75" customHeight="1">
      <c r="D2382" s="113"/>
      <c r="E2382" s="60"/>
      <c r="F2382" s="60"/>
      <c r="G2382" s="60"/>
      <c r="H2382" s="60"/>
      <c r="I2382" s="60"/>
      <c r="J2382" s="114"/>
      <c r="K2382" s="60"/>
      <c r="L2382" s="109"/>
      <c r="M2382" s="109"/>
      <c r="N2382" s="109"/>
      <c r="O2382" s="109"/>
      <c r="P2382" s="109"/>
      <c r="Q2382" s="109"/>
      <c r="S2382" s="111"/>
      <c r="T2382" s="60"/>
      <c r="U2382" s="112"/>
    </row>
    <row r="2383" spans="4:21" s="110" customFormat="1" ht="15.75" customHeight="1">
      <c r="D2383" s="113"/>
      <c r="E2383" s="60"/>
      <c r="F2383" s="60"/>
      <c r="G2383" s="60"/>
      <c r="H2383" s="60"/>
      <c r="I2383" s="60"/>
      <c r="J2383" s="114"/>
      <c r="K2383" s="60"/>
      <c r="L2383" s="109"/>
      <c r="M2383" s="109"/>
      <c r="N2383" s="109"/>
      <c r="O2383" s="109"/>
      <c r="P2383" s="109"/>
      <c r="Q2383" s="109"/>
      <c r="S2383" s="111"/>
      <c r="T2383" s="60"/>
      <c r="U2383" s="112"/>
    </row>
    <row r="2384" spans="4:21" s="110" customFormat="1" ht="15.75" customHeight="1">
      <c r="D2384" s="113"/>
      <c r="E2384" s="60"/>
      <c r="F2384" s="60"/>
      <c r="G2384" s="60"/>
      <c r="H2384" s="60"/>
      <c r="I2384" s="60"/>
      <c r="J2384" s="114"/>
      <c r="K2384" s="60"/>
      <c r="L2384" s="109"/>
      <c r="M2384" s="109"/>
      <c r="N2384" s="109"/>
      <c r="O2384" s="109"/>
      <c r="P2384" s="109"/>
      <c r="Q2384" s="109"/>
      <c r="S2384" s="111"/>
      <c r="T2384" s="60"/>
      <c r="U2384" s="112"/>
    </row>
    <row r="2385" spans="4:21" s="110" customFormat="1" ht="15.75" customHeight="1">
      <c r="D2385" s="113"/>
      <c r="E2385" s="60"/>
      <c r="F2385" s="60"/>
      <c r="G2385" s="60"/>
      <c r="H2385" s="60"/>
      <c r="I2385" s="60"/>
      <c r="J2385" s="114"/>
      <c r="K2385" s="60"/>
      <c r="L2385" s="109"/>
      <c r="M2385" s="109"/>
      <c r="N2385" s="109"/>
      <c r="O2385" s="109"/>
      <c r="P2385" s="109"/>
      <c r="Q2385" s="109"/>
      <c r="S2385" s="111"/>
      <c r="T2385" s="60"/>
      <c r="U2385" s="112"/>
    </row>
    <row r="2386" spans="4:21" s="110" customFormat="1" ht="15.75" customHeight="1">
      <c r="D2386" s="113"/>
      <c r="E2386" s="60"/>
      <c r="F2386" s="60"/>
      <c r="G2386" s="60"/>
      <c r="H2386" s="60"/>
      <c r="I2386" s="60"/>
      <c r="J2386" s="114"/>
      <c r="K2386" s="60"/>
      <c r="L2386" s="109"/>
      <c r="M2386" s="109"/>
      <c r="N2386" s="109"/>
      <c r="O2386" s="109"/>
      <c r="P2386" s="109"/>
      <c r="Q2386" s="109"/>
      <c r="S2386" s="111"/>
      <c r="T2386" s="60"/>
      <c r="U2386" s="112"/>
    </row>
    <row r="2387" spans="4:21" s="110" customFormat="1" ht="15.75" customHeight="1">
      <c r="D2387" s="113"/>
      <c r="E2387" s="60"/>
      <c r="F2387" s="60"/>
      <c r="G2387" s="60"/>
      <c r="H2387" s="60"/>
      <c r="I2387" s="60"/>
      <c r="J2387" s="114"/>
      <c r="K2387" s="60"/>
      <c r="L2387" s="109"/>
      <c r="M2387" s="109"/>
      <c r="N2387" s="109"/>
      <c r="O2387" s="109"/>
      <c r="P2387" s="109"/>
      <c r="Q2387" s="109"/>
      <c r="S2387" s="111"/>
      <c r="T2387" s="60"/>
      <c r="U2387" s="112"/>
    </row>
    <row r="2388" spans="4:21" s="110" customFormat="1" ht="15.75" customHeight="1">
      <c r="D2388" s="113"/>
      <c r="E2388" s="60"/>
      <c r="F2388" s="60"/>
      <c r="G2388" s="60"/>
      <c r="H2388" s="60"/>
      <c r="I2388" s="60"/>
      <c r="J2388" s="114"/>
      <c r="K2388" s="60"/>
      <c r="L2388" s="109"/>
      <c r="M2388" s="109"/>
      <c r="N2388" s="109"/>
      <c r="O2388" s="109"/>
      <c r="P2388" s="109"/>
      <c r="Q2388" s="109"/>
      <c r="S2388" s="111"/>
      <c r="T2388" s="60"/>
      <c r="U2388" s="112"/>
    </row>
    <row r="2389" spans="4:21" s="110" customFormat="1" ht="15.75" customHeight="1">
      <c r="D2389" s="113"/>
      <c r="E2389" s="60"/>
      <c r="F2389" s="60"/>
      <c r="G2389" s="60"/>
      <c r="H2389" s="60"/>
      <c r="I2389" s="60"/>
      <c r="J2389" s="114"/>
      <c r="K2389" s="60"/>
      <c r="L2389" s="109"/>
      <c r="M2389" s="109"/>
      <c r="N2389" s="109"/>
      <c r="O2389" s="109"/>
      <c r="P2389" s="109"/>
      <c r="Q2389" s="109"/>
      <c r="S2389" s="111"/>
      <c r="T2389" s="60"/>
      <c r="U2389" s="112"/>
    </row>
    <row r="2390" spans="4:21" s="110" customFormat="1" ht="15.75" customHeight="1">
      <c r="D2390" s="113"/>
      <c r="E2390" s="60"/>
      <c r="F2390" s="60"/>
      <c r="G2390" s="60"/>
      <c r="H2390" s="60"/>
      <c r="I2390" s="60"/>
      <c r="J2390" s="114"/>
      <c r="K2390" s="60"/>
      <c r="L2390" s="109"/>
      <c r="M2390" s="109"/>
      <c r="N2390" s="109"/>
      <c r="O2390" s="109"/>
      <c r="P2390" s="109"/>
      <c r="Q2390" s="109"/>
      <c r="S2390" s="111"/>
      <c r="T2390" s="60"/>
      <c r="U2390" s="112"/>
    </row>
    <row r="2391" spans="4:21" s="110" customFormat="1" ht="15.75" customHeight="1">
      <c r="D2391" s="113"/>
      <c r="E2391" s="60"/>
      <c r="F2391" s="60"/>
      <c r="G2391" s="60"/>
      <c r="H2391" s="60"/>
      <c r="I2391" s="60"/>
      <c r="J2391" s="114"/>
      <c r="K2391" s="60"/>
      <c r="L2391" s="109"/>
      <c r="M2391" s="109"/>
      <c r="N2391" s="109"/>
      <c r="O2391" s="109"/>
      <c r="P2391" s="109"/>
      <c r="Q2391" s="109"/>
      <c r="S2391" s="111"/>
      <c r="T2391" s="60"/>
      <c r="U2391" s="112"/>
    </row>
    <row r="2392" spans="4:21" s="110" customFormat="1" ht="15.75" customHeight="1">
      <c r="D2392" s="113"/>
      <c r="E2392" s="60"/>
      <c r="F2392" s="60"/>
      <c r="G2392" s="60"/>
      <c r="H2392" s="60"/>
      <c r="I2392" s="60"/>
      <c r="J2392" s="114"/>
      <c r="K2392" s="60"/>
      <c r="L2392" s="109"/>
      <c r="M2392" s="109"/>
      <c r="N2392" s="109"/>
      <c r="O2392" s="109"/>
      <c r="P2392" s="109"/>
      <c r="Q2392" s="109"/>
      <c r="S2392" s="111"/>
      <c r="T2392" s="60"/>
      <c r="U2392" s="112"/>
    </row>
    <row r="2393" spans="4:21" s="110" customFormat="1" ht="15.75" customHeight="1">
      <c r="D2393" s="113"/>
      <c r="E2393" s="60"/>
      <c r="F2393" s="60"/>
      <c r="G2393" s="60"/>
      <c r="H2393" s="60"/>
      <c r="I2393" s="60"/>
      <c r="J2393" s="114"/>
      <c r="K2393" s="60"/>
      <c r="L2393" s="109"/>
      <c r="M2393" s="109"/>
      <c r="N2393" s="109"/>
      <c r="O2393" s="109"/>
      <c r="P2393" s="109"/>
      <c r="Q2393" s="109"/>
      <c r="S2393" s="111"/>
      <c r="T2393" s="60"/>
      <c r="U2393" s="112"/>
    </row>
    <row r="2394" spans="4:21" s="110" customFormat="1" ht="15.75" customHeight="1">
      <c r="D2394" s="113"/>
      <c r="E2394" s="60"/>
      <c r="F2394" s="60"/>
      <c r="G2394" s="60"/>
      <c r="H2394" s="60"/>
      <c r="I2394" s="60"/>
      <c r="J2394" s="114"/>
      <c r="K2394" s="60"/>
      <c r="L2394" s="109"/>
      <c r="M2394" s="109"/>
      <c r="N2394" s="109"/>
      <c r="O2394" s="109"/>
      <c r="P2394" s="109"/>
      <c r="Q2394" s="109"/>
      <c r="S2394" s="111"/>
      <c r="T2394" s="60"/>
      <c r="U2394" s="112"/>
    </row>
    <row r="2395" spans="4:21" s="110" customFormat="1" ht="15.75" customHeight="1">
      <c r="D2395" s="113"/>
      <c r="E2395" s="60"/>
      <c r="F2395" s="60"/>
      <c r="G2395" s="60"/>
      <c r="H2395" s="60"/>
      <c r="I2395" s="60"/>
      <c r="J2395" s="114"/>
      <c r="K2395" s="60"/>
      <c r="L2395" s="109"/>
      <c r="M2395" s="109"/>
      <c r="N2395" s="109"/>
      <c r="O2395" s="109"/>
      <c r="P2395" s="109"/>
      <c r="Q2395" s="109"/>
      <c r="S2395" s="111"/>
      <c r="T2395" s="60"/>
      <c r="U2395" s="112"/>
    </row>
    <row r="2396" spans="4:21" s="110" customFormat="1" ht="15.75" customHeight="1">
      <c r="D2396" s="113"/>
      <c r="E2396" s="60"/>
      <c r="F2396" s="60"/>
      <c r="G2396" s="60"/>
      <c r="H2396" s="60"/>
      <c r="I2396" s="60"/>
      <c r="J2396" s="114"/>
      <c r="K2396" s="60"/>
      <c r="L2396" s="109"/>
      <c r="M2396" s="109"/>
      <c r="N2396" s="109"/>
      <c r="O2396" s="109"/>
      <c r="P2396" s="109"/>
      <c r="Q2396" s="109"/>
      <c r="S2396" s="111"/>
      <c r="T2396" s="60"/>
      <c r="U2396" s="112"/>
    </row>
    <row r="2397" spans="4:21" s="110" customFormat="1" ht="15.75" customHeight="1">
      <c r="D2397" s="113"/>
      <c r="E2397" s="60"/>
      <c r="F2397" s="60"/>
      <c r="G2397" s="60"/>
      <c r="H2397" s="60"/>
      <c r="I2397" s="60"/>
      <c r="J2397" s="114"/>
      <c r="K2397" s="60"/>
      <c r="L2397" s="109"/>
      <c r="M2397" s="109"/>
      <c r="N2397" s="109"/>
      <c r="O2397" s="109"/>
      <c r="P2397" s="109"/>
      <c r="Q2397" s="109"/>
      <c r="S2397" s="111"/>
      <c r="T2397" s="60"/>
      <c r="U2397" s="112"/>
    </row>
    <row r="2398" spans="4:21" s="110" customFormat="1" ht="15.75" customHeight="1">
      <c r="D2398" s="113"/>
      <c r="E2398" s="60"/>
      <c r="F2398" s="60"/>
      <c r="G2398" s="60"/>
      <c r="H2398" s="60"/>
      <c r="I2398" s="60"/>
      <c r="J2398" s="114"/>
      <c r="K2398" s="60"/>
      <c r="L2398" s="109"/>
      <c r="M2398" s="109"/>
      <c r="N2398" s="109"/>
      <c r="O2398" s="109"/>
      <c r="P2398" s="109"/>
      <c r="Q2398" s="109"/>
      <c r="S2398" s="111"/>
      <c r="T2398" s="60"/>
      <c r="U2398" s="112"/>
    </row>
    <row r="2399" spans="4:21" s="110" customFormat="1" ht="15.75" customHeight="1">
      <c r="D2399" s="113"/>
      <c r="E2399" s="60"/>
      <c r="F2399" s="60"/>
      <c r="G2399" s="60"/>
      <c r="H2399" s="60"/>
      <c r="I2399" s="60"/>
      <c r="J2399" s="114"/>
      <c r="K2399" s="60"/>
      <c r="L2399" s="109"/>
      <c r="M2399" s="109"/>
      <c r="N2399" s="109"/>
      <c r="O2399" s="109"/>
      <c r="P2399" s="109"/>
      <c r="Q2399" s="109"/>
      <c r="S2399" s="111"/>
      <c r="T2399" s="60"/>
      <c r="U2399" s="112"/>
    </row>
    <row r="2400" spans="4:21" s="110" customFormat="1" ht="15.75" customHeight="1">
      <c r="D2400" s="113"/>
      <c r="E2400" s="60"/>
      <c r="F2400" s="60"/>
      <c r="G2400" s="60"/>
      <c r="H2400" s="60"/>
      <c r="I2400" s="60"/>
      <c r="J2400" s="114"/>
      <c r="K2400" s="60"/>
      <c r="L2400" s="109"/>
      <c r="M2400" s="109"/>
      <c r="N2400" s="109"/>
      <c r="O2400" s="109"/>
      <c r="P2400" s="109"/>
      <c r="Q2400" s="109"/>
      <c r="S2400" s="111"/>
      <c r="T2400" s="60"/>
      <c r="U2400" s="112"/>
    </row>
    <row r="2401" spans="4:21" s="110" customFormat="1" ht="15.75" customHeight="1">
      <c r="D2401" s="113"/>
      <c r="E2401" s="60"/>
      <c r="F2401" s="60"/>
      <c r="G2401" s="60"/>
      <c r="H2401" s="60"/>
      <c r="I2401" s="60"/>
      <c r="J2401" s="114"/>
      <c r="K2401" s="60"/>
      <c r="L2401" s="109"/>
      <c r="M2401" s="109"/>
      <c r="N2401" s="109"/>
      <c r="O2401" s="109"/>
      <c r="P2401" s="109"/>
      <c r="Q2401" s="109"/>
      <c r="S2401" s="111"/>
      <c r="T2401" s="60"/>
      <c r="U2401" s="112"/>
    </row>
    <row r="2402" spans="4:21" s="110" customFormat="1" ht="15.75" customHeight="1">
      <c r="D2402" s="113"/>
      <c r="E2402" s="60"/>
      <c r="F2402" s="60"/>
      <c r="G2402" s="60"/>
      <c r="H2402" s="60"/>
      <c r="I2402" s="60"/>
      <c r="J2402" s="114"/>
      <c r="K2402" s="60"/>
      <c r="L2402" s="109"/>
      <c r="M2402" s="109"/>
      <c r="N2402" s="109"/>
      <c r="O2402" s="109"/>
      <c r="P2402" s="109"/>
      <c r="Q2402" s="109"/>
      <c r="S2402" s="111"/>
      <c r="T2402" s="60"/>
      <c r="U2402" s="112"/>
    </row>
    <row r="2403" spans="4:21" s="110" customFormat="1" ht="15.75" customHeight="1">
      <c r="D2403" s="113"/>
      <c r="E2403" s="60"/>
      <c r="F2403" s="60"/>
      <c r="G2403" s="60"/>
      <c r="H2403" s="60"/>
      <c r="I2403" s="60"/>
      <c r="J2403" s="114"/>
      <c r="K2403" s="60"/>
      <c r="L2403" s="109"/>
      <c r="M2403" s="109"/>
      <c r="N2403" s="109"/>
      <c r="O2403" s="109"/>
      <c r="P2403" s="109"/>
      <c r="Q2403" s="109"/>
      <c r="S2403" s="111"/>
      <c r="T2403" s="60"/>
      <c r="U2403" s="112"/>
    </row>
    <row r="2404" spans="4:21" s="110" customFormat="1" ht="15.75" customHeight="1">
      <c r="D2404" s="113"/>
      <c r="E2404" s="60"/>
      <c r="F2404" s="60"/>
      <c r="G2404" s="60"/>
      <c r="H2404" s="60"/>
      <c r="I2404" s="60"/>
      <c r="J2404" s="114"/>
      <c r="K2404" s="60"/>
      <c r="L2404" s="109"/>
      <c r="M2404" s="109"/>
      <c r="N2404" s="109"/>
      <c r="O2404" s="109"/>
      <c r="P2404" s="109"/>
      <c r="Q2404" s="109"/>
      <c r="S2404" s="111"/>
      <c r="T2404" s="60"/>
      <c r="U2404" s="112"/>
    </row>
    <row r="2405" spans="4:21" s="110" customFormat="1" ht="15.75" customHeight="1">
      <c r="D2405" s="113"/>
      <c r="E2405" s="60"/>
      <c r="F2405" s="60"/>
      <c r="G2405" s="60"/>
      <c r="H2405" s="60"/>
      <c r="I2405" s="60"/>
      <c r="J2405" s="114"/>
      <c r="K2405" s="60"/>
      <c r="L2405" s="109"/>
      <c r="M2405" s="109"/>
      <c r="N2405" s="109"/>
      <c r="O2405" s="109"/>
      <c r="P2405" s="109"/>
      <c r="Q2405" s="109"/>
      <c r="S2405" s="111"/>
      <c r="T2405" s="60"/>
      <c r="U2405" s="112"/>
    </row>
    <row r="2406" spans="4:21" s="110" customFormat="1" ht="15.75" customHeight="1">
      <c r="D2406" s="113"/>
      <c r="E2406" s="60"/>
      <c r="F2406" s="60"/>
      <c r="G2406" s="60"/>
      <c r="H2406" s="60"/>
      <c r="I2406" s="60"/>
      <c r="J2406" s="114"/>
      <c r="K2406" s="60"/>
      <c r="L2406" s="109"/>
      <c r="M2406" s="109"/>
      <c r="N2406" s="109"/>
      <c r="O2406" s="109"/>
      <c r="P2406" s="109"/>
      <c r="Q2406" s="109"/>
      <c r="S2406" s="111"/>
      <c r="T2406" s="60"/>
      <c r="U2406" s="112"/>
    </row>
    <row r="2407" spans="4:21" s="110" customFormat="1" ht="15.75" customHeight="1">
      <c r="D2407" s="113"/>
      <c r="E2407" s="60"/>
      <c r="F2407" s="60"/>
      <c r="G2407" s="60"/>
      <c r="H2407" s="60"/>
      <c r="I2407" s="60"/>
      <c r="J2407" s="114"/>
      <c r="K2407" s="60"/>
      <c r="L2407" s="109"/>
      <c r="M2407" s="109"/>
      <c r="N2407" s="109"/>
      <c r="O2407" s="109"/>
      <c r="P2407" s="109"/>
      <c r="Q2407" s="109"/>
      <c r="S2407" s="111"/>
      <c r="T2407" s="60"/>
      <c r="U2407" s="112"/>
    </row>
    <row r="2408" spans="4:21" s="110" customFormat="1" ht="15.75" customHeight="1">
      <c r="D2408" s="113"/>
      <c r="E2408" s="60"/>
      <c r="F2408" s="60"/>
      <c r="G2408" s="60"/>
      <c r="H2408" s="60"/>
      <c r="I2408" s="60"/>
      <c r="J2408" s="114"/>
      <c r="K2408" s="60"/>
      <c r="L2408" s="109"/>
      <c r="M2408" s="109"/>
      <c r="N2408" s="109"/>
      <c r="O2408" s="109"/>
      <c r="P2408" s="109"/>
      <c r="Q2408" s="109"/>
      <c r="S2408" s="111"/>
      <c r="T2408" s="60"/>
      <c r="U2408" s="112"/>
    </row>
    <row r="2409" spans="4:21" s="110" customFormat="1" ht="15.75" customHeight="1">
      <c r="D2409" s="113"/>
      <c r="E2409" s="60"/>
      <c r="F2409" s="60"/>
      <c r="G2409" s="60"/>
      <c r="H2409" s="60"/>
      <c r="I2409" s="60"/>
      <c r="J2409" s="114"/>
      <c r="K2409" s="60"/>
      <c r="L2409" s="109"/>
      <c r="M2409" s="109"/>
      <c r="N2409" s="109"/>
      <c r="O2409" s="109"/>
      <c r="P2409" s="109"/>
      <c r="Q2409" s="109"/>
      <c r="S2409" s="111"/>
      <c r="T2409" s="60"/>
      <c r="U2409" s="112"/>
    </row>
    <row r="2410" spans="4:21" s="110" customFormat="1" ht="15.75" customHeight="1">
      <c r="D2410" s="113"/>
      <c r="E2410" s="60"/>
      <c r="F2410" s="60"/>
      <c r="G2410" s="60"/>
      <c r="H2410" s="60"/>
      <c r="I2410" s="60"/>
      <c r="J2410" s="114"/>
      <c r="K2410" s="60"/>
      <c r="L2410" s="109"/>
      <c r="M2410" s="109"/>
      <c r="N2410" s="109"/>
      <c r="O2410" s="109"/>
      <c r="P2410" s="109"/>
      <c r="Q2410" s="109"/>
      <c r="S2410" s="111"/>
      <c r="T2410" s="60"/>
      <c r="U2410" s="112"/>
    </row>
    <row r="2411" spans="4:21" s="110" customFormat="1" ht="15.75" customHeight="1">
      <c r="D2411" s="113"/>
      <c r="E2411" s="60"/>
      <c r="F2411" s="60"/>
      <c r="G2411" s="60"/>
      <c r="H2411" s="60"/>
      <c r="I2411" s="60"/>
      <c r="J2411" s="114"/>
      <c r="K2411" s="60"/>
      <c r="L2411" s="109"/>
      <c r="M2411" s="109"/>
      <c r="N2411" s="109"/>
      <c r="O2411" s="109"/>
      <c r="P2411" s="109"/>
      <c r="Q2411" s="109"/>
      <c r="S2411" s="111"/>
      <c r="T2411" s="60"/>
      <c r="U2411" s="112"/>
    </row>
    <row r="2412" spans="4:21" s="110" customFormat="1" ht="15.75" customHeight="1">
      <c r="D2412" s="113"/>
      <c r="E2412" s="60"/>
      <c r="F2412" s="60"/>
      <c r="G2412" s="60"/>
      <c r="H2412" s="60"/>
      <c r="I2412" s="60"/>
      <c r="J2412" s="114"/>
      <c r="K2412" s="60"/>
      <c r="L2412" s="109"/>
      <c r="M2412" s="109"/>
      <c r="N2412" s="109"/>
      <c r="O2412" s="109"/>
      <c r="P2412" s="109"/>
      <c r="Q2412" s="109"/>
      <c r="S2412" s="111"/>
      <c r="T2412" s="60"/>
      <c r="U2412" s="112"/>
    </row>
    <row r="2413" spans="4:21" s="110" customFormat="1" ht="15.75" customHeight="1">
      <c r="D2413" s="113"/>
      <c r="E2413" s="60"/>
      <c r="F2413" s="60"/>
      <c r="G2413" s="60"/>
      <c r="H2413" s="60"/>
      <c r="I2413" s="60"/>
      <c r="J2413" s="114"/>
      <c r="K2413" s="60"/>
      <c r="L2413" s="109"/>
      <c r="M2413" s="109"/>
      <c r="N2413" s="109"/>
      <c r="O2413" s="109"/>
      <c r="P2413" s="109"/>
      <c r="Q2413" s="109"/>
      <c r="S2413" s="111"/>
      <c r="T2413" s="60"/>
      <c r="U2413" s="112"/>
    </row>
    <row r="2414" spans="4:21" s="110" customFormat="1" ht="15.75" customHeight="1">
      <c r="D2414" s="113"/>
      <c r="E2414" s="60"/>
      <c r="F2414" s="60"/>
      <c r="G2414" s="60"/>
      <c r="H2414" s="60"/>
      <c r="I2414" s="60"/>
      <c r="J2414" s="114"/>
      <c r="K2414" s="60"/>
      <c r="L2414" s="109"/>
      <c r="M2414" s="109"/>
      <c r="N2414" s="109"/>
      <c r="O2414" s="109"/>
      <c r="P2414" s="109"/>
      <c r="Q2414" s="109"/>
      <c r="S2414" s="111"/>
      <c r="T2414" s="60"/>
      <c r="U2414" s="112"/>
    </row>
    <row r="2415" spans="4:21" s="110" customFormat="1" ht="15.75" customHeight="1">
      <c r="D2415" s="113"/>
      <c r="E2415" s="60"/>
      <c r="F2415" s="60"/>
      <c r="G2415" s="60"/>
      <c r="H2415" s="60"/>
      <c r="I2415" s="60"/>
      <c r="J2415" s="114"/>
      <c r="K2415" s="60"/>
      <c r="L2415" s="109"/>
      <c r="M2415" s="109"/>
      <c r="N2415" s="109"/>
      <c r="O2415" s="109"/>
      <c r="P2415" s="109"/>
      <c r="Q2415" s="109"/>
      <c r="S2415" s="111"/>
      <c r="T2415" s="60"/>
      <c r="U2415" s="112"/>
    </row>
    <row r="2416" spans="4:21" s="110" customFormat="1" ht="15.75" customHeight="1">
      <c r="D2416" s="113"/>
      <c r="E2416" s="60"/>
      <c r="F2416" s="60"/>
      <c r="G2416" s="60"/>
      <c r="H2416" s="60"/>
      <c r="I2416" s="60"/>
      <c r="J2416" s="114"/>
      <c r="K2416" s="60"/>
      <c r="L2416" s="109"/>
      <c r="M2416" s="109"/>
      <c r="N2416" s="109"/>
      <c r="O2416" s="109"/>
      <c r="P2416" s="109"/>
      <c r="Q2416" s="109"/>
      <c r="S2416" s="111"/>
      <c r="T2416" s="60"/>
      <c r="U2416" s="112"/>
    </row>
    <row r="2417" spans="4:21" s="110" customFormat="1" ht="15.75" customHeight="1">
      <c r="D2417" s="113"/>
      <c r="E2417" s="60"/>
      <c r="F2417" s="60"/>
      <c r="G2417" s="60"/>
      <c r="H2417" s="60"/>
      <c r="I2417" s="60"/>
      <c r="J2417" s="114"/>
      <c r="K2417" s="60"/>
      <c r="L2417" s="109"/>
      <c r="M2417" s="109"/>
      <c r="N2417" s="109"/>
      <c r="O2417" s="109"/>
      <c r="P2417" s="109"/>
      <c r="Q2417" s="109"/>
      <c r="S2417" s="111"/>
      <c r="T2417" s="60"/>
      <c r="U2417" s="112"/>
    </row>
    <row r="2418" spans="4:21" s="110" customFormat="1" ht="15.75" customHeight="1">
      <c r="D2418" s="113"/>
      <c r="E2418" s="60"/>
      <c r="F2418" s="60"/>
      <c r="G2418" s="60"/>
      <c r="H2418" s="60"/>
      <c r="I2418" s="60"/>
      <c r="J2418" s="114"/>
      <c r="K2418" s="60"/>
      <c r="L2418" s="109"/>
      <c r="M2418" s="109"/>
      <c r="N2418" s="109"/>
      <c r="O2418" s="109"/>
      <c r="P2418" s="109"/>
      <c r="Q2418" s="109"/>
      <c r="S2418" s="111"/>
      <c r="T2418" s="60"/>
      <c r="U2418" s="112"/>
    </row>
    <row r="2419" spans="4:21" s="110" customFormat="1" ht="15.75" customHeight="1">
      <c r="D2419" s="113"/>
      <c r="E2419" s="60"/>
      <c r="F2419" s="60"/>
      <c r="G2419" s="60"/>
      <c r="H2419" s="60"/>
      <c r="I2419" s="60"/>
      <c r="J2419" s="114"/>
      <c r="K2419" s="60"/>
      <c r="L2419" s="109"/>
      <c r="M2419" s="109"/>
      <c r="N2419" s="109"/>
      <c r="O2419" s="109"/>
      <c r="P2419" s="109"/>
      <c r="Q2419" s="109"/>
      <c r="S2419" s="111"/>
      <c r="T2419" s="60"/>
      <c r="U2419" s="112"/>
    </row>
    <row r="2420" spans="4:21" s="110" customFormat="1" ht="15.75" customHeight="1">
      <c r="D2420" s="113"/>
      <c r="E2420" s="60"/>
      <c r="F2420" s="60"/>
      <c r="G2420" s="60"/>
      <c r="H2420" s="60"/>
      <c r="I2420" s="60"/>
      <c r="J2420" s="114"/>
      <c r="K2420" s="60"/>
      <c r="L2420" s="109"/>
      <c r="M2420" s="109"/>
      <c r="N2420" s="109"/>
      <c r="O2420" s="109"/>
      <c r="P2420" s="109"/>
      <c r="Q2420" s="109"/>
      <c r="S2420" s="111"/>
      <c r="T2420" s="60"/>
      <c r="U2420" s="112"/>
    </row>
    <row r="2421" spans="4:21" s="110" customFormat="1" ht="15.75" customHeight="1">
      <c r="D2421" s="113"/>
      <c r="E2421" s="60"/>
      <c r="F2421" s="60"/>
      <c r="G2421" s="60"/>
      <c r="H2421" s="60"/>
      <c r="I2421" s="60"/>
      <c r="J2421" s="114"/>
      <c r="K2421" s="60"/>
      <c r="L2421" s="109"/>
      <c r="M2421" s="109"/>
      <c r="N2421" s="109"/>
      <c r="O2421" s="109"/>
      <c r="P2421" s="109"/>
      <c r="Q2421" s="109"/>
      <c r="S2421" s="111"/>
      <c r="T2421" s="60"/>
      <c r="U2421" s="112"/>
    </row>
    <row r="2422" spans="4:21" s="110" customFormat="1" ht="15.75" customHeight="1">
      <c r="D2422" s="113"/>
      <c r="E2422" s="60"/>
      <c r="F2422" s="60"/>
      <c r="G2422" s="60"/>
      <c r="H2422" s="60"/>
      <c r="I2422" s="60"/>
      <c r="J2422" s="114"/>
      <c r="K2422" s="60"/>
      <c r="L2422" s="109"/>
      <c r="M2422" s="109"/>
      <c r="N2422" s="109"/>
      <c r="O2422" s="109"/>
      <c r="P2422" s="109"/>
      <c r="Q2422" s="109"/>
      <c r="S2422" s="111"/>
      <c r="T2422" s="60"/>
      <c r="U2422" s="112"/>
    </row>
    <row r="2423" spans="4:21" s="110" customFormat="1" ht="15.75" customHeight="1">
      <c r="D2423" s="113"/>
      <c r="E2423" s="60"/>
      <c r="F2423" s="60"/>
      <c r="G2423" s="60"/>
      <c r="H2423" s="60"/>
      <c r="I2423" s="60"/>
      <c r="J2423" s="114"/>
      <c r="K2423" s="60"/>
      <c r="L2423" s="109"/>
      <c r="M2423" s="109"/>
      <c r="N2423" s="109"/>
      <c r="O2423" s="109"/>
      <c r="P2423" s="109"/>
      <c r="Q2423" s="109"/>
      <c r="S2423" s="111"/>
      <c r="T2423" s="60"/>
      <c r="U2423" s="112"/>
    </row>
    <row r="2424" spans="4:21" s="110" customFormat="1" ht="15.75" customHeight="1">
      <c r="D2424" s="113"/>
      <c r="E2424" s="60"/>
      <c r="F2424" s="60"/>
      <c r="G2424" s="60"/>
      <c r="H2424" s="60"/>
      <c r="I2424" s="60"/>
      <c r="J2424" s="114"/>
      <c r="K2424" s="60"/>
      <c r="L2424" s="109"/>
      <c r="M2424" s="109"/>
      <c r="N2424" s="109"/>
      <c r="O2424" s="109"/>
      <c r="P2424" s="109"/>
      <c r="Q2424" s="109"/>
      <c r="S2424" s="111"/>
      <c r="T2424" s="60"/>
      <c r="U2424" s="112"/>
    </row>
    <row r="2425" spans="4:21" s="110" customFormat="1" ht="15.75" customHeight="1">
      <c r="D2425" s="113"/>
      <c r="E2425" s="60"/>
      <c r="F2425" s="60"/>
      <c r="G2425" s="60"/>
      <c r="H2425" s="60"/>
      <c r="I2425" s="60"/>
      <c r="J2425" s="114"/>
      <c r="K2425" s="60"/>
      <c r="L2425" s="109"/>
      <c r="M2425" s="109"/>
      <c r="N2425" s="109"/>
      <c r="O2425" s="109"/>
      <c r="P2425" s="109"/>
      <c r="Q2425" s="109"/>
      <c r="S2425" s="111"/>
      <c r="T2425" s="60"/>
      <c r="U2425" s="112"/>
    </row>
    <row r="2426" spans="4:21" s="110" customFormat="1" ht="15.75" customHeight="1">
      <c r="D2426" s="113"/>
      <c r="E2426" s="60"/>
      <c r="F2426" s="60"/>
      <c r="G2426" s="60"/>
      <c r="H2426" s="60"/>
      <c r="I2426" s="60"/>
      <c r="J2426" s="114"/>
      <c r="K2426" s="60"/>
      <c r="L2426" s="109"/>
      <c r="M2426" s="109"/>
      <c r="N2426" s="109"/>
      <c r="O2426" s="109"/>
      <c r="P2426" s="109"/>
      <c r="Q2426" s="109"/>
      <c r="S2426" s="111"/>
      <c r="T2426" s="60"/>
      <c r="U2426" s="112"/>
    </row>
    <row r="2427" spans="4:21" s="110" customFormat="1" ht="15.75" customHeight="1">
      <c r="D2427" s="113"/>
      <c r="E2427" s="60"/>
      <c r="F2427" s="60"/>
      <c r="G2427" s="60"/>
      <c r="H2427" s="60"/>
      <c r="I2427" s="60"/>
      <c r="J2427" s="114"/>
      <c r="K2427" s="60"/>
      <c r="L2427" s="109"/>
      <c r="M2427" s="109"/>
      <c r="N2427" s="109"/>
      <c r="O2427" s="109"/>
      <c r="P2427" s="109"/>
      <c r="Q2427" s="109"/>
      <c r="S2427" s="111"/>
      <c r="T2427" s="60"/>
      <c r="U2427" s="112"/>
    </row>
    <row r="2428" spans="4:21" s="110" customFormat="1" ht="15.75" customHeight="1">
      <c r="D2428" s="113"/>
      <c r="E2428" s="60"/>
      <c r="F2428" s="60"/>
      <c r="G2428" s="60"/>
      <c r="H2428" s="60"/>
      <c r="I2428" s="60"/>
      <c r="J2428" s="114"/>
      <c r="K2428" s="60"/>
      <c r="L2428" s="109"/>
      <c r="M2428" s="109"/>
      <c r="N2428" s="109"/>
      <c r="O2428" s="109"/>
      <c r="P2428" s="109"/>
      <c r="Q2428" s="109"/>
      <c r="S2428" s="111"/>
      <c r="T2428" s="60"/>
      <c r="U2428" s="112"/>
    </row>
    <row r="2429" spans="4:21" s="110" customFormat="1" ht="15.75" customHeight="1">
      <c r="D2429" s="113"/>
      <c r="E2429" s="60"/>
      <c r="F2429" s="60"/>
      <c r="G2429" s="60"/>
      <c r="H2429" s="60"/>
      <c r="I2429" s="60"/>
      <c r="J2429" s="114"/>
      <c r="K2429" s="60"/>
      <c r="L2429" s="109"/>
      <c r="M2429" s="109"/>
      <c r="N2429" s="109"/>
      <c r="O2429" s="109"/>
      <c r="P2429" s="109"/>
      <c r="Q2429" s="109"/>
      <c r="S2429" s="111"/>
      <c r="T2429" s="60"/>
      <c r="U2429" s="112"/>
    </row>
    <row r="2430" spans="4:21" s="110" customFormat="1" ht="15.75" customHeight="1">
      <c r="D2430" s="113"/>
      <c r="E2430" s="60"/>
      <c r="F2430" s="60"/>
      <c r="G2430" s="60"/>
      <c r="H2430" s="60"/>
      <c r="I2430" s="60"/>
      <c r="J2430" s="114"/>
      <c r="K2430" s="60"/>
      <c r="L2430" s="109"/>
      <c r="M2430" s="109"/>
      <c r="N2430" s="109"/>
      <c r="O2430" s="109"/>
      <c r="P2430" s="109"/>
      <c r="Q2430" s="109"/>
      <c r="S2430" s="111"/>
      <c r="T2430" s="60"/>
      <c r="U2430" s="112"/>
    </row>
    <row r="2431" spans="4:21" s="110" customFormat="1" ht="15.75" customHeight="1">
      <c r="D2431" s="113"/>
      <c r="E2431" s="60"/>
      <c r="F2431" s="60"/>
      <c r="G2431" s="60"/>
      <c r="H2431" s="60"/>
      <c r="I2431" s="60"/>
      <c r="J2431" s="114"/>
      <c r="K2431" s="60"/>
      <c r="L2431" s="109"/>
      <c r="M2431" s="109"/>
      <c r="N2431" s="109"/>
      <c r="O2431" s="109"/>
      <c r="P2431" s="109"/>
      <c r="Q2431" s="109"/>
      <c r="S2431" s="111"/>
      <c r="T2431" s="60"/>
      <c r="U2431" s="112"/>
    </row>
    <row r="2432" spans="4:21" s="110" customFormat="1" ht="15.75" customHeight="1">
      <c r="D2432" s="113"/>
      <c r="E2432" s="60"/>
      <c r="F2432" s="60"/>
      <c r="G2432" s="60"/>
      <c r="H2432" s="60"/>
      <c r="I2432" s="60"/>
      <c r="J2432" s="114"/>
      <c r="K2432" s="60"/>
      <c r="L2432" s="109"/>
      <c r="M2432" s="109"/>
      <c r="N2432" s="109"/>
      <c r="O2432" s="109"/>
      <c r="P2432" s="109"/>
      <c r="Q2432" s="109"/>
      <c r="S2432" s="111"/>
      <c r="T2432" s="60"/>
      <c r="U2432" s="112"/>
    </row>
    <row r="2433" spans="4:21" s="110" customFormat="1" ht="15.75" customHeight="1">
      <c r="D2433" s="113"/>
      <c r="E2433" s="60"/>
      <c r="F2433" s="60"/>
      <c r="G2433" s="60"/>
      <c r="H2433" s="60"/>
      <c r="I2433" s="60"/>
      <c r="J2433" s="114"/>
      <c r="K2433" s="60"/>
      <c r="L2433" s="109"/>
      <c r="M2433" s="109"/>
      <c r="N2433" s="109"/>
      <c r="O2433" s="109"/>
      <c r="P2433" s="109"/>
      <c r="Q2433" s="109"/>
      <c r="S2433" s="111"/>
      <c r="T2433" s="60"/>
      <c r="U2433" s="112"/>
    </row>
    <row r="2434" spans="4:21" s="110" customFormat="1" ht="15.75" customHeight="1">
      <c r="D2434" s="113"/>
      <c r="E2434" s="60"/>
      <c r="F2434" s="60"/>
      <c r="G2434" s="60"/>
      <c r="H2434" s="60"/>
      <c r="I2434" s="60"/>
      <c r="J2434" s="114"/>
      <c r="K2434" s="60"/>
      <c r="L2434" s="109"/>
      <c r="M2434" s="109"/>
      <c r="N2434" s="109"/>
      <c r="O2434" s="109"/>
      <c r="P2434" s="109"/>
      <c r="Q2434" s="109"/>
      <c r="S2434" s="111"/>
      <c r="T2434" s="60"/>
      <c r="U2434" s="112"/>
    </row>
    <row r="2435" spans="4:21" s="110" customFormat="1" ht="15.75" customHeight="1">
      <c r="D2435" s="113"/>
      <c r="E2435" s="60"/>
      <c r="F2435" s="60"/>
      <c r="G2435" s="60"/>
      <c r="H2435" s="60"/>
      <c r="I2435" s="60"/>
      <c r="J2435" s="114"/>
      <c r="K2435" s="60"/>
      <c r="L2435" s="109"/>
      <c r="M2435" s="109"/>
      <c r="N2435" s="109"/>
      <c r="O2435" s="109"/>
      <c r="P2435" s="109"/>
      <c r="Q2435" s="109"/>
      <c r="S2435" s="111"/>
      <c r="T2435" s="60"/>
      <c r="U2435" s="112"/>
    </row>
    <row r="2436" spans="4:21" s="110" customFormat="1" ht="15.75" customHeight="1">
      <c r="D2436" s="113"/>
      <c r="E2436" s="60"/>
      <c r="F2436" s="60"/>
      <c r="G2436" s="60"/>
      <c r="H2436" s="60"/>
      <c r="I2436" s="60"/>
      <c r="J2436" s="114"/>
      <c r="K2436" s="60"/>
      <c r="L2436" s="109"/>
      <c r="M2436" s="109"/>
      <c r="N2436" s="109"/>
      <c r="O2436" s="109"/>
      <c r="P2436" s="109"/>
      <c r="Q2436" s="109"/>
      <c r="S2436" s="111"/>
      <c r="T2436" s="60"/>
      <c r="U2436" s="112"/>
    </row>
    <row r="2437" spans="4:21" s="110" customFormat="1" ht="15.75" customHeight="1">
      <c r="D2437" s="113"/>
      <c r="E2437" s="60"/>
      <c r="F2437" s="60"/>
      <c r="G2437" s="60"/>
      <c r="H2437" s="60"/>
      <c r="I2437" s="60"/>
      <c r="J2437" s="114"/>
      <c r="K2437" s="60"/>
      <c r="L2437" s="109"/>
      <c r="M2437" s="109"/>
      <c r="N2437" s="109"/>
      <c r="O2437" s="109"/>
      <c r="P2437" s="109"/>
      <c r="Q2437" s="109"/>
      <c r="S2437" s="111"/>
      <c r="T2437" s="60"/>
      <c r="U2437" s="112"/>
    </row>
    <row r="2438" spans="4:21" s="110" customFormat="1" ht="15.75" customHeight="1">
      <c r="D2438" s="113"/>
      <c r="E2438" s="60"/>
      <c r="F2438" s="60"/>
      <c r="G2438" s="60"/>
      <c r="H2438" s="60"/>
      <c r="I2438" s="60"/>
      <c r="J2438" s="114"/>
      <c r="K2438" s="60"/>
      <c r="L2438" s="109"/>
      <c r="M2438" s="109"/>
      <c r="N2438" s="109"/>
      <c r="O2438" s="109"/>
      <c r="P2438" s="109"/>
      <c r="Q2438" s="109"/>
      <c r="S2438" s="111"/>
      <c r="T2438" s="60"/>
      <c r="U2438" s="112"/>
    </row>
    <row r="2439" spans="4:21" s="110" customFormat="1" ht="15.75" customHeight="1">
      <c r="D2439" s="113"/>
      <c r="E2439" s="60"/>
      <c r="F2439" s="60"/>
      <c r="G2439" s="60"/>
      <c r="H2439" s="60"/>
      <c r="I2439" s="60"/>
      <c r="J2439" s="114"/>
      <c r="K2439" s="60"/>
      <c r="L2439" s="109"/>
      <c r="M2439" s="109"/>
      <c r="N2439" s="109"/>
      <c r="O2439" s="109"/>
      <c r="P2439" s="109"/>
      <c r="Q2439" s="109"/>
      <c r="S2439" s="111"/>
      <c r="T2439" s="60"/>
      <c r="U2439" s="112"/>
    </row>
    <row r="2440" spans="4:21" s="110" customFormat="1" ht="15.75" customHeight="1">
      <c r="D2440" s="113"/>
      <c r="E2440" s="60"/>
      <c r="F2440" s="60"/>
      <c r="G2440" s="60"/>
      <c r="H2440" s="60"/>
      <c r="I2440" s="60"/>
      <c r="J2440" s="114"/>
      <c r="K2440" s="60"/>
      <c r="L2440" s="109"/>
      <c r="M2440" s="109"/>
      <c r="N2440" s="109"/>
      <c r="O2440" s="109"/>
      <c r="P2440" s="109"/>
      <c r="Q2440" s="109"/>
      <c r="S2440" s="111"/>
      <c r="T2440" s="60"/>
      <c r="U2440" s="112"/>
    </row>
    <row r="2441" spans="4:21" s="110" customFormat="1" ht="15.75" customHeight="1">
      <c r="D2441" s="113"/>
      <c r="E2441" s="60"/>
      <c r="F2441" s="60"/>
      <c r="G2441" s="60"/>
      <c r="H2441" s="60"/>
      <c r="I2441" s="60"/>
      <c r="J2441" s="114"/>
      <c r="K2441" s="60"/>
      <c r="L2441" s="109"/>
      <c r="M2441" s="109"/>
      <c r="N2441" s="109"/>
      <c r="O2441" s="109"/>
      <c r="P2441" s="109"/>
      <c r="Q2441" s="109"/>
      <c r="S2441" s="111"/>
      <c r="T2441" s="60"/>
      <c r="U2441" s="112"/>
    </row>
    <row r="2442" spans="4:21" s="110" customFormat="1" ht="15.75" customHeight="1">
      <c r="D2442" s="113"/>
      <c r="E2442" s="60"/>
      <c r="F2442" s="60"/>
      <c r="G2442" s="60"/>
      <c r="H2442" s="60"/>
      <c r="I2442" s="60"/>
      <c r="J2442" s="114"/>
      <c r="K2442" s="60"/>
      <c r="L2442" s="109"/>
      <c r="M2442" s="109"/>
      <c r="N2442" s="109"/>
      <c r="O2442" s="109"/>
      <c r="P2442" s="109"/>
      <c r="Q2442" s="109"/>
      <c r="S2442" s="111"/>
      <c r="T2442" s="60"/>
      <c r="U2442" s="112"/>
    </row>
    <row r="2443" spans="4:21" s="110" customFormat="1" ht="15.75" customHeight="1">
      <c r="D2443" s="113"/>
      <c r="E2443" s="60"/>
      <c r="F2443" s="60"/>
      <c r="G2443" s="60"/>
      <c r="H2443" s="60"/>
      <c r="I2443" s="60"/>
      <c r="J2443" s="114"/>
      <c r="K2443" s="60"/>
      <c r="L2443" s="109"/>
      <c r="M2443" s="109"/>
      <c r="N2443" s="109"/>
      <c r="O2443" s="109"/>
      <c r="P2443" s="109"/>
      <c r="Q2443" s="109"/>
      <c r="S2443" s="111"/>
      <c r="T2443" s="60"/>
      <c r="U2443" s="112"/>
    </row>
    <row r="2444" spans="4:21" s="110" customFormat="1" ht="15.75" customHeight="1">
      <c r="D2444" s="113"/>
      <c r="E2444" s="60"/>
      <c r="F2444" s="60"/>
      <c r="G2444" s="60"/>
      <c r="H2444" s="60"/>
      <c r="I2444" s="60"/>
      <c r="J2444" s="114"/>
      <c r="K2444" s="60"/>
      <c r="L2444" s="109"/>
      <c r="M2444" s="109"/>
      <c r="N2444" s="109"/>
      <c r="O2444" s="109"/>
      <c r="P2444" s="109"/>
      <c r="Q2444" s="109"/>
      <c r="S2444" s="111"/>
      <c r="T2444" s="60"/>
      <c r="U2444" s="112"/>
    </row>
    <row r="2445" spans="4:21" s="110" customFormat="1" ht="15.75" customHeight="1">
      <c r="D2445" s="113"/>
      <c r="E2445" s="60"/>
      <c r="F2445" s="60"/>
      <c r="G2445" s="60"/>
      <c r="H2445" s="60"/>
      <c r="I2445" s="60"/>
      <c r="J2445" s="114"/>
      <c r="K2445" s="60"/>
      <c r="L2445" s="109"/>
      <c r="M2445" s="109"/>
      <c r="N2445" s="109"/>
      <c r="O2445" s="109"/>
      <c r="P2445" s="109"/>
      <c r="Q2445" s="109"/>
      <c r="S2445" s="111"/>
      <c r="T2445" s="60"/>
      <c r="U2445" s="112"/>
    </row>
    <row r="2446" spans="4:21" s="110" customFormat="1" ht="15.75" customHeight="1">
      <c r="D2446" s="113"/>
      <c r="E2446" s="60"/>
      <c r="F2446" s="60"/>
      <c r="G2446" s="60"/>
      <c r="H2446" s="60"/>
      <c r="I2446" s="60"/>
      <c r="J2446" s="114"/>
      <c r="K2446" s="60"/>
      <c r="L2446" s="109"/>
      <c r="M2446" s="109"/>
      <c r="N2446" s="109"/>
      <c r="O2446" s="109"/>
      <c r="P2446" s="109"/>
      <c r="Q2446" s="109"/>
      <c r="S2446" s="111"/>
      <c r="T2446" s="60"/>
      <c r="U2446" s="112"/>
    </row>
    <row r="2447" spans="4:21" s="110" customFormat="1" ht="15.75" customHeight="1">
      <c r="D2447" s="113"/>
      <c r="E2447" s="60"/>
      <c r="F2447" s="60"/>
      <c r="G2447" s="60"/>
      <c r="H2447" s="60"/>
      <c r="I2447" s="60"/>
      <c r="J2447" s="114"/>
      <c r="K2447" s="60"/>
      <c r="L2447" s="109"/>
      <c r="M2447" s="109"/>
      <c r="N2447" s="109"/>
      <c r="O2447" s="109"/>
      <c r="P2447" s="109"/>
      <c r="Q2447" s="109"/>
      <c r="S2447" s="111"/>
      <c r="T2447" s="60"/>
      <c r="U2447" s="112"/>
    </row>
    <row r="2448" spans="4:21" s="110" customFormat="1" ht="15.75" customHeight="1">
      <c r="D2448" s="113"/>
      <c r="E2448" s="60"/>
      <c r="F2448" s="60"/>
      <c r="G2448" s="60"/>
      <c r="H2448" s="60"/>
      <c r="I2448" s="60"/>
      <c r="J2448" s="114"/>
      <c r="K2448" s="60"/>
      <c r="L2448" s="109"/>
      <c r="M2448" s="109"/>
      <c r="N2448" s="109"/>
      <c r="O2448" s="109"/>
      <c r="P2448" s="109"/>
      <c r="Q2448" s="109"/>
      <c r="S2448" s="111"/>
      <c r="T2448" s="60"/>
      <c r="U2448" s="112"/>
    </row>
    <row r="2449" spans="4:21" s="110" customFormat="1" ht="15.75" customHeight="1">
      <c r="D2449" s="113"/>
      <c r="E2449" s="60"/>
      <c r="F2449" s="60"/>
      <c r="G2449" s="60"/>
      <c r="H2449" s="60"/>
      <c r="I2449" s="60"/>
      <c r="J2449" s="114"/>
      <c r="K2449" s="60"/>
      <c r="L2449" s="109"/>
      <c r="M2449" s="109"/>
      <c r="N2449" s="109"/>
      <c r="O2449" s="109"/>
      <c r="P2449" s="109"/>
      <c r="Q2449" s="109"/>
      <c r="S2449" s="111"/>
      <c r="T2449" s="60"/>
      <c r="U2449" s="112"/>
    </row>
    <row r="2450" spans="4:21" s="110" customFormat="1" ht="15.75" customHeight="1">
      <c r="D2450" s="113"/>
      <c r="E2450" s="60"/>
      <c r="F2450" s="60"/>
      <c r="G2450" s="60"/>
      <c r="H2450" s="60"/>
      <c r="I2450" s="60"/>
      <c r="J2450" s="114"/>
      <c r="K2450" s="60"/>
      <c r="L2450" s="109"/>
      <c r="M2450" s="109"/>
      <c r="N2450" s="109"/>
      <c r="O2450" s="109"/>
      <c r="P2450" s="109"/>
      <c r="Q2450" s="109"/>
      <c r="S2450" s="111"/>
      <c r="T2450" s="60"/>
      <c r="U2450" s="112"/>
    </row>
    <row r="2451" spans="4:21" s="110" customFormat="1" ht="15.75" customHeight="1">
      <c r="D2451" s="113"/>
      <c r="E2451" s="60"/>
      <c r="F2451" s="60"/>
      <c r="G2451" s="60"/>
      <c r="H2451" s="60"/>
      <c r="I2451" s="60"/>
      <c r="J2451" s="114"/>
      <c r="K2451" s="60"/>
      <c r="L2451" s="109"/>
      <c r="M2451" s="109"/>
      <c r="N2451" s="109"/>
      <c r="O2451" s="109"/>
      <c r="P2451" s="109"/>
      <c r="Q2451" s="109"/>
      <c r="S2451" s="111"/>
      <c r="T2451" s="60"/>
      <c r="U2451" s="112"/>
    </row>
    <row r="2452" spans="4:21" s="110" customFormat="1" ht="15.75" customHeight="1">
      <c r="D2452" s="113"/>
      <c r="E2452" s="60"/>
      <c r="F2452" s="60"/>
      <c r="G2452" s="60"/>
      <c r="H2452" s="60"/>
      <c r="I2452" s="60"/>
      <c r="J2452" s="114"/>
      <c r="K2452" s="60"/>
      <c r="L2452" s="109"/>
      <c r="M2452" s="109"/>
      <c r="N2452" s="109"/>
      <c r="O2452" s="109"/>
      <c r="P2452" s="109"/>
      <c r="Q2452" s="109"/>
      <c r="S2452" s="111"/>
      <c r="T2452" s="60"/>
      <c r="U2452" s="112"/>
    </row>
    <row r="2453" spans="4:21" s="110" customFormat="1" ht="15.75" customHeight="1">
      <c r="D2453" s="113"/>
      <c r="E2453" s="60"/>
      <c r="F2453" s="60"/>
      <c r="G2453" s="60"/>
      <c r="H2453" s="60"/>
      <c r="I2453" s="60"/>
      <c r="J2453" s="114"/>
      <c r="K2453" s="60"/>
      <c r="L2453" s="109"/>
      <c r="M2453" s="109"/>
      <c r="N2453" s="109"/>
      <c r="O2453" s="109"/>
      <c r="P2453" s="109"/>
      <c r="Q2453" s="109"/>
      <c r="S2453" s="111"/>
      <c r="T2453" s="60"/>
      <c r="U2453" s="112"/>
    </row>
    <row r="2454" spans="4:21" s="110" customFormat="1" ht="15.75" customHeight="1">
      <c r="D2454" s="113"/>
      <c r="E2454" s="60"/>
      <c r="F2454" s="60"/>
      <c r="G2454" s="60"/>
      <c r="H2454" s="60"/>
      <c r="I2454" s="60"/>
      <c r="J2454" s="114"/>
      <c r="K2454" s="60"/>
      <c r="L2454" s="109"/>
      <c r="M2454" s="109"/>
      <c r="N2454" s="109"/>
      <c r="O2454" s="109"/>
      <c r="P2454" s="109"/>
      <c r="Q2454" s="109"/>
      <c r="S2454" s="111"/>
      <c r="T2454" s="60"/>
      <c r="U2454" s="112"/>
    </row>
    <row r="2455" spans="4:21" s="110" customFormat="1" ht="15.75" customHeight="1">
      <c r="D2455" s="113"/>
      <c r="E2455" s="60"/>
      <c r="F2455" s="60"/>
      <c r="G2455" s="60"/>
      <c r="H2455" s="60"/>
      <c r="I2455" s="60"/>
      <c r="J2455" s="114"/>
      <c r="K2455" s="60"/>
      <c r="L2455" s="109"/>
      <c r="M2455" s="109"/>
      <c r="N2455" s="109"/>
      <c r="O2455" s="109"/>
      <c r="P2455" s="109"/>
      <c r="Q2455" s="109"/>
      <c r="S2455" s="111"/>
      <c r="T2455" s="60"/>
      <c r="U2455" s="112"/>
    </row>
    <row r="2456" spans="4:21" s="110" customFormat="1" ht="15.75" customHeight="1">
      <c r="D2456" s="113"/>
      <c r="E2456" s="60"/>
      <c r="F2456" s="60"/>
      <c r="G2456" s="60"/>
      <c r="H2456" s="60"/>
      <c r="I2456" s="60"/>
      <c r="J2456" s="114"/>
      <c r="K2456" s="60"/>
      <c r="L2456" s="109"/>
      <c r="M2456" s="109"/>
      <c r="N2456" s="109"/>
      <c r="O2456" s="109"/>
      <c r="P2456" s="109"/>
      <c r="Q2456" s="109"/>
      <c r="S2456" s="111"/>
      <c r="T2456" s="60"/>
      <c r="U2456" s="112"/>
    </row>
    <row r="2457" spans="4:21" s="110" customFormat="1" ht="15.75" customHeight="1">
      <c r="D2457" s="113"/>
      <c r="E2457" s="60"/>
      <c r="F2457" s="60"/>
      <c r="G2457" s="60"/>
      <c r="H2457" s="60"/>
      <c r="I2457" s="60"/>
      <c r="J2457" s="114"/>
      <c r="K2457" s="60"/>
      <c r="L2457" s="109"/>
      <c r="M2457" s="109"/>
      <c r="N2457" s="109"/>
      <c r="O2457" s="109"/>
      <c r="P2457" s="109"/>
      <c r="Q2457" s="109"/>
      <c r="S2457" s="111"/>
      <c r="T2457" s="60"/>
      <c r="U2457" s="112"/>
    </row>
    <row r="2458" spans="4:21" s="110" customFormat="1" ht="15.75" customHeight="1">
      <c r="D2458" s="113"/>
      <c r="E2458" s="60"/>
      <c r="F2458" s="60"/>
      <c r="G2458" s="60"/>
      <c r="H2458" s="60"/>
      <c r="I2458" s="60"/>
      <c r="J2458" s="114"/>
      <c r="K2458" s="60"/>
      <c r="L2458" s="109"/>
      <c r="M2458" s="109"/>
      <c r="N2458" s="109"/>
      <c r="O2458" s="109"/>
      <c r="P2458" s="109"/>
      <c r="Q2458" s="109"/>
      <c r="S2458" s="111"/>
      <c r="T2458" s="60"/>
      <c r="U2458" s="112"/>
    </row>
    <row r="2459" spans="4:21" s="110" customFormat="1" ht="15.75" customHeight="1">
      <c r="D2459" s="113"/>
      <c r="E2459" s="60"/>
      <c r="F2459" s="60"/>
      <c r="G2459" s="60"/>
      <c r="H2459" s="60"/>
      <c r="I2459" s="60"/>
      <c r="J2459" s="114"/>
      <c r="K2459" s="60"/>
      <c r="L2459" s="109"/>
      <c r="M2459" s="109"/>
      <c r="N2459" s="109"/>
      <c r="O2459" s="109"/>
      <c r="P2459" s="109"/>
      <c r="Q2459" s="109"/>
      <c r="S2459" s="111"/>
      <c r="T2459" s="60"/>
      <c r="U2459" s="112"/>
    </row>
    <row r="2460" spans="4:21" s="110" customFormat="1" ht="15.75" customHeight="1">
      <c r="D2460" s="113"/>
      <c r="E2460" s="60"/>
      <c r="F2460" s="60"/>
      <c r="G2460" s="60"/>
      <c r="H2460" s="60"/>
      <c r="I2460" s="60"/>
      <c r="J2460" s="114"/>
      <c r="K2460" s="60"/>
      <c r="L2460" s="109"/>
      <c r="M2460" s="109"/>
      <c r="N2460" s="109"/>
      <c r="O2460" s="109"/>
      <c r="P2460" s="109"/>
      <c r="Q2460" s="109"/>
      <c r="S2460" s="111"/>
      <c r="T2460" s="60"/>
      <c r="U2460" s="112"/>
    </row>
    <row r="2461" spans="4:21" s="110" customFormat="1" ht="15.75" customHeight="1">
      <c r="D2461" s="113"/>
      <c r="E2461" s="60"/>
      <c r="F2461" s="60"/>
      <c r="G2461" s="60"/>
      <c r="H2461" s="60"/>
      <c r="I2461" s="60"/>
      <c r="J2461" s="114"/>
      <c r="K2461" s="60"/>
      <c r="L2461" s="109"/>
      <c r="M2461" s="109"/>
      <c r="N2461" s="109"/>
      <c r="O2461" s="109"/>
      <c r="P2461" s="109"/>
      <c r="Q2461" s="109"/>
      <c r="S2461" s="111"/>
      <c r="T2461" s="60"/>
      <c r="U2461" s="112"/>
    </row>
    <row r="2462" spans="4:21" s="110" customFormat="1" ht="15.75" customHeight="1">
      <c r="D2462" s="113"/>
      <c r="E2462" s="60"/>
      <c r="F2462" s="60"/>
      <c r="G2462" s="60"/>
      <c r="H2462" s="60"/>
      <c r="I2462" s="60"/>
      <c r="J2462" s="114"/>
      <c r="K2462" s="60"/>
      <c r="L2462" s="109"/>
      <c r="M2462" s="109"/>
      <c r="N2462" s="109"/>
      <c r="O2462" s="109"/>
      <c r="P2462" s="109"/>
      <c r="Q2462" s="109"/>
      <c r="S2462" s="111"/>
      <c r="T2462" s="60"/>
      <c r="U2462" s="112"/>
    </row>
    <row r="2463" spans="4:21" s="110" customFormat="1" ht="15.75" customHeight="1">
      <c r="D2463" s="113"/>
      <c r="E2463" s="60"/>
      <c r="F2463" s="60"/>
      <c r="G2463" s="60"/>
      <c r="H2463" s="60"/>
      <c r="I2463" s="60"/>
      <c r="J2463" s="114"/>
      <c r="K2463" s="60"/>
      <c r="L2463" s="109"/>
      <c r="M2463" s="109"/>
      <c r="N2463" s="109"/>
      <c r="O2463" s="109"/>
      <c r="P2463" s="109"/>
      <c r="Q2463" s="109"/>
      <c r="S2463" s="111"/>
      <c r="T2463" s="60"/>
      <c r="U2463" s="112"/>
    </row>
    <row r="2464" spans="4:21" s="110" customFormat="1" ht="15.75" customHeight="1">
      <c r="D2464" s="113"/>
      <c r="E2464" s="60"/>
      <c r="F2464" s="60"/>
      <c r="G2464" s="60"/>
      <c r="H2464" s="60"/>
      <c r="I2464" s="60"/>
      <c r="J2464" s="114"/>
      <c r="K2464" s="60"/>
      <c r="L2464" s="109"/>
      <c r="M2464" s="109"/>
      <c r="N2464" s="109"/>
      <c r="O2464" s="109"/>
      <c r="P2464" s="109"/>
      <c r="Q2464" s="109"/>
      <c r="S2464" s="111"/>
      <c r="T2464" s="60"/>
      <c r="U2464" s="112"/>
    </row>
    <row r="2465" spans="4:21" s="110" customFormat="1" ht="15.75" customHeight="1">
      <c r="D2465" s="113"/>
      <c r="E2465" s="60"/>
      <c r="F2465" s="60"/>
      <c r="G2465" s="60"/>
      <c r="H2465" s="60"/>
      <c r="I2465" s="60"/>
      <c r="J2465" s="114"/>
      <c r="K2465" s="60"/>
      <c r="L2465" s="109"/>
      <c r="M2465" s="109"/>
      <c r="N2465" s="109"/>
      <c r="O2465" s="109"/>
      <c r="P2465" s="109"/>
      <c r="Q2465" s="109"/>
      <c r="S2465" s="111"/>
      <c r="T2465" s="60"/>
      <c r="U2465" s="112"/>
    </row>
    <row r="2466" spans="4:21" s="110" customFormat="1" ht="15.75" customHeight="1">
      <c r="D2466" s="113"/>
      <c r="E2466" s="60"/>
      <c r="F2466" s="60"/>
      <c r="G2466" s="60"/>
      <c r="H2466" s="60"/>
      <c r="I2466" s="60"/>
      <c r="J2466" s="114"/>
      <c r="K2466" s="60"/>
      <c r="L2466" s="109"/>
      <c r="M2466" s="109"/>
      <c r="N2466" s="109"/>
      <c r="O2466" s="109"/>
      <c r="P2466" s="109"/>
      <c r="Q2466" s="109"/>
      <c r="S2466" s="111"/>
      <c r="T2466" s="60"/>
      <c r="U2466" s="112"/>
    </row>
    <row r="2467" spans="4:21" s="110" customFormat="1" ht="15.75" customHeight="1">
      <c r="D2467" s="113"/>
      <c r="E2467" s="60"/>
      <c r="F2467" s="60"/>
      <c r="G2467" s="60"/>
      <c r="H2467" s="60"/>
      <c r="I2467" s="60"/>
      <c r="J2467" s="114"/>
      <c r="K2467" s="60"/>
      <c r="L2467" s="109"/>
      <c r="M2467" s="109"/>
      <c r="N2467" s="109"/>
      <c r="O2467" s="109"/>
      <c r="P2467" s="109"/>
      <c r="Q2467" s="109"/>
      <c r="S2467" s="111"/>
      <c r="T2467" s="60"/>
      <c r="U2467" s="112"/>
    </row>
    <row r="2468" spans="4:21" s="110" customFormat="1" ht="15.75" customHeight="1">
      <c r="D2468" s="113"/>
      <c r="E2468" s="60"/>
      <c r="F2468" s="60"/>
      <c r="G2468" s="60"/>
      <c r="H2468" s="60"/>
      <c r="I2468" s="60"/>
      <c r="J2468" s="114"/>
      <c r="K2468" s="60"/>
      <c r="L2468" s="109"/>
      <c r="M2468" s="109"/>
      <c r="N2468" s="109"/>
      <c r="O2468" s="109"/>
      <c r="P2468" s="109"/>
      <c r="Q2468" s="109"/>
      <c r="S2468" s="111"/>
      <c r="T2468" s="60"/>
      <c r="U2468" s="112"/>
    </row>
    <row r="2469" spans="4:21" s="110" customFormat="1" ht="15.75" customHeight="1">
      <c r="D2469" s="113"/>
      <c r="E2469" s="60"/>
      <c r="F2469" s="60"/>
      <c r="G2469" s="60"/>
      <c r="H2469" s="60"/>
      <c r="I2469" s="60"/>
      <c r="J2469" s="114"/>
      <c r="K2469" s="60"/>
      <c r="L2469" s="109"/>
      <c r="M2469" s="109"/>
      <c r="N2469" s="109"/>
      <c r="O2469" s="109"/>
      <c r="P2469" s="109"/>
      <c r="Q2469" s="109"/>
      <c r="S2469" s="111"/>
      <c r="T2469" s="60"/>
      <c r="U2469" s="112"/>
    </row>
    <row r="2470" spans="4:21" s="110" customFormat="1" ht="15.75" customHeight="1">
      <c r="D2470" s="113"/>
      <c r="E2470" s="60"/>
      <c r="F2470" s="60"/>
      <c r="G2470" s="60"/>
      <c r="H2470" s="60"/>
      <c r="I2470" s="60"/>
      <c r="J2470" s="114"/>
      <c r="K2470" s="60"/>
      <c r="L2470" s="109"/>
      <c r="M2470" s="109"/>
      <c r="N2470" s="109"/>
      <c r="O2470" s="109"/>
      <c r="P2470" s="109"/>
      <c r="Q2470" s="109"/>
      <c r="S2470" s="111"/>
      <c r="T2470" s="60"/>
      <c r="U2470" s="112"/>
    </row>
    <row r="2471" spans="4:21" s="110" customFormat="1" ht="15.75" customHeight="1">
      <c r="D2471" s="113"/>
      <c r="E2471" s="60"/>
      <c r="F2471" s="60"/>
      <c r="G2471" s="60"/>
      <c r="H2471" s="60"/>
      <c r="I2471" s="60"/>
      <c r="J2471" s="114"/>
      <c r="K2471" s="60"/>
      <c r="L2471" s="109"/>
      <c r="M2471" s="109"/>
      <c r="N2471" s="109"/>
      <c r="O2471" s="109"/>
      <c r="P2471" s="109"/>
      <c r="Q2471" s="109"/>
      <c r="S2471" s="111"/>
      <c r="T2471" s="60"/>
      <c r="U2471" s="112"/>
    </row>
    <row r="2472" spans="4:21" s="110" customFormat="1" ht="15.75" customHeight="1">
      <c r="D2472" s="113"/>
      <c r="E2472" s="60"/>
      <c r="F2472" s="60"/>
      <c r="G2472" s="60"/>
      <c r="H2472" s="60"/>
      <c r="I2472" s="60"/>
      <c r="J2472" s="114"/>
      <c r="K2472" s="60"/>
      <c r="L2472" s="109"/>
      <c r="M2472" s="109"/>
      <c r="N2472" s="109"/>
      <c r="O2472" s="109"/>
      <c r="P2472" s="109"/>
      <c r="Q2472" s="109"/>
      <c r="S2472" s="111"/>
      <c r="T2472" s="60"/>
      <c r="U2472" s="112"/>
    </row>
    <row r="2473" spans="4:21" s="110" customFormat="1" ht="15.75" customHeight="1">
      <c r="D2473" s="113"/>
      <c r="E2473" s="60"/>
      <c r="F2473" s="60"/>
      <c r="G2473" s="60"/>
      <c r="H2473" s="60"/>
      <c r="I2473" s="60"/>
      <c r="J2473" s="114"/>
      <c r="K2473" s="60"/>
      <c r="L2473" s="109"/>
      <c r="M2473" s="109"/>
      <c r="N2473" s="109"/>
      <c r="O2473" s="109"/>
      <c r="P2473" s="109"/>
      <c r="Q2473" s="109"/>
      <c r="S2473" s="111"/>
      <c r="T2473" s="60"/>
      <c r="U2473" s="112"/>
    </row>
    <row r="2474" spans="4:21" s="110" customFormat="1" ht="15.75" customHeight="1">
      <c r="D2474" s="113"/>
      <c r="E2474" s="60"/>
      <c r="F2474" s="60"/>
      <c r="G2474" s="60"/>
      <c r="H2474" s="60"/>
      <c r="I2474" s="60"/>
      <c r="J2474" s="114"/>
      <c r="K2474" s="60"/>
      <c r="L2474" s="109"/>
      <c r="M2474" s="109"/>
      <c r="N2474" s="109"/>
      <c r="O2474" s="109"/>
      <c r="P2474" s="109"/>
      <c r="Q2474" s="109"/>
      <c r="S2474" s="111"/>
      <c r="T2474" s="60"/>
      <c r="U2474" s="112"/>
    </row>
    <row r="2475" spans="4:21" s="110" customFormat="1" ht="15.75" customHeight="1">
      <c r="D2475" s="113"/>
      <c r="E2475" s="60"/>
      <c r="F2475" s="60"/>
      <c r="G2475" s="60"/>
      <c r="H2475" s="60"/>
      <c r="I2475" s="60"/>
      <c r="J2475" s="114"/>
      <c r="K2475" s="60"/>
      <c r="L2475" s="109"/>
      <c r="M2475" s="109"/>
      <c r="N2475" s="109"/>
      <c r="O2475" s="109"/>
      <c r="P2475" s="109"/>
      <c r="Q2475" s="109"/>
      <c r="S2475" s="111"/>
      <c r="T2475" s="60"/>
      <c r="U2475" s="112"/>
    </row>
    <row r="2476" spans="4:21" s="110" customFormat="1" ht="15.75" customHeight="1">
      <c r="D2476" s="113"/>
      <c r="E2476" s="60"/>
      <c r="F2476" s="60"/>
      <c r="G2476" s="60"/>
      <c r="H2476" s="60"/>
      <c r="I2476" s="60"/>
      <c r="J2476" s="114"/>
      <c r="K2476" s="60"/>
      <c r="L2476" s="109"/>
      <c r="M2476" s="109"/>
      <c r="N2476" s="109"/>
      <c r="O2476" s="109"/>
      <c r="P2476" s="109"/>
      <c r="Q2476" s="109"/>
      <c r="S2476" s="111"/>
      <c r="T2476" s="60"/>
      <c r="U2476" s="112"/>
    </row>
    <row r="2477" spans="4:21" s="110" customFormat="1" ht="15.75" customHeight="1">
      <c r="D2477" s="113"/>
      <c r="E2477" s="60"/>
      <c r="F2477" s="60"/>
      <c r="G2477" s="60"/>
      <c r="H2477" s="60"/>
      <c r="I2477" s="60"/>
      <c r="J2477" s="114"/>
      <c r="K2477" s="60"/>
      <c r="L2477" s="109"/>
      <c r="M2477" s="109"/>
      <c r="N2477" s="109"/>
      <c r="O2477" s="109"/>
      <c r="P2477" s="109"/>
      <c r="Q2477" s="109"/>
      <c r="S2477" s="111"/>
      <c r="T2477" s="60"/>
      <c r="U2477" s="112"/>
    </row>
    <row r="2478" spans="4:21" s="110" customFormat="1" ht="15.75" customHeight="1">
      <c r="D2478" s="113"/>
      <c r="E2478" s="60"/>
      <c r="F2478" s="60"/>
      <c r="G2478" s="60"/>
      <c r="H2478" s="60"/>
      <c r="I2478" s="60"/>
      <c r="J2478" s="114"/>
      <c r="K2478" s="60"/>
      <c r="L2478" s="109"/>
      <c r="M2478" s="109"/>
      <c r="N2478" s="109"/>
      <c r="O2478" s="109"/>
      <c r="P2478" s="109"/>
      <c r="Q2478" s="109"/>
      <c r="S2478" s="111"/>
      <c r="T2478" s="60"/>
      <c r="U2478" s="112"/>
    </row>
    <row r="2479" spans="4:21" s="110" customFormat="1" ht="15.75" customHeight="1">
      <c r="D2479" s="113"/>
      <c r="E2479" s="60"/>
      <c r="F2479" s="60"/>
      <c r="G2479" s="60"/>
      <c r="H2479" s="60"/>
      <c r="I2479" s="60"/>
      <c r="J2479" s="114"/>
      <c r="K2479" s="60"/>
      <c r="L2479" s="109"/>
      <c r="M2479" s="109"/>
      <c r="N2479" s="109"/>
      <c r="O2479" s="109"/>
      <c r="P2479" s="109"/>
      <c r="Q2479" s="109"/>
      <c r="S2479" s="111"/>
      <c r="T2479" s="60"/>
      <c r="U2479" s="112"/>
    </row>
    <row r="2480" spans="4:21" s="110" customFormat="1" ht="15.75" customHeight="1">
      <c r="D2480" s="113"/>
      <c r="E2480" s="60"/>
      <c r="F2480" s="60"/>
      <c r="G2480" s="60"/>
      <c r="H2480" s="60"/>
      <c r="I2480" s="60"/>
      <c r="J2480" s="114"/>
      <c r="K2480" s="60"/>
      <c r="L2480" s="109"/>
      <c r="M2480" s="109"/>
      <c r="N2480" s="109"/>
      <c r="O2480" s="109"/>
      <c r="P2480" s="109"/>
      <c r="Q2480" s="109"/>
      <c r="S2480" s="111"/>
      <c r="T2480" s="60"/>
      <c r="U2480" s="112"/>
    </row>
    <row r="2481" spans="4:21" s="110" customFormat="1" ht="15.75" customHeight="1">
      <c r="D2481" s="113"/>
      <c r="E2481" s="60"/>
      <c r="F2481" s="60"/>
      <c r="G2481" s="60"/>
      <c r="H2481" s="60"/>
      <c r="I2481" s="60"/>
      <c r="J2481" s="114"/>
      <c r="K2481" s="60"/>
      <c r="L2481" s="109"/>
      <c r="M2481" s="109"/>
      <c r="N2481" s="109"/>
      <c r="O2481" s="109"/>
      <c r="P2481" s="109"/>
      <c r="Q2481" s="109"/>
      <c r="S2481" s="111"/>
      <c r="T2481" s="60"/>
      <c r="U2481" s="112"/>
    </row>
    <row r="2482" spans="4:21" s="110" customFormat="1" ht="15.75" customHeight="1">
      <c r="D2482" s="113"/>
      <c r="E2482" s="60"/>
      <c r="F2482" s="60"/>
      <c r="G2482" s="60"/>
      <c r="H2482" s="60"/>
      <c r="I2482" s="60"/>
      <c r="J2482" s="114"/>
      <c r="K2482" s="60"/>
      <c r="L2482" s="109"/>
      <c r="M2482" s="109"/>
      <c r="N2482" s="109"/>
      <c r="O2482" s="109"/>
      <c r="P2482" s="109"/>
      <c r="Q2482" s="109"/>
      <c r="S2482" s="111"/>
      <c r="T2482" s="60"/>
      <c r="U2482" s="112"/>
    </row>
    <row r="2483" spans="4:21" s="110" customFormat="1" ht="15.75" customHeight="1">
      <c r="D2483" s="113"/>
      <c r="E2483" s="60"/>
      <c r="F2483" s="60"/>
      <c r="G2483" s="60"/>
      <c r="H2483" s="60"/>
      <c r="I2483" s="60"/>
      <c r="J2483" s="114"/>
      <c r="K2483" s="60"/>
      <c r="L2483" s="109"/>
      <c r="M2483" s="109"/>
      <c r="N2483" s="109"/>
      <c r="O2483" s="109"/>
      <c r="P2483" s="109"/>
      <c r="Q2483" s="109"/>
      <c r="S2483" s="111"/>
      <c r="T2483" s="60"/>
      <c r="U2483" s="112"/>
    </row>
    <row r="2484" spans="4:21" s="110" customFormat="1" ht="15.75" customHeight="1">
      <c r="D2484" s="113"/>
      <c r="E2484" s="60"/>
      <c r="F2484" s="60"/>
      <c r="G2484" s="60"/>
      <c r="H2484" s="60"/>
      <c r="I2484" s="60"/>
      <c r="J2484" s="114"/>
      <c r="K2484" s="60"/>
      <c r="L2484" s="109"/>
      <c r="M2484" s="109"/>
      <c r="N2484" s="109"/>
      <c r="O2484" s="109"/>
      <c r="P2484" s="109"/>
      <c r="Q2484" s="109"/>
      <c r="S2484" s="111"/>
      <c r="T2484" s="60"/>
      <c r="U2484" s="112"/>
    </row>
    <row r="2485" spans="4:21" s="110" customFormat="1" ht="15.75" customHeight="1">
      <c r="D2485" s="113"/>
      <c r="E2485" s="60"/>
      <c r="F2485" s="60"/>
      <c r="G2485" s="60"/>
      <c r="H2485" s="60"/>
      <c r="I2485" s="60"/>
      <c r="J2485" s="114"/>
      <c r="K2485" s="60"/>
      <c r="L2485" s="109"/>
      <c r="M2485" s="109"/>
      <c r="N2485" s="109"/>
      <c r="O2485" s="109"/>
      <c r="P2485" s="109"/>
      <c r="Q2485" s="109"/>
      <c r="S2485" s="111"/>
      <c r="T2485" s="60"/>
      <c r="U2485" s="112"/>
    </row>
    <row r="2486" spans="4:21" s="110" customFormat="1" ht="15.75" customHeight="1">
      <c r="D2486" s="113"/>
      <c r="E2486" s="60"/>
      <c r="F2486" s="60"/>
      <c r="G2486" s="60"/>
      <c r="H2486" s="60"/>
      <c r="I2486" s="60"/>
      <c r="J2486" s="114"/>
      <c r="K2486" s="60"/>
      <c r="L2486" s="109"/>
      <c r="M2486" s="109"/>
      <c r="N2486" s="109"/>
      <c r="O2486" s="109"/>
      <c r="P2486" s="109"/>
      <c r="Q2486" s="109"/>
      <c r="S2486" s="111"/>
      <c r="T2486" s="60"/>
      <c r="U2486" s="112"/>
    </row>
    <row r="2487" spans="4:21" s="110" customFormat="1" ht="15.75" customHeight="1">
      <c r="D2487" s="113"/>
      <c r="E2487" s="60"/>
      <c r="F2487" s="60"/>
      <c r="G2487" s="60"/>
      <c r="H2487" s="60"/>
      <c r="I2487" s="60"/>
      <c r="J2487" s="114"/>
      <c r="K2487" s="60"/>
      <c r="L2487" s="109"/>
      <c r="M2487" s="109"/>
      <c r="N2487" s="109"/>
      <c r="O2487" s="109"/>
      <c r="P2487" s="109"/>
      <c r="Q2487" s="109"/>
      <c r="S2487" s="111"/>
      <c r="T2487" s="60"/>
      <c r="U2487" s="112"/>
    </row>
    <row r="2488" spans="4:21" s="110" customFormat="1" ht="15.75" customHeight="1">
      <c r="D2488" s="113"/>
      <c r="E2488" s="60"/>
      <c r="F2488" s="60"/>
      <c r="G2488" s="60"/>
      <c r="H2488" s="60"/>
      <c r="I2488" s="60"/>
      <c r="J2488" s="114"/>
      <c r="K2488" s="60"/>
      <c r="L2488" s="109"/>
      <c r="M2488" s="109"/>
      <c r="N2488" s="109"/>
      <c r="O2488" s="109"/>
      <c r="P2488" s="109"/>
      <c r="Q2488" s="109"/>
      <c r="S2488" s="111"/>
      <c r="T2488" s="60"/>
      <c r="U2488" s="112"/>
    </row>
    <row r="2489" spans="4:21" s="110" customFormat="1" ht="15.75" customHeight="1">
      <c r="D2489" s="113"/>
      <c r="E2489" s="60"/>
      <c r="F2489" s="60"/>
      <c r="G2489" s="60"/>
      <c r="H2489" s="60"/>
      <c r="I2489" s="60"/>
      <c r="J2489" s="114"/>
      <c r="K2489" s="60"/>
      <c r="L2489" s="109"/>
      <c r="M2489" s="109"/>
      <c r="N2489" s="109"/>
      <c r="O2489" s="109"/>
      <c r="P2489" s="109"/>
      <c r="Q2489" s="109"/>
      <c r="S2489" s="111"/>
      <c r="T2489" s="60"/>
      <c r="U2489" s="112"/>
    </row>
    <row r="2490" spans="4:21" s="110" customFormat="1" ht="15.75" customHeight="1">
      <c r="D2490" s="113"/>
      <c r="E2490" s="60"/>
      <c r="F2490" s="60"/>
      <c r="G2490" s="60"/>
      <c r="H2490" s="60"/>
      <c r="I2490" s="60"/>
      <c r="J2490" s="114"/>
      <c r="K2490" s="60"/>
      <c r="L2490" s="109"/>
      <c r="M2490" s="109"/>
      <c r="N2490" s="109"/>
      <c r="O2490" s="109"/>
      <c r="P2490" s="109"/>
      <c r="Q2490" s="109"/>
      <c r="S2490" s="111"/>
      <c r="T2490" s="60"/>
      <c r="U2490" s="112"/>
    </row>
    <row r="2491" spans="4:21" s="110" customFormat="1" ht="15.75" customHeight="1">
      <c r="D2491" s="113"/>
      <c r="E2491" s="60"/>
      <c r="F2491" s="60"/>
      <c r="G2491" s="60"/>
      <c r="H2491" s="60"/>
      <c r="I2491" s="60"/>
      <c r="J2491" s="114"/>
      <c r="K2491" s="60"/>
      <c r="L2491" s="109"/>
      <c r="M2491" s="109"/>
      <c r="N2491" s="109"/>
      <c r="O2491" s="109"/>
      <c r="P2491" s="109"/>
      <c r="Q2491" s="109"/>
      <c r="S2491" s="111"/>
      <c r="T2491" s="60"/>
      <c r="U2491" s="112"/>
    </row>
    <row r="2492" spans="4:21" s="110" customFormat="1" ht="15.75" customHeight="1">
      <c r="D2492" s="113"/>
      <c r="E2492" s="60"/>
      <c r="F2492" s="60"/>
      <c r="G2492" s="60"/>
      <c r="H2492" s="60"/>
      <c r="I2492" s="60"/>
      <c r="J2492" s="114"/>
      <c r="K2492" s="60"/>
      <c r="L2492" s="109"/>
      <c r="M2492" s="109"/>
      <c r="N2492" s="109"/>
      <c r="O2492" s="109"/>
      <c r="P2492" s="109"/>
      <c r="Q2492" s="109"/>
      <c r="S2492" s="111"/>
      <c r="T2492" s="60"/>
      <c r="U2492" s="112"/>
    </row>
    <row r="2493" spans="4:21" s="110" customFormat="1" ht="15.75" customHeight="1">
      <c r="D2493" s="113"/>
      <c r="E2493" s="60"/>
      <c r="F2493" s="60"/>
      <c r="G2493" s="60"/>
      <c r="H2493" s="60"/>
      <c r="I2493" s="60"/>
      <c r="J2493" s="114"/>
      <c r="K2493" s="60"/>
      <c r="L2493" s="109"/>
      <c r="M2493" s="109"/>
      <c r="N2493" s="109"/>
      <c r="O2493" s="109"/>
      <c r="P2493" s="109"/>
      <c r="Q2493" s="109"/>
      <c r="S2493" s="111"/>
      <c r="T2493" s="60"/>
      <c r="U2493" s="112"/>
    </row>
    <row r="2494" spans="4:21" s="110" customFormat="1" ht="15.75" customHeight="1">
      <c r="D2494" s="113"/>
      <c r="E2494" s="60"/>
      <c r="F2494" s="60"/>
      <c r="G2494" s="60"/>
      <c r="H2494" s="60"/>
      <c r="I2494" s="60"/>
      <c r="J2494" s="114"/>
      <c r="K2494" s="60"/>
      <c r="L2494" s="109"/>
      <c r="M2494" s="109"/>
      <c r="N2494" s="109"/>
      <c r="O2494" s="109"/>
      <c r="P2494" s="109"/>
      <c r="Q2494" s="109"/>
      <c r="S2494" s="111"/>
      <c r="T2494" s="60"/>
      <c r="U2494" s="112"/>
    </row>
    <row r="2495" spans="4:21" s="110" customFormat="1" ht="15.75" customHeight="1">
      <c r="D2495" s="113"/>
      <c r="E2495" s="60"/>
      <c r="F2495" s="60"/>
      <c r="G2495" s="60"/>
      <c r="H2495" s="60"/>
      <c r="I2495" s="60"/>
      <c r="J2495" s="114"/>
      <c r="K2495" s="60"/>
      <c r="L2495" s="109"/>
      <c r="M2495" s="109"/>
      <c r="N2495" s="109"/>
      <c r="O2495" s="109"/>
      <c r="P2495" s="109"/>
      <c r="Q2495" s="109"/>
      <c r="S2495" s="111"/>
      <c r="T2495" s="60"/>
      <c r="U2495" s="112"/>
    </row>
    <row r="2496" spans="4:21" s="110" customFormat="1" ht="15.75" customHeight="1">
      <c r="D2496" s="113"/>
      <c r="E2496" s="60"/>
      <c r="F2496" s="60"/>
      <c r="G2496" s="60"/>
      <c r="H2496" s="60"/>
      <c r="I2496" s="60"/>
      <c r="J2496" s="114"/>
      <c r="K2496" s="60"/>
      <c r="L2496" s="109"/>
      <c r="M2496" s="109"/>
      <c r="N2496" s="109"/>
      <c r="O2496" s="109"/>
      <c r="P2496" s="109"/>
      <c r="Q2496" s="109"/>
      <c r="S2496" s="111"/>
      <c r="T2496" s="60"/>
      <c r="U2496" s="112"/>
    </row>
    <row r="2497" spans="4:21" s="110" customFormat="1" ht="15.75" customHeight="1">
      <c r="D2497" s="113"/>
      <c r="E2497" s="60"/>
      <c r="F2497" s="60"/>
      <c r="G2497" s="60"/>
      <c r="H2497" s="60"/>
      <c r="I2497" s="60"/>
      <c r="J2497" s="114"/>
      <c r="K2497" s="60"/>
      <c r="L2497" s="109"/>
      <c r="M2497" s="109"/>
      <c r="N2497" s="109"/>
      <c r="O2497" s="109"/>
      <c r="P2497" s="109"/>
      <c r="Q2497" s="109"/>
      <c r="S2497" s="111"/>
      <c r="T2497" s="60"/>
      <c r="U2497" s="112"/>
    </row>
    <row r="2498" spans="4:21" s="110" customFormat="1" ht="15.75" customHeight="1">
      <c r="D2498" s="113"/>
      <c r="E2498" s="60"/>
      <c r="F2498" s="60"/>
      <c r="G2498" s="60"/>
      <c r="H2498" s="60"/>
      <c r="I2498" s="60"/>
      <c r="J2498" s="114"/>
      <c r="K2498" s="60"/>
      <c r="L2498" s="109"/>
      <c r="M2498" s="109"/>
      <c r="N2498" s="109"/>
      <c r="O2498" s="109"/>
      <c r="P2498" s="109"/>
      <c r="Q2498" s="109"/>
      <c r="S2498" s="111"/>
      <c r="T2498" s="60"/>
      <c r="U2498" s="112"/>
    </row>
    <row r="2499" spans="4:21" s="110" customFormat="1" ht="15.75" customHeight="1">
      <c r="D2499" s="113"/>
      <c r="E2499" s="60"/>
      <c r="F2499" s="60"/>
      <c r="G2499" s="60"/>
      <c r="H2499" s="60"/>
      <c r="I2499" s="60"/>
      <c r="J2499" s="114"/>
      <c r="K2499" s="60"/>
      <c r="L2499" s="109"/>
      <c r="M2499" s="109"/>
      <c r="N2499" s="109"/>
      <c r="O2499" s="109"/>
      <c r="P2499" s="109"/>
      <c r="Q2499" s="109"/>
      <c r="S2499" s="111"/>
      <c r="T2499" s="60"/>
      <c r="U2499" s="112"/>
    </row>
    <row r="2500" spans="4:21" s="110" customFormat="1" ht="15.75" customHeight="1">
      <c r="D2500" s="113"/>
      <c r="E2500" s="60"/>
      <c r="F2500" s="60"/>
      <c r="G2500" s="60"/>
      <c r="H2500" s="60"/>
      <c r="I2500" s="60"/>
      <c r="J2500" s="114"/>
      <c r="K2500" s="60"/>
      <c r="L2500" s="109"/>
      <c r="M2500" s="109"/>
      <c r="N2500" s="109"/>
      <c r="O2500" s="109"/>
      <c r="P2500" s="109"/>
      <c r="Q2500" s="109"/>
      <c r="S2500" s="111"/>
      <c r="T2500" s="60"/>
      <c r="U2500" s="112"/>
    </row>
    <row r="2501" spans="4:21" s="110" customFormat="1" ht="15.75" customHeight="1">
      <c r="D2501" s="113"/>
      <c r="E2501" s="60"/>
      <c r="F2501" s="60"/>
      <c r="G2501" s="60"/>
      <c r="H2501" s="60"/>
      <c r="I2501" s="60"/>
      <c r="J2501" s="114"/>
      <c r="K2501" s="60"/>
      <c r="L2501" s="109"/>
      <c r="M2501" s="109"/>
      <c r="N2501" s="109"/>
      <c r="O2501" s="109"/>
      <c r="P2501" s="109"/>
      <c r="Q2501" s="109"/>
      <c r="S2501" s="111"/>
      <c r="T2501" s="60"/>
      <c r="U2501" s="112"/>
    </row>
    <row r="2502" spans="4:21" s="110" customFormat="1" ht="15.75" customHeight="1">
      <c r="D2502" s="113"/>
      <c r="E2502" s="60"/>
      <c r="F2502" s="60"/>
      <c r="G2502" s="60"/>
      <c r="H2502" s="60"/>
      <c r="I2502" s="60"/>
      <c r="J2502" s="114"/>
      <c r="K2502" s="60"/>
      <c r="L2502" s="109"/>
      <c r="M2502" s="109"/>
      <c r="N2502" s="109"/>
      <c r="O2502" s="109"/>
      <c r="P2502" s="109"/>
      <c r="Q2502" s="109"/>
      <c r="S2502" s="111"/>
      <c r="T2502" s="60"/>
      <c r="U2502" s="112"/>
    </row>
    <row r="2503" spans="4:21" s="110" customFormat="1" ht="15.75" customHeight="1">
      <c r="D2503" s="113"/>
      <c r="E2503" s="60"/>
      <c r="F2503" s="60"/>
      <c r="G2503" s="60"/>
      <c r="H2503" s="60"/>
      <c r="I2503" s="60"/>
      <c r="J2503" s="114"/>
      <c r="K2503" s="60"/>
      <c r="L2503" s="109"/>
      <c r="M2503" s="109"/>
      <c r="N2503" s="109"/>
      <c r="O2503" s="109"/>
      <c r="P2503" s="109"/>
      <c r="Q2503" s="109"/>
      <c r="S2503" s="111"/>
      <c r="T2503" s="60"/>
      <c r="U2503" s="112"/>
    </row>
    <row r="2504" spans="4:21" s="110" customFormat="1" ht="15.75" customHeight="1">
      <c r="D2504" s="113"/>
      <c r="E2504" s="60"/>
      <c r="F2504" s="60"/>
      <c r="G2504" s="60"/>
      <c r="H2504" s="60"/>
      <c r="I2504" s="60"/>
      <c r="J2504" s="114"/>
      <c r="K2504" s="60"/>
      <c r="L2504" s="109"/>
      <c r="M2504" s="109"/>
      <c r="N2504" s="109"/>
      <c r="O2504" s="109"/>
      <c r="P2504" s="109"/>
      <c r="Q2504" s="109"/>
      <c r="S2504" s="111"/>
      <c r="T2504" s="60"/>
      <c r="U2504" s="112"/>
    </row>
    <row r="2505" spans="4:21" s="110" customFormat="1" ht="15.75" customHeight="1">
      <c r="D2505" s="113"/>
      <c r="E2505" s="60"/>
      <c r="F2505" s="60"/>
      <c r="G2505" s="60"/>
      <c r="H2505" s="60"/>
      <c r="I2505" s="60"/>
      <c r="J2505" s="114"/>
      <c r="K2505" s="60"/>
      <c r="L2505" s="109"/>
      <c r="M2505" s="109"/>
      <c r="N2505" s="109"/>
      <c r="O2505" s="109"/>
      <c r="P2505" s="109"/>
      <c r="Q2505" s="109"/>
      <c r="S2505" s="111"/>
      <c r="T2505" s="60"/>
      <c r="U2505" s="112"/>
    </row>
    <row r="2506" spans="4:21" s="110" customFormat="1" ht="15.75" customHeight="1">
      <c r="D2506" s="113"/>
      <c r="E2506" s="60"/>
      <c r="F2506" s="60"/>
      <c r="G2506" s="60"/>
      <c r="H2506" s="60"/>
      <c r="I2506" s="60"/>
      <c r="J2506" s="114"/>
      <c r="K2506" s="60"/>
      <c r="L2506" s="109"/>
      <c r="M2506" s="109"/>
      <c r="N2506" s="109"/>
      <c r="O2506" s="109"/>
      <c r="P2506" s="109"/>
      <c r="Q2506" s="109"/>
      <c r="S2506" s="111"/>
      <c r="T2506" s="60"/>
      <c r="U2506" s="112"/>
    </row>
    <row r="2507" spans="4:21" s="110" customFormat="1" ht="15.75" customHeight="1">
      <c r="D2507" s="113"/>
      <c r="E2507" s="60"/>
      <c r="F2507" s="60"/>
      <c r="G2507" s="60"/>
      <c r="H2507" s="60"/>
      <c r="I2507" s="60"/>
      <c r="J2507" s="114"/>
      <c r="K2507" s="60"/>
      <c r="L2507" s="109"/>
      <c r="M2507" s="109"/>
      <c r="N2507" s="109"/>
      <c r="O2507" s="109"/>
      <c r="P2507" s="109"/>
      <c r="Q2507" s="109"/>
      <c r="S2507" s="111"/>
      <c r="T2507" s="60"/>
      <c r="U2507" s="112"/>
    </row>
    <row r="2508" spans="4:21" s="110" customFormat="1" ht="15.75" customHeight="1">
      <c r="D2508" s="113"/>
      <c r="E2508" s="60"/>
      <c r="F2508" s="60"/>
      <c r="G2508" s="60"/>
      <c r="H2508" s="60"/>
      <c r="I2508" s="60"/>
      <c r="J2508" s="114"/>
      <c r="K2508" s="60"/>
      <c r="L2508" s="109"/>
      <c r="M2508" s="109"/>
      <c r="N2508" s="109"/>
      <c r="O2508" s="109"/>
      <c r="P2508" s="109"/>
      <c r="Q2508" s="109"/>
      <c r="S2508" s="111"/>
      <c r="T2508" s="60"/>
      <c r="U2508" s="112"/>
    </row>
    <row r="2509" spans="4:21" s="110" customFormat="1" ht="15.75" customHeight="1">
      <c r="D2509" s="113"/>
      <c r="E2509" s="60"/>
      <c r="F2509" s="60"/>
      <c r="G2509" s="60"/>
      <c r="H2509" s="60"/>
      <c r="I2509" s="60"/>
      <c r="J2509" s="114"/>
      <c r="K2509" s="60"/>
      <c r="L2509" s="109"/>
      <c r="M2509" s="109"/>
      <c r="N2509" s="109"/>
      <c r="O2509" s="109"/>
      <c r="P2509" s="109"/>
      <c r="Q2509" s="109"/>
      <c r="S2509" s="111"/>
      <c r="T2509" s="60"/>
      <c r="U2509" s="112"/>
    </row>
    <row r="2510" spans="4:21" s="110" customFormat="1" ht="15.75" customHeight="1">
      <c r="D2510" s="113"/>
      <c r="E2510" s="60"/>
      <c r="F2510" s="60"/>
      <c r="G2510" s="60"/>
      <c r="H2510" s="60"/>
      <c r="I2510" s="60"/>
      <c r="J2510" s="114"/>
      <c r="K2510" s="60"/>
      <c r="L2510" s="109"/>
      <c r="M2510" s="109"/>
      <c r="N2510" s="109"/>
      <c r="O2510" s="109"/>
      <c r="P2510" s="109"/>
      <c r="Q2510" s="109"/>
      <c r="S2510" s="111"/>
      <c r="T2510" s="60"/>
      <c r="U2510" s="112"/>
    </row>
    <row r="2511" spans="4:21" s="110" customFormat="1" ht="15.75" customHeight="1">
      <c r="D2511" s="113"/>
      <c r="E2511" s="60"/>
      <c r="F2511" s="60"/>
      <c r="G2511" s="60"/>
      <c r="H2511" s="60"/>
      <c r="I2511" s="60"/>
      <c r="J2511" s="114"/>
      <c r="K2511" s="60"/>
      <c r="L2511" s="109"/>
      <c r="M2511" s="109"/>
      <c r="N2511" s="109"/>
      <c r="O2511" s="109"/>
      <c r="P2511" s="109"/>
      <c r="Q2511" s="109"/>
      <c r="S2511" s="111"/>
      <c r="T2511" s="60"/>
      <c r="U2511" s="112"/>
    </row>
    <row r="2512" spans="4:21" s="110" customFormat="1" ht="15.75" customHeight="1">
      <c r="D2512" s="113"/>
      <c r="E2512" s="60"/>
      <c r="F2512" s="60"/>
      <c r="G2512" s="60"/>
      <c r="H2512" s="60"/>
      <c r="I2512" s="60"/>
      <c r="J2512" s="114"/>
      <c r="K2512" s="60"/>
      <c r="L2512" s="109"/>
      <c r="M2512" s="109"/>
      <c r="N2512" s="109"/>
      <c r="O2512" s="109"/>
      <c r="P2512" s="109"/>
      <c r="Q2512" s="109"/>
      <c r="S2512" s="111"/>
      <c r="T2512" s="60"/>
      <c r="U2512" s="112"/>
    </row>
    <row r="2513" spans="4:21" s="110" customFormat="1" ht="15.75" customHeight="1">
      <c r="D2513" s="113"/>
      <c r="E2513" s="60"/>
      <c r="F2513" s="60"/>
      <c r="G2513" s="60"/>
      <c r="H2513" s="60"/>
      <c r="I2513" s="60"/>
      <c r="J2513" s="114"/>
      <c r="K2513" s="60"/>
      <c r="L2513" s="109"/>
      <c r="M2513" s="109"/>
      <c r="N2513" s="109"/>
      <c r="O2513" s="109"/>
      <c r="P2513" s="109"/>
      <c r="Q2513" s="109"/>
      <c r="S2513" s="111"/>
      <c r="T2513" s="60"/>
      <c r="U2513" s="112"/>
    </row>
    <row r="2514" spans="4:21" s="110" customFormat="1" ht="15.75" customHeight="1">
      <c r="D2514" s="113"/>
      <c r="E2514" s="60"/>
      <c r="F2514" s="60"/>
      <c r="G2514" s="60"/>
      <c r="H2514" s="60"/>
      <c r="I2514" s="60"/>
      <c r="J2514" s="114"/>
      <c r="K2514" s="60"/>
      <c r="L2514" s="109"/>
      <c r="M2514" s="109"/>
      <c r="N2514" s="109"/>
      <c r="O2514" s="109"/>
      <c r="P2514" s="109"/>
      <c r="Q2514" s="109"/>
      <c r="S2514" s="111"/>
      <c r="T2514" s="60"/>
      <c r="U2514" s="112"/>
    </row>
    <row r="2515" spans="4:21" s="110" customFormat="1" ht="15.75" customHeight="1">
      <c r="D2515" s="113"/>
      <c r="E2515" s="60"/>
      <c r="F2515" s="60"/>
      <c r="G2515" s="60"/>
      <c r="H2515" s="60"/>
      <c r="I2515" s="60"/>
      <c r="J2515" s="114"/>
      <c r="K2515" s="60"/>
      <c r="L2515" s="109"/>
      <c r="M2515" s="109"/>
      <c r="N2515" s="109"/>
      <c r="O2515" s="109"/>
      <c r="P2515" s="109"/>
      <c r="Q2515" s="109"/>
      <c r="S2515" s="111"/>
      <c r="T2515" s="60"/>
      <c r="U2515" s="112"/>
    </row>
    <row r="2516" spans="4:21" s="110" customFormat="1" ht="15.75" customHeight="1">
      <c r="D2516" s="113"/>
      <c r="E2516" s="60"/>
      <c r="F2516" s="60"/>
      <c r="G2516" s="60"/>
      <c r="H2516" s="60"/>
      <c r="I2516" s="60"/>
      <c r="J2516" s="114"/>
      <c r="K2516" s="60"/>
      <c r="L2516" s="109"/>
      <c r="M2516" s="109"/>
      <c r="N2516" s="109"/>
      <c r="O2516" s="109"/>
      <c r="P2516" s="109"/>
      <c r="Q2516" s="109"/>
      <c r="S2516" s="111"/>
      <c r="T2516" s="60"/>
      <c r="U2516" s="112"/>
    </row>
    <row r="2517" spans="4:21" s="110" customFormat="1" ht="15.75" customHeight="1">
      <c r="D2517" s="113"/>
      <c r="E2517" s="60"/>
      <c r="F2517" s="60"/>
      <c r="G2517" s="60"/>
      <c r="H2517" s="60"/>
      <c r="I2517" s="60"/>
      <c r="J2517" s="114"/>
      <c r="K2517" s="60"/>
      <c r="L2517" s="109"/>
      <c r="M2517" s="109"/>
      <c r="N2517" s="109"/>
      <c r="O2517" s="109"/>
      <c r="P2517" s="109"/>
      <c r="Q2517" s="109"/>
      <c r="S2517" s="111"/>
      <c r="T2517" s="60"/>
      <c r="U2517" s="112"/>
    </row>
    <row r="2518" spans="4:21" s="110" customFormat="1" ht="15.75" customHeight="1">
      <c r="D2518" s="113"/>
      <c r="E2518" s="60"/>
      <c r="F2518" s="60"/>
      <c r="G2518" s="60"/>
      <c r="H2518" s="60"/>
      <c r="I2518" s="60"/>
      <c r="J2518" s="114"/>
      <c r="K2518" s="60"/>
      <c r="L2518" s="109"/>
      <c r="M2518" s="109"/>
      <c r="N2518" s="109"/>
      <c r="O2518" s="109"/>
      <c r="P2518" s="109"/>
      <c r="Q2518" s="109"/>
      <c r="S2518" s="111"/>
      <c r="T2518" s="60"/>
      <c r="U2518" s="112"/>
    </row>
    <row r="2519" spans="4:21" s="110" customFormat="1" ht="15.75" customHeight="1">
      <c r="D2519" s="113"/>
      <c r="E2519" s="60"/>
      <c r="F2519" s="60"/>
      <c r="G2519" s="60"/>
      <c r="H2519" s="60"/>
      <c r="I2519" s="60"/>
      <c r="J2519" s="114"/>
      <c r="K2519" s="60"/>
      <c r="L2519" s="109"/>
      <c r="M2519" s="109"/>
      <c r="N2519" s="109"/>
      <c r="O2519" s="109"/>
      <c r="P2519" s="109"/>
      <c r="Q2519" s="109"/>
      <c r="S2519" s="111"/>
      <c r="T2519" s="60"/>
      <c r="U2519" s="112"/>
    </row>
    <row r="2520" spans="4:21" s="110" customFormat="1" ht="15.75" customHeight="1">
      <c r="D2520" s="113"/>
      <c r="E2520" s="60"/>
      <c r="F2520" s="60"/>
      <c r="G2520" s="60"/>
      <c r="H2520" s="60"/>
      <c r="I2520" s="60"/>
      <c r="J2520" s="114"/>
      <c r="K2520" s="60"/>
      <c r="L2520" s="109"/>
      <c r="M2520" s="109"/>
      <c r="N2520" s="109"/>
      <c r="O2520" s="109"/>
      <c r="P2520" s="109"/>
      <c r="Q2520" s="109"/>
      <c r="S2520" s="111"/>
      <c r="T2520" s="60"/>
      <c r="U2520" s="112"/>
    </row>
    <row r="2521" spans="4:21" s="110" customFormat="1" ht="15.75" customHeight="1">
      <c r="D2521" s="113"/>
      <c r="E2521" s="60"/>
      <c r="F2521" s="60"/>
      <c r="G2521" s="60"/>
      <c r="H2521" s="60"/>
      <c r="I2521" s="60"/>
      <c r="J2521" s="114"/>
      <c r="K2521" s="60"/>
      <c r="L2521" s="109"/>
      <c r="M2521" s="109"/>
      <c r="N2521" s="109"/>
      <c r="O2521" s="109"/>
      <c r="P2521" s="109"/>
      <c r="Q2521" s="109"/>
      <c r="S2521" s="111"/>
      <c r="T2521" s="60"/>
      <c r="U2521" s="112"/>
    </row>
    <row r="2522" spans="4:21" s="110" customFormat="1" ht="15.75" customHeight="1">
      <c r="D2522" s="113"/>
      <c r="E2522" s="60"/>
      <c r="F2522" s="60"/>
      <c r="G2522" s="60"/>
      <c r="H2522" s="60"/>
      <c r="I2522" s="60"/>
      <c r="J2522" s="114"/>
      <c r="K2522" s="60"/>
      <c r="L2522" s="109"/>
      <c r="M2522" s="109"/>
      <c r="N2522" s="109"/>
      <c r="O2522" s="109"/>
      <c r="P2522" s="109"/>
      <c r="Q2522" s="109"/>
      <c r="S2522" s="111"/>
      <c r="T2522" s="60"/>
      <c r="U2522" s="112"/>
    </row>
    <row r="2523" spans="4:21" s="110" customFormat="1" ht="15.75" customHeight="1">
      <c r="D2523" s="113"/>
      <c r="E2523" s="60"/>
      <c r="F2523" s="60"/>
      <c r="G2523" s="60"/>
      <c r="H2523" s="60"/>
      <c r="I2523" s="60"/>
      <c r="J2523" s="114"/>
      <c r="K2523" s="60"/>
      <c r="L2523" s="109"/>
      <c r="M2523" s="109"/>
      <c r="N2523" s="109"/>
      <c r="O2523" s="109"/>
      <c r="P2523" s="109"/>
      <c r="Q2523" s="109"/>
      <c r="S2523" s="111"/>
      <c r="T2523" s="60"/>
      <c r="U2523" s="112"/>
    </row>
    <row r="2524" spans="4:21" s="110" customFormat="1" ht="15.75" customHeight="1">
      <c r="D2524" s="113"/>
      <c r="E2524" s="60"/>
      <c r="F2524" s="60"/>
      <c r="G2524" s="60"/>
      <c r="H2524" s="60"/>
      <c r="I2524" s="60"/>
      <c r="J2524" s="114"/>
      <c r="K2524" s="60"/>
      <c r="L2524" s="109"/>
      <c r="M2524" s="109"/>
      <c r="N2524" s="109"/>
      <c r="O2524" s="109"/>
      <c r="P2524" s="109"/>
      <c r="Q2524" s="109"/>
      <c r="S2524" s="111"/>
      <c r="T2524" s="60"/>
      <c r="U2524" s="112"/>
    </row>
    <row r="2525" spans="4:21" s="110" customFormat="1" ht="15.75" customHeight="1">
      <c r="D2525" s="113"/>
      <c r="E2525" s="60"/>
      <c r="F2525" s="60"/>
      <c r="G2525" s="60"/>
      <c r="H2525" s="60"/>
      <c r="I2525" s="60"/>
      <c r="J2525" s="114"/>
      <c r="K2525" s="60"/>
      <c r="L2525" s="109"/>
      <c r="M2525" s="109"/>
      <c r="N2525" s="109"/>
      <c r="O2525" s="109"/>
      <c r="P2525" s="109"/>
      <c r="Q2525" s="109"/>
      <c r="S2525" s="111"/>
      <c r="T2525" s="60"/>
      <c r="U2525" s="112"/>
    </row>
    <row r="2526" spans="4:21" s="110" customFormat="1" ht="15.75" customHeight="1">
      <c r="D2526" s="113"/>
      <c r="E2526" s="60"/>
      <c r="F2526" s="60"/>
      <c r="G2526" s="60"/>
      <c r="H2526" s="60"/>
      <c r="I2526" s="60"/>
      <c r="J2526" s="114"/>
      <c r="K2526" s="60"/>
      <c r="L2526" s="109"/>
      <c r="M2526" s="109"/>
      <c r="N2526" s="109"/>
      <c r="O2526" s="109"/>
      <c r="P2526" s="109"/>
      <c r="Q2526" s="109"/>
      <c r="S2526" s="111"/>
      <c r="T2526" s="60"/>
      <c r="U2526" s="112"/>
    </row>
    <row r="2527" spans="4:21" s="110" customFormat="1" ht="15.75" customHeight="1">
      <c r="D2527" s="113"/>
      <c r="E2527" s="60"/>
      <c r="F2527" s="60"/>
      <c r="G2527" s="60"/>
      <c r="H2527" s="60"/>
      <c r="I2527" s="60"/>
      <c r="J2527" s="114"/>
      <c r="K2527" s="60"/>
      <c r="L2527" s="109"/>
      <c r="M2527" s="109"/>
      <c r="N2527" s="109"/>
      <c r="O2527" s="109"/>
      <c r="P2527" s="109"/>
      <c r="Q2527" s="109"/>
      <c r="S2527" s="111"/>
      <c r="T2527" s="60"/>
      <c r="U2527" s="112"/>
    </row>
    <row r="2528" spans="4:21" s="110" customFormat="1" ht="15.75" customHeight="1">
      <c r="D2528" s="113"/>
      <c r="E2528" s="60"/>
      <c r="F2528" s="60"/>
      <c r="G2528" s="60"/>
      <c r="H2528" s="60"/>
      <c r="I2528" s="60"/>
      <c r="J2528" s="114"/>
      <c r="K2528" s="60"/>
      <c r="L2528" s="109"/>
      <c r="M2528" s="109"/>
      <c r="N2528" s="109"/>
      <c r="O2528" s="109"/>
      <c r="P2528" s="109"/>
      <c r="Q2528" s="109"/>
      <c r="S2528" s="111"/>
      <c r="T2528" s="60"/>
      <c r="U2528" s="112"/>
    </row>
    <row r="2529" spans="4:21" s="110" customFormat="1" ht="15.75" customHeight="1">
      <c r="D2529" s="113"/>
      <c r="E2529" s="60"/>
      <c r="F2529" s="60"/>
      <c r="G2529" s="60"/>
      <c r="H2529" s="60"/>
      <c r="I2529" s="60"/>
      <c r="J2529" s="114"/>
      <c r="K2529" s="60"/>
      <c r="L2529" s="109"/>
      <c r="M2529" s="109"/>
      <c r="N2529" s="109"/>
      <c r="O2529" s="109"/>
      <c r="P2529" s="109"/>
      <c r="Q2529" s="109"/>
      <c r="S2529" s="111"/>
      <c r="T2529" s="60"/>
      <c r="U2529" s="112"/>
    </row>
    <row r="2530" spans="4:21" s="110" customFormat="1" ht="15.75" customHeight="1">
      <c r="D2530" s="113"/>
      <c r="E2530" s="60"/>
      <c r="F2530" s="60"/>
      <c r="G2530" s="60"/>
      <c r="H2530" s="60"/>
      <c r="I2530" s="60"/>
      <c r="J2530" s="114"/>
      <c r="K2530" s="60"/>
      <c r="L2530" s="109"/>
      <c r="M2530" s="109"/>
      <c r="N2530" s="109"/>
      <c r="O2530" s="109"/>
      <c r="P2530" s="109"/>
      <c r="Q2530" s="109"/>
      <c r="S2530" s="111"/>
      <c r="T2530" s="60"/>
      <c r="U2530" s="112"/>
    </row>
    <row r="2531" spans="4:21" s="110" customFormat="1" ht="15.75" customHeight="1">
      <c r="D2531" s="113"/>
      <c r="E2531" s="60"/>
      <c r="F2531" s="60"/>
      <c r="G2531" s="60"/>
      <c r="H2531" s="60"/>
      <c r="I2531" s="60"/>
      <c r="J2531" s="114"/>
      <c r="K2531" s="60"/>
      <c r="L2531" s="109"/>
      <c r="M2531" s="109"/>
      <c r="N2531" s="109"/>
      <c r="O2531" s="109"/>
      <c r="P2531" s="109"/>
      <c r="Q2531" s="109"/>
      <c r="S2531" s="111"/>
      <c r="T2531" s="60"/>
      <c r="U2531" s="112"/>
    </row>
    <row r="2532" spans="4:21" s="110" customFormat="1" ht="15.75" customHeight="1">
      <c r="D2532" s="113"/>
      <c r="E2532" s="60"/>
      <c r="F2532" s="60"/>
      <c r="G2532" s="60"/>
      <c r="H2532" s="60"/>
      <c r="I2532" s="60"/>
      <c r="J2532" s="114"/>
      <c r="K2532" s="60"/>
      <c r="L2532" s="109"/>
      <c r="M2532" s="109"/>
      <c r="N2532" s="109"/>
      <c r="O2532" s="109"/>
      <c r="P2532" s="109"/>
      <c r="Q2532" s="109"/>
      <c r="S2532" s="111"/>
      <c r="T2532" s="60"/>
      <c r="U2532" s="112"/>
    </row>
    <row r="2533" spans="4:21" s="110" customFormat="1" ht="15.75" customHeight="1">
      <c r="D2533" s="113"/>
      <c r="E2533" s="60"/>
      <c r="F2533" s="60"/>
      <c r="G2533" s="60"/>
      <c r="H2533" s="60"/>
      <c r="I2533" s="60"/>
      <c r="J2533" s="114"/>
      <c r="K2533" s="60"/>
      <c r="L2533" s="109"/>
      <c r="M2533" s="109"/>
      <c r="N2533" s="109"/>
      <c r="O2533" s="109"/>
      <c r="P2533" s="109"/>
      <c r="Q2533" s="109"/>
      <c r="S2533" s="111"/>
      <c r="T2533" s="60"/>
      <c r="U2533" s="112"/>
    </row>
    <row r="2534" spans="4:21" s="110" customFormat="1" ht="15.75" customHeight="1">
      <c r="D2534" s="113"/>
      <c r="E2534" s="60"/>
      <c r="F2534" s="60"/>
      <c r="G2534" s="60"/>
      <c r="H2534" s="60"/>
      <c r="I2534" s="60"/>
      <c r="J2534" s="114"/>
      <c r="K2534" s="60"/>
      <c r="L2534" s="109"/>
      <c r="M2534" s="109"/>
      <c r="N2534" s="109"/>
      <c r="O2534" s="109"/>
      <c r="P2534" s="109"/>
      <c r="Q2534" s="109"/>
      <c r="S2534" s="111"/>
      <c r="T2534" s="60"/>
      <c r="U2534" s="112"/>
    </row>
    <row r="2535" spans="4:21" s="110" customFormat="1" ht="15.75" customHeight="1">
      <c r="D2535" s="113"/>
      <c r="E2535" s="60"/>
      <c r="F2535" s="60"/>
      <c r="G2535" s="60"/>
      <c r="H2535" s="60"/>
      <c r="I2535" s="60"/>
      <c r="J2535" s="114"/>
      <c r="K2535" s="60"/>
      <c r="L2535" s="109"/>
      <c r="M2535" s="109"/>
      <c r="N2535" s="109"/>
      <c r="O2535" s="109"/>
      <c r="P2535" s="109"/>
      <c r="Q2535" s="109"/>
      <c r="S2535" s="111"/>
      <c r="T2535" s="60"/>
      <c r="U2535" s="112"/>
    </row>
    <row r="2536" spans="4:21" s="110" customFormat="1" ht="15.75" customHeight="1">
      <c r="D2536" s="113"/>
      <c r="E2536" s="60"/>
      <c r="F2536" s="60"/>
      <c r="G2536" s="60"/>
      <c r="H2536" s="60"/>
      <c r="I2536" s="60"/>
      <c r="J2536" s="114"/>
      <c r="K2536" s="60"/>
      <c r="L2536" s="109"/>
      <c r="M2536" s="109"/>
      <c r="N2536" s="109"/>
      <c r="O2536" s="109"/>
      <c r="P2536" s="109"/>
      <c r="Q2536" s="109"/>
      <c r="S2536" s="111"/>
      <c r="T2536" s="60"/>
      <c r="U2536" s="112"/>
    </row>
    <row r="2537" spans="4:21" s="110" customFormat="1" ht="15.75" customHeight="1">
      <c r="D2537" s="113"/>
      <c r="E2537" s="60"/>
      <c r="F2537" s="60"/>
      <c r="G2537" s="60"/>
      <c r="H2537" s="60"/>
      <c r="I2537" s="60"/>
      <c r="J2537" s="114"/>
      <c r="K2537" s="60"/>
      <c r="L2537" s="109"/>
      <c r="M2537" s="109"/>
      <c r="N2537" s="109"/>
      <c r="O2537" s="109"/>
      <c r="P2537" s="109"/>
      <c r="Q2537" s="109"/>
      <c r="S2537" s="111"/>
      <c r="T2537" s="60"/>
      <c r="U2537" s="112"/>
    </row>
    <row r="2538" spans="4:21" s="110" customFormat="1" ht="15.75" customHeight="1">
      <c r="D2538" s="113"/>
      <c r="E2538" s="60"/>
      <c r="F2538" s="60"/>
      <c r="G2538" s="60"/>
      <c r="H2538" s="60"/>
      <c r="I2538" s="60"/>
      <c r="J2538" s="114"/>
      <c r="K2538" s="60"/>
      <c r="L2538" s="109"/>
      <c r="M2538" s="109"/>
      <c r="N2538" s="109"/>
      <c r="O2538" s="109"/>
      <c r="P2538" s="109"/>
      <c r="Q2538" s="109"/>
      <c r="S2538" s="111"/>
      <c r="T2538" s="60"/>
      <c r="U2538" s="112"/>
    </row>
    <row r="2539" spans="4:21" s="110" customFormat="1" ht="15.75" customHeight="1">
      <c r="D2539" s="113"/>
      <c r="E2539" s="60"/>
      <c r="F2539" s="60"/>
      <c r="G2539" s="60"/>
      <c r="H2539" s="60"/>
      <c r="I2539" s="60"/>
      <c r="J2539" s="114"/>
      <c r="K2539" s="60"/>
      <c r="L2539" s="109"/>
      <c r="M2539" s="109"/>
      <c r="N2539" s="109"/>
      <c r="O2539" s="109"/>
      <c r="P2539" s="109"/>
      <c r="Q2539" s="109"/>
      <c r="S2539" s="111"/>
      <c r="T2539" s="60"/>
      <c r="U2539" s="112"/>
    </row>
    <row r="2540" spans="4:21" s="110" customFormat="1" ht="15.75" customHeight="1">
      <c r="D2540" s="113"/>
      <c r="E2540" s="60"/>
      <c r="F2540" s="60"/>
      <c r="G2540" s="60"/>
      <c r="H2540" s="60"/>
      <c r="I2540" s="60"/>
      <c r="J2540" s="114"/>
      <c r="K2540" s="60"/>
      <c r="L2540" s="109"/>
      <c r="M2540" s="109"/>
      <c r="N2540" s="109"/>
      <c r="O2540" s="109"/>
      <c r="P2540" s="109"/>
      <c r="Q2540" s="109"/>
      <c r="S2540" s="111"/>
      <c r="T2540" s="60"/>
      <c r="U2540" s="112"/>
    </row>
    <row r="2541" spans="4:21" s="110" customFormat="1" ht="15.75" customHeight="1">
      <c r="D2541" s="113"/>
      <c r="E2541" s="60"/>
      <c r="F2541" s="60"/>
      <c r="G2541" s="60"/>
      <c r="H2541" s="60"/>
      <c r="I2541" s="60"/>
      <c r="J2541" s="114"/>
      <c r="K2541" s="60"/>
      <c r="L2541" s="109"/>
      <c r="M2541" s="109"/>
      <c r="N2541" s="109"/>
      <c r="O2541" s="109"/>
      <c r="P2541" s="109"/>
      <c r="Q2541" s="109"/>
      <c r="S2541" s="111"/>
      <c r="T2541" s="60"/>
      <c r="U2541" s="112"/>
    </row>
    <row r="2542" spans="4:21" s="110" customFormat="1" ht="15.75" customHeight="1">
      <c r="D2542" s="113"/>
      <c r="E2542" s="60"/>
      <c r="F2542" s="60"/>
      <c r="G2542" s="60"/>
      <c r="H2542" s="60"/>
      <c r="I2542" s="60"/>
      <c r="J2542" s="114"/>
      <c r="K2542" s="60"/>
      <c r="L2542" s="109"/>
      <c r="M2542" s="109"/>
      <c r="N2542" s="109"/>
      <c r="O2542" s="109"/>
      <c r="P2542" s="109"/>
      <c r="Q2542" s="109"/>
      <c r="S2542" s="111"/>
      <c r="T2542" s="60"/>
      <c r="U2542" s="112"/>
    </row>
    <row r="2543" spans="4:21" s="110" customFormat="1" ht="15.75" customHeight="1">
      <c r="D2543" s="113"/>
      <c r="E2543" s="60"/>
      <c r="F2543" s="60"/>
      <c r="G2543" s="60"/>
      <c r="H2543" s="60"/>
      <c r="I2543" s="60"/>
      <c r="J2543" s="114"/>
      <c r="K2543" s="60"/>
      <c r="L2543" s="109"/>
      <c r="M2543" s="109"/>
      <c r="N2543" s="109"/>
      <c r="O2543" s="109"/>
      <c r="P2543" s="109"/>
      <c r="Q2543" s="109"/>
      <c r="S2543" s="111"/>
      <c r="T2543" s="60"/>
      <c r="U2543" s="112"/>
    </row>
    <row r="2544" spans="4:21" s="110" customFormat="1" ht="15.75" customHeight="1">
      <c r="D2544" s="113"/>
      <c r="E2544" s="60"/>
      <c r="F2544" s="60"/>
      <c r="G2544" s="60"/>
      <c r="H2544" s="60"/>
      <c r="I2544" s="60"/>
      <c r="J2544" s="114"/>
      <c r="K2544" s="60"/>
      <c r="L2544" s="109"/>
      <c r="M2544" s="109"/>
      <c r="N2544" s="109"/>
      <c r="O2544" s="109"/>
      <c r="P2544" s="109"/>
      <c r="Q2544" s="109"/>
      <c r="S2544" s="111"/>
      <c r="T2544" s="60"/>
      <c r="U2544" s="112"/>
    </row>
    <row r="2545" spans="4:21" s="110" customFormat="1" ht="15.75" customHeight="1">
      <c r="D2545" s="113"/>
      <c r="E2545" s="60"/>
      <c r="F2545" s="60"/>
      <c r="G2545" s="60"/>
      <c r="H2545" s="60"/>
      <c r="I2545" s="60"/>
      <c r="J2545" s="114"/>
      <c r="K2545" s="60"/>
      <c r="L2545" s="109"/>
      <c r="M2545" s="109"/>
      <c r="N2545" s="109"/>
      <c r="O2545" s="109"/>
      <c r="P2545" s="109"/>
      <c r="Q2545" s="109"/>
      <c r="S2545" s="111"/>
      <c r="T2545" s="60"/>
      <c r="U2545" s="112"/>
    </row>
    <row r="2546" spans="4:21" s="110" customFormat="1" ht="15.75" customHeight="1">
      <c r="D2546" s="113"/>
      <c r="E2546" s="60"/>
      <c r="F2546" s="60"/>
      <c r="G2546" s="60"/>
      <c r="H2546" s="60"/>
      <c r="I2546" s="60"/>
      <c r="J2546" s="114"/>
      <c r="K2546" s="60"/>
      <c r="L2546" s="109"/>
      <c r="M2546" s="109"/>
      <c r="N2546" s="109"/>
      <c r="O2546" s="109"/>
      <c r="P2546" s="109"/>
      <c r="Q2546" s="109"/>
      <c r="S2546" s="111"/>
      <c r="T2546" s="60"/>
      <c r="U2546" s="112"/>
    </row>
    <row r="2547" spans="4:21" s="110" customFormat="1" ht="15.75" customHeight="1">
      <c r="D2547" s="113"/>
      <c r="E2547" s="60"/>
      <c r="F2547" s="60"/>
      <c r="G2547" s="60"/>
      <c r="H2547" s="60"/>
      <c r="I2547" s="60"/>
      <c r="J2547" s="114"/>
      <c r="K2547" s="60"/>
      <c r="L2547" s="109"/>
      <c r="M2547" s="109"/>
      <c r="N2547" s="109"/>
      <c r="O2547" s="109"/>
      <c r="P2547" s="109"/>
      <c r="Q2547" s="109"/>
      <c r="S2547" s="111"/>
      <c r="T2547" s="60"/>
      <c r="U2547" s="112"/>
    </row>
    <row r="2548" spans="4:21" s="110" customFormat="1" ht="15.75" customHeight="1">
      <c r="D2548" s="113"/>
      <c r="E2548" s="60"/>
      <c r="F2548" s="60"/>
      <c r="G2548" s="60"/>
      <c r="H2548" s="60"/>
      <c r="I2548" s="60"/>
      <c r="J2548" s="114"/>
      <c r="K2548" s="60"/>
      <c r="L2548" s="109"/>
      <c r="M2548" s="109"/>
      <c r="N2548" s="109"/>
      <c r="O2548" s="109"/>
      <c r="P2548" s="109"/>
      <c r="Q2548" s="109"/>
      <c r="S2548" s="111"/>
      <c r="T2548" s="60"/>
      <c r="U2548" s="112"/>
    </row>
    <row r="2549" spans="4:21" s="110" customFormat="1" ht="15.75" customHeight="1">
      <c r="D2549" s="113"/>
      <c r="E2549" s="60"/>
      <c r="F2549" s="60"/>
      <c r="G2549" s="60"/>
      <c r="H2549" s="60"/>
      <c r="I2549" s="60"/>
      <c r="J2549" s="114"/>
      <c r="K2549" s="60"/>
      <c r="L2549" s="109"/>
      <c r="M2549" s="109"/>
      <c r="N2549" s="109"/>
      <c r="O2549" s="109"/>
      <c r="P2549" s="109"/>
      <c r="Q2549" s="109"/>
      <c r="S2549" s="111"/>
      <c r="T2549" s="60"/>
      <c r="U2549" s="112"/>
    </row>
    <row r="2550" spans="4:21" s="110" customFormat="1" ht="15.75" customHeight="1">
      <c r="D2550" s="113"/>
      <c r="E2550" s="60"/>
      <c r="F2550" s="60"/>
      <c r="G2550" s="60"/>
      <c r="H2550" s="60"/>
      <c r="I2550" s="60"/>
      <c r="J2550" s="114"/>
      <c r="K2550" s="60"/>
      <c r="L2550" s="109"/>
      <c r="M2550" s="109"/>
      <c r="N2550" s="109"/>
      <c r="O2550" s="109"/>
      <c r="P2550" s="109"/>
      <c r="Q2550" s="109"/>
      <c r="S2550" s="111"/>
      <c r="T2550" s="60"/>
      <c r="U2550" s="112"/>
    </row>
    <row r="2551" spans="4:21" s="110" customFormat="1" ht="15.75" customHeight="1">
      <c r="D2551" s="113"/>
      <c r="E2551" s="60"/>
      <c r="F2551" s="60"/>
      <c r="G2551" s="60"/>
      <c r="H2551" s="60"/>
      <c r="I2551" s="60"/>
      <c r="J2551" s="114"/>
      <c r="K2551" s="60"/>
      <c r="L2551" s="109"/>
      <c r="M2551" s="109"/>
      <c r="N2551" s="109"/>
      <c r="O2551" s="109"/>
      <c r="P2551" s="109"/>
      <c r="Q2551" s="109"/>
      <c r="S2551" s="111"/>
      <c r="T2551" s="60"/>
      <c r="U2551" s="112"/>
    </row>
    <row r="2552" spans="4:21" s="110" customFormat="1" ht="15.75" customHeight="1">
      <c r="D2552" s="113"/>
      <c r="E2552" s="60"/>
      <c r="F2552" s="60"/>
      <c r="G2552" s="60"/>
      <c r="H2552" s="60"/>
      <c r="I2552" s="60"/>
      <c r="J2552" s="114"/>
      <c r="K2552" s="60"/>
      <c r="L2552" s="109"/>
      <c r="M2552" s="109"/>
      <c r="N2552" s="109"/>
      <c r="O2552" s="109"/>
      <c r="P2552" s="109"/>
      <c r="Q2552" s="109"/>
      <c r="S2552" s="111"/>
      <c r="T2552" s="60"/>
      <c r="U2552" s="112"/>
    </row>
    <row r="2553" spans="4:21" s="110" customFormat="1" ht="15.75" customHeight="1">
      <c r="D2553" s="113"/>
      <c r="E2553" s="60"/>
      <c r="F2553" s="60"/>
      <c r="G2553" s="60"/>
      <c r="H2553" s="60"/>
      <c r="I2553" s="60"/>
      <c r="J2553" s="114"/>
      <c r="K2553" s="60"/>
      <c r="L2553" s="109"/>
      <c r="M2553" s="109"/>
      <c r="N2553" s="109"/>
      <c r="O2553" s="109"/>
      <c r="P2553" s="109"/>
      <c r="Q2553" s="109"/>
      <c r="S2553" s="111"/>
      <c r="T2553" s="60"/>
      <c r="U2553" s="112"/>
    </row>
    <row r="2554" spans="4:21" s="110" customFormat="1" ht="15.75" customHeight="1">
      <c r="D2554" s="113"/>
      <c r="E2554" s="60"/>
      <c r="F2554" s="60"/>
      <c r="G2554" s="60"/>
      <c r="H2554" s="60"/>
      <c r="I2554" s="60"/>
      <c r="J2554" s="114"/>
      <c r="K2554" s="60"/>
      <c r="L2554" s="109"/>
      <c r="M2554" s="109"/>
      <c r="N2554" s="109"/>
      <c r="O2554" s="109"/>
      <c r="P2554" s="109"/>
      <c r="Q2554" s="109"/>
      <c r="S2554" s="111"/>
      <c r="T2554" s="60"/>
      <c r="U2554" s="112"/>
    </row>
    <row r="2555" spans="4:21" s="110" customFormat="1" ht="15.75" customHeight="1">
      <c r="D2555" s="113"/>
      <c r="E2555" s="60"/>
      <c r="F2555" s="60"/>
      <c r="G2555" s="60"/>
      <c r="H2555" s="60"/>
      <c r="I2555" s="60"/>
      <c r="J2555" s="114"/>
      <c r="K2555" s="60"/>
      <c r="L2555" s="109"/>
      <c r="M2555" s="109"/>
      <c r="N2555" s="109"/>
      <c r="O2555" s="109"/>
      <c r="P2555" s="109"/>
      <c r="Q2555" s="109"/>
      <c r="S2555" s="111"/>
      <c r="T2555" s="60"/>
      <c r="U2555" s="112"/>
    </row>
    <row r="2556" spans="4:21" s="110" customFormat="1" ht="15.75" customHeight="1">
      <c r="D2556" s="113"/>
      <c r="E2556" s="60"/>
      <c r="F2556" s="60"/>
      <c r="G2556" s="60"/>
      <c r="H2556" s="60"/>
      <c r="I2556" s="60"/>
      <c r="J2556" s="114"/>
      <c r="K2556" s="60"/>
      <c r="L2556" s="109"/>
      <c r="M2556" s="109"/>
      <c r="N2556" s="109"/>
      <c r="O2556" s="109"/>
      <c r="P2556" s="109"/>
      <c r="Q2556" s="109"/>
      <c r="S2556" s="111"/>
      <c r="T2556" s="60"/>
      <c r="U2556" s="112"/>
    </row>
    <row r="2557" spans="4:21" s="110" customFormat="1" ht="15.75" customHeight="1">
      <c r="D2557" s="113"/>
      <c r="E2557" s="60"/>
      <c r="F2557" s="60"/>
      <c r="G2557" s="60"/>
      <c r="H2557" s="60"/>
      <c r="I2557" s="60"/>
      <c r="J2557" s="114"/>
      <c r="K2557" s="60"/>
      <c r="L2557" s="109"/>
      <c r="M2557" s="109"/>
      <c r="N2557" s="109"/>
      <c r="O2557" s="109"/>
      <c r="P2557" s="109"/>
      <c r="Q2557" s="109"/>
      <c r="S2557" s="111"/>
      <c r="T2557" s="60"/>
      <c r="U2557" s="112"/>
    </row>
    <row r="2558" spans="4:21" s="110" customFormat="1" ht="15.75" customHeight="1">
      <c r="D2558" s="113"/>
      <c r="E2558" s="60"/>
      <c r="F2558" s="60"/>
      <c r="G2558" s="60"/>
      <c r="H2558" s="60"/>
      <c r="I2558" s="60"/>
      <c r="J2558" s="114"/>
      <c r="K2558" s="60"/>
      <c r="L2558" s="109"/>
      <c r="M2558" s="109"/>
      <c r="N2558" s="109"/>
      <c r="O2558" s="109"/>
      <c r="P2558" s="109"/>
      <c r="Q2558" s="109"/>
      <c r="S2558" s="111"/>
      <c r="T2558" s="60"/>
      <c r="U2558" s="112"/>
    </row>
    <row r="2559" spans="4:21" s="110" customFormat="1" ht="15.75" customHeight="1">
      <c r="D2559" s="113"/>
      <c r="E2559" s="60"/>
      <c r="F2559" s="60"/>
      <c r="G2559" s="60"/>
      <c r="H2559" s="60"/>
      <c r="I2559" s="60"/>
      <c r="J2559" s="114"/>
      <c r="K2559" s="60"/>
      <c r="L2559" s="109"/>
      <c r="M2559" s="109"/>
      <c r="N2559" s="109"/>
      <c r="O2559" s="109"/>
      <c r="P2559" s="109"/>
      <c r="Q2559" s="109"/>
      <c r="S2559" s="111"/>
      <c r="T2559" s="60"/>
      <c r="U2559" s="112"/>
    </row>
    <row r="2560" spans="4:21" s="110" customFormat="1" ht="15.75" customHeight="1">
      <c r="D2560" s="113"/>
      <c r="E2560" s="60"/>
      <c r="F2560" s="60"/>
      <c r="G2560" s="60"/>
      <c r="H2560" s="60"/>
      <c r="I2560" s="60"/>
      <c r="J2560" s="114"/>
      <c r="K2560" s="60"/>
      <c r="L2560" s="109"/>
      <c r="M2560" s="109"/>
      <c r="N2560" s="109"/>
      <c r="O2560" s="109"/>
      <c r="P2560" s="109"/>
      <c r="Q2560" s="109"/>
      <c r="S2560" s="111"/>
      <c r="T2560" s="60"/>
      <c r="U2560" s="112"/>
    </row>
    <row r="2561" spans="4:21" s="110" customFormat="1" ht="15.75" customHeight="1">
      <c r="D2561" s="113"/>
      <c r="E2561" s="60"/>
      <c r="F2561" s="60"/>
      <c r="G2561" s="60"/>
      <c r="H2561" s="60"/>
      <c r="I2561" s="60"/>
      <c r="J2561" s="114"/>
      <c r="K2561" s="60"/>
      <c r="L2561" s="109"/>
      <c r="M2561" s="109"/>
      <c r="N2561" s="109"/>
      <c r="O2561" s="109"/>
      <c r="P2561" s="109"/>
      <c r="Q2561" s="109"/>
      <c r="S2561" s="111"/>
      <c r="T2561" s="60"/>
      <c r="U2561" s="112"/>
    </row>
    <row r="2562" spans="4:21" s="110" customFormat="1" ht="15.75" customHeight="1">
      <c r="D2562" s="113"/>
      <c r="E2562" s="60"/>
      <c r="F2562" s="60"/>
      <c r="G2562" s="60"/>
      <c r="H2562" s="60"/>
      <c r="I2562" s="60"/>
      <c r="J2562" s="114"/>
      <c r="K2562" s="60"/>
      <c r="L2562" s="109"/>
      <c r="M2562" s="109"/>
      <c r="N2562" s="109"/>
      <c r="O2562" s="109"/>
      <c r="P2562" s="109"/>
      <c r="Q2562" s="109"/>
      <c r="S2562" s="111"/>
      <c r="T2562" s="60"/>
      <c r="U2562" s="112"/>
    </row>
    <row r="2563" spans="4:21" s="110" customFormat="1" ht="15.75" customHeight="1">
      <c r="D2563" s="113"/>
      <c r="E2563" s="60"/>
      <c r="F2563" s="60"/>
      <c r="G2563" s="60"/>
      <c r="H2563" s="60"/>
      <c r="I2563" s="60"/>
      <c r="J2563" s="114"/>
      <c r="K2563" s="60"/>
      <c r="L2563" s="109"/>
      <c r="M2563" s="109"/>
      <c r="N2563" s="109"/>
      <c r="O2563" s="109"/>
      <c r="P2563" s="109"/>
      <c r="Q2563" s="109"/>
      <c r="S2563" s="111"/>
      <c r="T2563" s="60"/>
      <c r="U2563" s="112"/>
    </row>
    <row r="2564" spans="4:21" s="110" customFormat="1" ht="15.75" customHeight="1">
      <c r="D2564" s="113"/>
      <c r="E2564" s="60"/>
      <c r="F2564" s="60"/>
      <c r="G2564" s="60"/>
      <c r="H2564" s="60"/>
      <c r="I2564" s="60"/>
      <c r="J2564" s="114"/>
      <c r="K2564" s="60"/>
      <c r="L2564" s="109"/>
      <c r="M2564" s="109"/>
      <c r="N2564" s="109"/>
      <c r="O2564" s="109"/>
      <c r="P2564" s="109"/>
      <c r="Q2564" s="109"/>
      <c r="S2564" s="111"/>
      <c r="T2564" s="60"/>
      <c r="U2564" s="112"/>
    </row>
    <row r="2565" spans="4:21" s="110" customFormat="1" ht="15.75" customHeight="1">
      <c r="D2565" s="113"/>
      <c r="E2565" s="60"/>
      <c r="F2565" s="60"/>
      <c r="G2565" s="60"/>
      <c r="H2565" s="60"/>
      <c r="I2565" s="60"/>
      <c r="J2565" s="114"/>
      <c r="K2565" s="60"/>
      <c r="L2565" s="109"/>
      <c r="M2565" s="109"/>
      <c r="N2565" s="109"/>
      <c r="O2565" s="109"/>
      <c r="P2565" s="109"/>
      <c r="Q2565" s="109"/>
      <c r="S2565" s="111"/>
      <c r="T2565" s="60"/>
      <c r="U2565" s="112"/>
    </row>
    <row r="2566" spans="4:21" s="110" customFormat="1" ht="15.75" customHeight="1">
      <c r="D2566" s="113"/>
      <c r="E2566" s="60"/>
      <c r="F2566" s="60"/>
      <c r="G2566" s="60"/>
      <c r="H2566" s="60"/>
      <c r="I2566" s="60"/>
      <c r="J2566" s="114"/>
      <c r="K2566" s="60"/>
      <c r="L2566" s="109"/>
      <c r="M2566" s="109"/>
      <c r="N2566" s="109"/>
      <c r="O2566" s="109"/>
      <c r="P2566" s="109"/>
      <c r="Q2566" s="109"/>
      <c r="S2566" s="111"/>
      <c r="T2566" s="60"/>
      <c r="U2566" s="112"/>
    </row>
    <row r="2567" spans="4:21" s="110" customFormat="1" ht="15.75" customHeight="1">
      <c r="D2567" s="113"/>
      <c r="E2567" s="60"/>
      <c r="F2567" s="60"/>
      <c r="G2567" s="60"/>
      <c r="H2567" s="60"/>
      <c r="I2567" s="60"/>
      <c r="J2567" s="114"/>
      <c r="K2567" s="60"/>
      <c r="L2567" s="109"/>
      <c r="M2567" s="109"/>
      <c r="N2567" s="109"/>
      <c r="O2567" s="109"/>
      <c r="P2567" s="109"/>
      <c r="Q2567" s="109"/>
      <c r="S2567" s="111"/>
      <c r="T2567" s="60"/>
      <c r="U2567" s="112"/>
    </row>
    <row r="2568" spans="4:21" s="110" customFormat="1" ht="15.75" customHeight="1">
      <c r="D2568" s="113"/>
      <c r="E2568" s="60"/>
      <c r="F2568" s="60"/>
      <c r="G2568" s="60"/>
      <c r="H2568" s="60"/>
      <c r="I2568" s="60"/>
      <c r="J2568" s="114"/>
      <c r="K2568" s="60"/>
      <c r="L2568" s="109"/>
      <c r="M2568" s="109"/>
      <c r="N2568" s="109"/>
      <c r="O2568" s="109"/>
      <c r="P2568" s="109"/>
      <c r="Q2568" s="109"/>
      <c r="S2568" s="111"/>
      <c r="T2568" s="60"/>
      <c r="U2568" s="112"/>
    </row>
    <row r="2569" spans="4:21" s="110" customFormat="1" ht="15.75" customHeight="1">
      <c r="D2569" s="113"/>
      <c r="E2569" s="60"/>
      <c r="F2569" s="60"/>
      <c r="G2569" s="60"/>
      <c r="H2569" s="60"/>
      <c r="I2569" s="60"/>
      <c r="J2569" s="114"/>
      <c r="K2569" s="60"/>
      <c r="L2569" s="109"/>
      <c r="M2569" s="109"/>
      <c r="N2569" s="109"/>
      <c r="O2569" s="109"/>
      <c r="P2569" s="109"/>
      <c r="Q2569" s="109"/>
      <c r="S2569" s="111"/>
      <c r="T2569" s="60"/>
      <c r="U2569" s="112"/>
    </row>
    <row r="2570" spans="4:21" s="110" customFormat="1" ht="15.75" customHeight="1">
      <c r="D2570" s="113"/>
      <c r="E2570" s="60"/>
      <c r="F2570" s="60"/>
      <c r="G2570" s="60"/>
      <c r="H2570" s="60"/>
      <c r="I2570" s="60"/>
      <c r="J2570" s="114"/>
      <c r="K2570" s="60"/>
      <c r="L2570" s="109"/>
      <c r="M2570" s="109"/>
      <c r="N2570" s="109"/>
      <c r="O2570" s="109"/>
      <c r="P2570" s="109"/>
      <c r="Q2570" s="109"/>
      <c r="S2570" s="111"/>
      <c r="T2570" s="60"/>
      <c r="U2570" s="112"/>
    </row>
    <row r="2571" spans="4:21" s="110" customFormat="1" ht="15.75" customHeight="1">
      <c r="D2571" s="113"/>
      <c r="E2571" s="60"/>
      <c r="F2571" s="60"/>
      <c r="G2571" s="60"/>
      <c r="H2571" s="60"/>
      <c r="I2571" s="60"/>
      <c r="J2571" s="114"/>
      <c r="K2571" s="60"/>
      <c r="L2571" s="109"/>
      <c r="M2571" s="109"/>
      <c r="N2571" s="109"/>
      <c r="O2571" s="109"/>
      <c r="P2571" s="109"/>
      <c r="Q2571" s="109"/>
      <c r="S2571" s="111"/>
      <c r="T2571" s="60"/>
      <c r="U2571" s="112"/>
    </row>
    <row r="2572" spans="4:21" s="110" customFormat="1" ht="15.75" customHeight="1">
      <c r="D2572" s="113"/>
      <c r="E2572" s="60"/>
      <c r="F2572" s="60"/>
      <c r="G2572" s="60"/>
      <c r="H2572" s="60"/>
      <c r="I2572" s="60"/>
      <c r="J2572" s="114"/>
      <c r="K2572" s="60"/>
      <c r="L2572" s="109"/>
      <c r="M2572" s="109"/>
      <c r="N2572" s="109"/>
      <c r="O2572" s="109"/>
      <c r="P2572" s="109"/>
      <c r="Q2572" s="109"/>
      <c r="S2572" s="111"/>
      <c r="T2572" s="60"/>
      <c r="U2572" s="112"/>
    </row>
    <row r="2573" spans="4:21" s="110" customFormat="1" ht="15.75" customHeight="1">
      <c r="D2573" s="113"/>
      <c r="E2573" s="60"/>
      <c r="F2573" s="60"/>
      <c r="G2573" s="60"/>
      <c r="H2573" s="60"/>
      <c r="I2573" s="60"/>
      <c r="J2573" s="114"/>
      <c r="K2573" s="60"/>
      <c r="L2573" s="109"/>
      <c r="M2573" s="109"/>
      <c r="N2573" s="109"/>
      <c r="O2573" s="109"/>
      <c r="P2573" s="109"/>
      <c r="Q2573" s="109"/>
      <c r="S2573" s="111"/>
      <c r="T2573" s="60"/>
      <c r="U2573" s="112"/>
    </row>
    <row r="2574" spans="4:21" s="110" customFormat="1" ht="15.75" customHeight="1">
      <c r="D2574" s="113"/>
      <c r="E2574" s="60"/>
      <c r="F2574" s="60"/>
      <c r="G2574" s="60"/>
      <c r="H2574" s="60"/>
      <c r="I2574" s="60"/>
      <c r="J2574" s="114"/>
      <c r="K2574" s="60"/>
      <c r="L2574" s="109"/>
      <c r="M2574" s="109"/>
      <c r="N2574" s="109"/>
      <c r="O2574" s="109"/>
      <c r="P2574" s="109"/>
      <c r="Q2574" s="109"/>
      <c r="S2574" s="111"/>
      <c r="T2574" s="60"/>
      <c r="U2574" s="112"/>
    </row>
    <row r="2575" spans="4:21" s="110" customFormat="1" ht="15.75" customHeight="1">
      <c r="D2575" s="113"/>
      <c r="E2575" s="60"/>
      <c r="F2575" s="60"/>
      <c r="G2575" s="60"/>
      <c r="H2575" s="60"/>
      <c r="I2575" s="60"/>
      <c r="J2575" s="114"/>
      <c r="K2575" s="60"/>
      <c r="L2575" s="109"/>
      <c r="M2575" s="109"/>
      <c r="N2575" s="109"/>
      <c r="O2575" s="109"/>
      <c r="P2575" s="109"/>
      <c r="Q2575" s="109"/>
      <c r="S2575" s="111"/>
      <c r="T2575" s="60"/>
      <c r="U2575" s="112"/>
    </row>
    <row r="2576" spans="4:21" s="110" customFormat="1" ht="15.75" customHeight="1">
      <c r="D2576" s="113"/>
      <c r="E2576" s="60"/>
      <c r="F2576" s="60"/>
      <c r="G2576" s="60"/>
      <c r="H2576" s="60"/>
      <c r="I2576" s="60"/>
      <c r="J2576" s="114"/>
      <c r="K2576" s="60"/>
      <c r="L2576" s="109"/>
      <c r="M2576" s="109"/>
      <c r="N2576" s="109"/>
      <c r="O2576" s="109"/>
      <c r="P2576" s="109"/>
      <c r="Q2576" s="109"/>
      <c r="S2576" s="111"/>
      <c r="T2576" s="60"/>
      <c r="U2576" s="112"/>
    </row>
    <row r="2577" spans="4:21" s="110" customFormat="1" ht="15.75" customHeight="1">
      <c r="D2577" s="113"/>
      <c r="E2577" s="60"/>
      <c r="F2577" s="60"/>
      <c r="G2577" s="60"/>
      <c r="H2577" s="60"/>
      <c r="I2577" s="60"/>
      <c r="J2577" s="114"/>
      <c r="K2577" s="60"/>
      <c r="L2577" s="109"/>
      <c r="M2577" s="109"/>
      <c r="N2577" s="109"/>
      <c r="O2577" s="109"/>
      <c r="P2577" s="109"/>
      <c r="Q2577" s="109"/>
      <c r="S2577" s="111"/>
      <c r="T2577" s="60"/>
      <c r="U2577" s="112"/>
    </row>
    <row r="2578" spans="4:21" s="110" customFormat="1" ht="15.75" customHeight="1">
      <c r="D2578" s="113"/>
      <c r="E2578" s="60"/>
      <c r="F2578" s="60"/>
      <c r="G2578" s="60"/>
      <c r="H2578" s="60"/>
      <c r="I2578" s="60"/>
      <c r="J2578" s="114"/>
      <c r="K2578" s="60"/>
      <c r="L2578" s="109"/>
      <c r="M2578" s="109"/>
      <c r="N2578" s="109"/>
      <c r="O2578" s="109"/>
      <c r="P2578" s="109"/>
      <c r="Q2578" s="109"/>
      <c r="S2578" s="111"/>
      <c r="T2578" s="60"/>
      <c r="U2578" s="112"/>
    </row>
    <row r="2579" spans="4:21" s="110" customFormat="1" ht="15.75" customHeight="1">
      <c r="D2579" s="113"/>
      <c r="E2579" s="60"/>
      <c r="F2579" s="60"/>
      <c r="G2579" s="60"/>
      <c r="H2579" s="60"/>
      <c r="I2579" s="60"/>
      <c r="J2579" s="114"/>
      <c r="K2579" s="60"/>
      <c r="L2579" s="109"/>
      <c r="M2579" s="109"/>
      <c r="N2579" s="109"/>
      <c r="O2579" s="109"/>
      <c r="P2579" s="109"/>
      <c r="Q2579" s="109"/>
      <c r="S2579" s="111"/>
      <c r="T2579" s="60"/>
      <c r="U2579" s="112"/>
    </row>
    <row r="2580" spans="4:21" s="110" customFormat="1" ht="15.75" customHeight="1">
      <c r="D2580" s="113"/>
      <c r="E2580" s="60"/>
      <c r="F2580" s="60"/>
      <c r="G2580" s="60"/>
      <c r="H2580" s="60"/>
      <c r="I2580" s="60"/>
      <c r="J2580" s="114"/>
      <c r="K2580" s="60"/>
      <c r="L2580" s="109"/>
      <c r="M2580" s="109"/>
      <c r="N2580" s="109"/>
      <c r="O2580" s="109"/>
      <c r="P2580" s="109"/>
      <c r="Q2580" s="109"/>
      <c r="S2580" s="111"/>
      <c r="T2580" s="60"/>
      <c r="U2580" s="112"/>
    </row>
    <row r="2581" spans="4:21" s="110" customFormat="1" ht="15.75" customHeight="1">
      <c r="D2581" s="113"/>
      <c r="E2581" s="60"/>
      <c r="F2581" s="60"/>
      <c r="G2581" s="60"/>
      <c r="H2581" s="60"/>
      <c r="I2581" s="60"/>
      <c r="J2581" s="114"/>
      <c r="K2581" s="60"/>
      <c r="L2581" s="109"/>
      <c r="M2581" s="109"/>
      <c r="N2581" s="109"/>
      <c r="O2581" s="109"/>
      <c r="P2581" s="109"/>
      <c r="Q2581" s="109"/>
      <c r="S2581" s="111"/>
      <c r="T2581" s="60"/>
      <c r="U2581" s="112"/>
    </row>
    <row r="2582" spans="4:21" s="110" customFormat="1" ht="15.75" customHeight="1">
      <c r="D2582" s="113"/>
      <c r="E2582" s="60"/>
      <c r="F2582" s="60"/>
      <c r="G2582" s="60"/>
      <c r="H2582" s="60"/>
      <c r="I2582" s="60"/>
      <c r="J2582" s="114"/>
      <c r="K2582" s="60"/>
      <c r="L2582" s="109"/>
      <c r="M2582" s="109"/>
      <c r="N2582" s="109"/>
      <c r="O2582" s="109"/>
      <c r="P2582" s="109"/>
      <c r="Q2582" s="109"/>
      <c r="S2582" s="111"/>
      <c r="T2582" s="60"/>
      <c r="U2582" s="112"/>
    </row>
    <row r="2583" spans="4:21" s="110" customFormat="1" ht="15.75" customHeight="1">
      <c r="D2583" s="113"/>
      <c r="E2583" s="60"/>
      <c r="F2583" s="60"/>
      <c r="G2583" s="60"/>
      <c r="H2583" s="60"/>
      <c r="I2583" s="60"/>
      <c r="J2583" s="114"/>
      <c r="K2583" s="60"/>
      <c r="L2583" s="109"/>
      <c r="M2583" s="109"/>
      <c r="N2583" s="109"/>
      <c r="O2583" s="109"/>
      <c r="P2583" s="109"/>
      <c r="Q2583" s="109"/>
      <c r="S2583" s="111"/>
      <c r="T2583" s="60"/>
      <c r="U2583" s="112"/>
    </row>
    <row r="2584" spans="4:21" s="110" customFormat="1" ht="15.75" customHeight="1">
      <c r="D2584" s="113"/>
      <c r="E2584" s="60"/>
      <c r="F2584" s="60"/>
      <c r="G2584" s="60"/>
      <c r="H2584" s="60"/>
      <c r="I2584" s="60"/>
      <c r="J2584" s="114"/>
      <c r="K2584" s="60"/>
      <c r="L2584" s="109"/>
      <c r="M2584" s="109"/>
      <c r="N2584" s="109"/>
      <c r="O2584" s="109"/>
      <c r="P2584" s="109"/>
      <c r="Q2584" s="109"/>
      <c r="S2584" s="111"/>
      <c r="T2584" s="60"/>
      <c r="U2584" s="112"/>
    </row>
    <row r="2585" spans="4:21" s="110" customFormat="1" ht="15.75" customHeight="1">
      <c r="D2585" s="113"/>
      <c r="E2585" s="60"/>
      <c r="F2585" s="60"/>
      <c r="G2585" s="60"/>
      <c r="H2585" s="60"/>
      <c r="I2585" s="60"/>
      <c r="J2585" s="114"/>
      <c r="K2585" s="60"/>
      <c r="L2585" s="109"/>
      <c r="M2585" s="109"/>
      <c r="N2585" s="109"/>
      <c r="O2585" s="109"/>
      <c r="P2585" s="109"/>
      <c r="Q2585" s="109"/>
      <c r="S2585" s="111"/>
      <c r="T2585" s="60"/>
      <c r="U2585" s="112"/>
    </row>
    <row r="2586" spans="4:21" s="110" customFormat="1" ht="15.75" customHeight="1">
      <c r="D2586" s="113"/>
      <c r="E2586" s="60"/>
      <c r="F2586" s="60"/>
      <c r="G2586" s="60"/>
      <c r="H2586" s="60"/>
      <c r="I2586" s="60"/>
      <c r="J2586" s="114"/>
      <c r="K2586" s="60"/>
      <c r="L2586" s="109"/>
      <c r="M2586" s="109"/>
      <c r="N2586" s="109"/>
      <c r="O2586" s="109"/>
      <c r="P2586" s="109"/>
      <c r="Q2586" s="109"/>
      <c r="S2586" s="111"/>
      <c r="T2586" s="60"/>
      <c r="U2586" s="112"/>
    </row>
    <row r="2587" spans="4:21" s="110" customFormat="1" ht="15.75" customHeight="1">
      <c r="D2587" s="113"/>
      <c r="E2587" s="60"/>
      <c r="F2587" s="60"/>
      <c r="G2587" s="60"/>
      <c r="H2587" s="60"/>
      <c r="I2587" s="60"/>
      <c r="J2587" s="114"/>
      <c r="K2587" s="60"/>
      <c r="L2587" s="109"/>
      <c r="M2587" s="109"/>
      <c r="N2587" s="109"/>
      <c r="O2587" s="109"/>
      <c r="P2587" s="109"/>
      <c r="Q2587" s="109"/>
      <c r="S2587" s="111"/>
      <c r="T2587" s="60"/>
      <c r="U2587" s="112"/>
    </row>
    <row r="2588" spans="4:21" s="110" customFormat="1" ht="15.75" customHeight="1">
      <c r="D2588" s="113"/>
      <c r="E2588" s="60"/>
      <c r="F2588" s="60"/>
      <c r="G2588" s="60"/>
      <c r="H2588" s="60"/>
      <c r="I2588" s="60"/>
      <c r="J2588" s="114"/>
      <c r="K2588" s="60"/>
      <c r="L2588" s="109"/>
      <c r="M2588" s="109"/>
      <c r="N2588" s="109"/>
      <c r="O2588" s="109"/>
      <c r="P2588" s="109"/>
      <c r="Q2588" s="109"/>
      <c r="S2588" s="111"/>
      <c r="T2588" s="60"/>
      <c r="U2588" s="112"/>
    </row>
    <row r="2589" spans="4:21" s="110" customFormat="1" ht="15.75" customHeight="1">
      <c r="D2589" s="113"/>
      <c r="E2589" s="60"/>
      <c r="F2589" s="60"/>
      <c r="G2589" s="60"/>
      <c r="H2589" s="60"/>
      <c r="I2589" s="60"/>
      <c r="J2589" s="114"/>
      <c r="K2589" s="60"/>
      <c r="L2589" s="109"/>
      <c r="M2589" s="109"/>
      <c r="N2589" s="109"/>
      <c r="O2589" s="109"/>
      <c r="P2589" s="109"/>
      <c r="Q2589" s="109"/>
      <c r="S2589" s="111"/>
      <c r="T2589" s="60"/>
      <c r="U2589" s="112"/>
    </row>
    <row r="2590" spans="4:21" s="110" customFormat="1" ht="15.75" customHeight="1">
      <c r="D2590" s="113"/>
      <c r="E2590" s="60"/>
      <c r="F2590" s="60"/>
      <c r="G2590" s="60"/>
      <c r="H2590" s="60"/>
      <c r="I2590" s="60"/>
      <c r="J2590" s="114"/>
      <c r="K2590" s="60"/>
      <c r="L2590" s="109"/>
      <c r="M2590" s="109"/>
      <c r="N2590" s="109"/>
      <c r="O2590" s="109"/>
      <c r="P2590" s="109"/>
      <c r="Q2590" s="109"/>
      <c r="S2590" s="111"/>
      <c r="T2590" s="60"/>
      <c r="U2590" s="112"/>
    </row>
    <row r="2591" spans="4:21" s="110" customFormat="1" ht="15.75" customHeight="1">
      <c r="D2591" s="113"/>
      <c r="E2591" s="60"/>
      <c r="F2591" s="60"/>
      <c r="G2591" s="60"/>
      <c r="H2591" s="60"/>
      <c r="I2591" s="60"/>
      <c r="J2591" s="114"/>
      <c r="K2591" s="60"/>
      <c r="L2591" s="109"/>
      <c r="M2591" s="109"/>
      <c r="N2591" s="109"/>
      <c r="O2591" s="109"/>
      <c r="P2591" s="109"/>
      <c r="Q2591" s="109"/>
      <c r="S2591" s="111"/>
      <c r="T2591" s="60"/>
      <c r="U2591" s="112"/>
    </row>
    <row r="2592" spans="4:21" s="110" customFormat="1" ht="15.75" customHeight="1">
      <c r="D2592" s="113"/>
      <c r="E2592" s="60"/>
      <c r="F2592" s="60"/>
      <c r="G2592" s="60"/>
      <c r="H2592" s="60"/>
      <c r="I2592" s="60"/>
      <c r="J2592" s="114"/>
      <c r="K2592" s="60"/>
      <c r="L2592" s="109"/>
      <c r="M2592" s="109"/>
      <c r="N2592" s="109"/>
      <c r="O2592" s="109"/>
      <c r="P2592" s="109"/>
      <c r="Q2592" s="109"/>
      <c r="S2592" s="111"/>
      <c r="T2592" s="60"/>
      <c r="U2592" s="112"/>
    </row>
    <row r="2593" spans="4:21" s="110" customFormat="1" ht="15.75" customHeight="1">
      <c r="D2593" s="113"/>
      <c r="E2593" s="60"/>
      <c r="F2593" s="60"/>
      <c r="G2593" s="60"/>
      <c r="H2593" s="60"/>
      <c r="I2593" s="60"/>
      <c r="J2593" s="114"/>
      <c r="K2593" s="60"/>
      <c r="L2593" s="109"/>
      <c r="M2593" s="109"/>
      <c r="N2593" s="109"/>
      <c r="O2593" s="109"/>
      <c r="P2593" s="109"/>
      <c r="Q2593" s="109"/>
      <c r="S2593" s="111"/>
      <c r="T2593" s="60"/>
      <c r="U2593" s="112"/>
    </row>
    <row r="2594" spans="4:21" s="110" customFormat="1" ht="15.75" customHeight="1">
      <c r="D2594" s="113"/>
      <c r="E2594" s="60"/>
      <c r="F2594" s="60"/>
      <c r="G2594" s="60"/>
      <c r="H2594" s="60"/>
      <c r="I2594" s="60"/>
      <c r="J2594" s="114"/>
      <c r="K2594" s="60"/>
      <c r="L2594" s="109"/>
      <c r="M2594" s="109"/>
      <c r="N2594" s="109"/>
      <c r="O2594" s="109"/>
      <c r="P2594" s="109"/>
      <c r="Q2594" s="109"/>
      <c r="S2594" s="111"/>
      <c r="T2594" s="60"/>
      <c r="U2594" s="112"/>
    </row>
    <row r="2595" spans="4:21" s="110" customFormat="1" ht="15.75" customHeight="1">
      <c r="D2595" s="113"/>
      <c r="E2595" s="60"/>
      <c r="F2595" s="60"/>
      <c r="G2595" s="60"/>
      <c r="H2595" s="60"/>
      <c r="I2595" s="60"/>
      <c r="J2595" s="114"/>
      <c r="K2595" s="60"/>
      <c r="L2595" s="109"/>
      <c r="M2595" s="109"/>
      <c r="N2595" s="109"/>
      <c r="O2595" s="109"/>
      <c r="P2595" s="109"/>
      <c r="Q2595" s="109"/>
      <c r="S2595" s="111"/>
      <c r="T2595" s="60"/>
      <c r="U2595" s="112"/>
    </row>
    <row r="2596" spans="4:21" s="110" customFormat="1" ht="15.75" customHeight="1">
      <c r="D2596" s="113"/>
      <c r="E2596" s="60"/>
      <c r="F2596" s="60"/>
      <c r="G2596" s="60"/>
      <c r="H2596" s="60"/>
      <c r="I2596" s="60"/>
      <c r="J2596" s="114"/>
      <c r="K2596" s="60"/>
      <c r="L2596" s="109"/>
      <c r="M2596" s="109"/>
      <c r="N2596" s="109"/>
      <c r="O2596" s="109"/>
      <c r="P2596" s="109"/>
      <c r="Q2596" s="109"/>
      <c r="S2596" s="111"/>
      <c r="T2596" s="60"/>
      <c r="U2596" s="112"/>
    </row>
    <row r="2597" spans="4:21" s="110" customFormat="1" ht="15.75" customHeight="1">
      <c r="D2597" s="113"/>
      <c r="E2597" s="60"/>
      <c r="F2597" s="60"/>
      <c r="G2597" s="60"/>
      <c r="H2597" s="60"/>
      <c r="I2597" s="60"/>
      <c r="J2597" s="114"/>
      <c r="K2597" s="60"/>
      <c r="L2597" s="109"/>
      <c r="M2597" s="109"/>
      <c r="N2597" s="109"/>
      <c r="O2597" s="109"/>
      <c r="P2597" s="109"/>
      <c r="Q2597" s="109"/>
      <c r="S2597" s="111"/>
      <c r="T2597" s="60"/>
      <c r="U2597" s="112"/>
    </row>
    <row r="2598" spans="4:21" s="110" customFormat="1" ht="15.75" customHeight="1">
      <c r="D2598" s="113"/>
      <c r="E2598" s="60"/>
      <c r="F2598" s="60"/>
      <c r="G2598" s="60"/>
      <c r="H2598" s="60"/>
      <c r="I2598" s="60"/>
      <c r="J2598" s="114"/>
      <c r="K2598" s="60"/>
      <c r="L2598" s="109"/>
      <c r="M2598" s="109"/>
      <c r="N2598" s="109"/>
      <c r="O2598" s="109"/>
      <c r="P2598" s="109"/>
      <c r="Q2598" s="109"/>
      <c r="S2598" s="111"/>
      <c r="T2598" s="60"/>
      <c r="U2598" s="112"/>
    </row>
    <row r="2599" spans="4:21" s="110" customFormat="1" ht="15.75" customHeight="1">
      <c r="D2599" s="113"/>
      <c r="E2599" s="60"/>
      <c r="F2599" s="60"/>
      <c r="G2599" s="60"/>
      <c r="H2599" s="60"/>
      <c r="I2599" s="60"/>
      <c r="J2599" s="114"/>
      <c r="K2599" s="60"/>
      <c r="L2599" s="109"/>
      <c r="M2599" s="109"/>
      <c r="N2599" s="109"/>
      <c r="O2599" s="109"/>
      <c r="P2599" s="109"/>
      <c r="Q2599" s="109"/>
      <c r="S2599" s="111"/>
      <c r="T2599" s="60"/>
      <c r="U2599" s="112"/>
    </row>
    <row r="2600" spans="4:21" s="110" customFormat="1" ht="15.75" customHeight="1">
      <c r="D2600" s="113"/>
      <c r="E2600" s="60"/>
      <c r="F2600" s="60"/>
      <c r="G2600" s="60"/>
      <c r="H2600" s="60"/>
      <c r="I2600" s="60"/>
      <c r="J2600" s="114"/>
      <c r="K2600" s="60"/>
      <c r="L2600" s="109"/>
      <c r="M2600" s="109"/>
      <c r="N2600" s="109"/>
      <c r="O2600" s="109"/>
      <c r="P2600" s="109"/>
      <c r="Q2600" s="109"/>
      <c r="S2600" s="111"/>
      <c r="T2600" s="60"/>
      <c r="U2600" s="112"/>
    </row>
    <row r="2601" spans="4:21" s="110" customFormat="1" ht="15.75" customHeight="1">
      <c r="D2601" s="113"/>
      <c r="E2601" s="60"/>
      <c r="F2601" s="60"/>
      <c r="G2601" s="60"/>
      <c r="H2601" s="60"/>
      <c r="I2601" s="60"/>
      <c r="J2601" s="114"/>
      <c r="K2601" s="60"/>
      <c r="L2601" s="109"/>
      <c r="M2601" s="109"/>
      <c r="N2601" s="109"/>
      <c r="O2601" s="109"/>
      <c r="P2601" s="109"/>
      <c r="Q2601" s="109"/>
      <c r="S2601" s="111"/>
      <c r="T2601" s="60"/>
      <c r="U2601" s="112"/>
    </row>
    <row r="2602" spans="4:21" s="110" customFormat="1" ht="15.75" customHeight="1">
      <c r="D2602" s="113"/>
      <c r="E2602" s="60"/>
      <c r="F2602" s="60"/>
      <c r="G2602" s="60"/>
      <c r="H2602" s="60"/>
      <c r="I2602" s="60"/>
      <c r="J2602" s="114"/>
      <c r="K2602" s="60"/>
      <c r="L2602" s="109"/>
      <c r="M2602" s="109"/>
      <c r="N2602" s="109"/>
      <c r="O2602" s="109"/>
      <c r="P2602" s="109"/>
      <c r="Q2602" s="109"/>
      <c r="S2602" s="111"/>
      <c r="T2602" s="60"/>
      <c r="U2602" s="112"/>
    </row>
    <row r="2603" spans="4:21" s="110" customFormat="1" ht="15.75" customHeight="1">
      <c r="D2603" s="113"/>
      <c r="E2603" s="60"/>
      <c r="F2603" s="60"/>
      <c r="G2603" s="60"/>
      <c r="H2603" s="60"/>
      <c r="I2603" s="60"/>
      <c r="J2603" s="114"/>
      <c r="K2603" s="60"/>
      <c r="L2603" s="109"/>
      <c r="M2603" s="109"/>
      <c r="N2603" s="109"/>
      <c r="O2603" s="109"/>
      <c r="P2603" s="109"/>
      <c r="Q2603" s="109"/>
      <c r="S2603" s="111"/>
      <c r="T2603" s="60"/>
      <c r="U2603" s="112"/>
    </row>
    <row r="2604" spans="4:21" s="110" customFormat="1" ht="15.75" customHeight="1">
      <c r="D2604" s="113"/>
      <c r="E2604" s="60"/>
      <c r="F2604" s="60"/>
      <c r="G2604" s="60"/>
      <c r="H2604" s="60"/>
      <c r="I2604" s="60"/>
      <c r="J2604" s="114"/>
      <c r="K2604" s="60"/>
      <c r="L2604" s="109"/>
      <c r="M2604" s="109"/>
      <c r="N2604" s="109"/>
      <c r="O2604" s="109"/>
      <c r="P2604" s="109"/>
      <c r="Q2604" s="109"/>
      <c r="S2604" s="111"/>
      <c r="T2604" s="60"/>
      <c r="U2604" s="112"/>
    </row>
    <row r="2605" spans="4:21" s="110" customFormat="1" ht="15.75" customHeight="1">
      <c r="D2605" s="113"/>
      <c r="E2605" s="60"/>
      <c r="F2605" s="60"/>
      <c r="G2605" s="60"/>
      <c r="H2605" s="60"/>
      <c r="I2605" s="60"/>
      <c r="J2605" s="114"/>
      <c r="K2605" s="60"/>
      <c r="L2605" s="109"/>
      <c r="M2605" s="109"/>
      <c r="N2605" s="109"/>
      <c r="O2605" s="109"/>
      <c r="P2605" s="109"/>
      <c r="Q2605" s="109"/>
      <c r="S2605" s="111"/>
      <c r="T2605" s="60"/>
      <c r="U2605" s="112"/>
    </row>
    <row r="2606" spans="4:21" s="110" customFormat="1" ht="15.75" customHeight="1">
      <c r="D2606" s="113"/>
      <c r="E2606" s="60"/>
      <c r="F2606" s="60"/>
      <c r="G2606" s="60"/>
      <c r="H2606" s="60"/>
      <c r="I2606" s="60"/>
      <c r="J2606" s="114"/>
      <c r="K2606" s="60"/>
      <c r="L2606" s="109"/>
      <c r="M2606" s="109"/>
      <c r="N2606" s="109"/>
      <c r="O2606" s="109"/>
      <c r="P2606" s="109"/>
      <c r="Q2606" s="109"/>
      <c r="S2606" s="111"/>
      <c r="T2606" s="60"/>
      <c r="U2606" s="112"/>
    </row>
    <row r="2607" spans="4:21" s="110" customFormat="1" ht="15.75" customHeight="1">
      <c r="D2607" s="113"/>
      <c r="E2607" s="60"/>
      <c r="F2607" s="60"/>
      <c r="G2607" s="60"/>
      <c r="H2607" s="60"/>
      <c r="I2607" s="60"/>
      <c r="J2607" s="114"/>
      <c r="K2607" s="60"/>
      <c r="L2607" s="109"/>
      <c r="M2607" s="109"/>
      <c r="N2607" s="109"/>
      <c r="O2607" s="109"/>
      <c r="P2607" s="109"/>
      <c r="Q2607" s="109"/>
      <c r="S2607" s="111"/>
      <c r="T2607" s="60"/>
      <c r="U2607" s="112"/>
    </row>
    <row r="2608" spans="4:21" s="110" customFormat="1" ht="15.75" customHeight="1">
      <c r="D2608" s="113"/>
      <c r="E2608" s="60"/>
      <c r="F2608" s="60"/>
      <c r="G2608" s="60"/>
      <c r="H2608" s="60"/>
      <c r="I2608" s="60"/>
      <c r="J2608" s="114"/>
      <c r="K2608" s="60"/>
      <c r="L2608" s="109"/>
      <c r="M2608" s="109"/>
      <c r="N2608" s="109"/>
      <c r="O2608" s="109"/>
      <c r="P2608" s="109"/>
      <c r="Q2608" s="109"/>
      <c r="S2608" s="111"/>
      <c r="T2608" s="60"/>
      <c r="U2608" s="112"/>
    </row>
    <row r="2609" spans="4:21" s="110" customFormat="1" ht="15.75" customHeight="1">
      <c r="D2609" s="113"/>
      <c r="E2609" s="60"/>
      <c r="F2609" s="60"/>
      <c r="G2609" s="60"/>
      <c r="H2609" s="60"/>
      <c r="I2609" s="60"/>
      <c r="J2609" s="114"/>
      <c r="K2609" s="60"/>
      <c r="L2609" s="109"/>
      <c r="M2609" s="109"/>
      <c r="N2609" s="109"/>
      <c r="O2609" s="109"/>
      <c r="P2609" s="109"/>
      <c r="Q2609" s="109"/>
      <c r="S2609" s="111"/>
      <c r="T2609" s="60"/>
      <c r="U2609" s="112"/>
    </row>
    <row r="2610" spans="4:21" s="110" customFormat="1" ht="15.75" customHeight="1">
      <c r="D2610" s="113"/>
      <c r="E2610" s="60"/>
      <c r="F2610" s="60"/>
      <c r="G2610" s="60"/>
      <c r="H2610" s="60"/>
      <c r="I2610" s="60"/>
      <c r="J2610" s="114"/>
      <c r="K2610" s="60"/>
      <c r="L2610" s="109"/>
      <c r="M2610" s="109"/>
      <c r="N2610" s="109"/>
      <c r="O2610" s="109"/>
      <c r="P2610" s="109"/>
      <c r="Q2610" s="109"/>
      <c r="S2610" s="111"/>
      <c r="T2610" s="60"/>
      <c r="U2610" s="112"/>
    </row>
    <row r="2611" spans="4:21" s="110" customFormat="1" ht="15.75" customHeight="1">
      <c r="D2611" s="113"/>
      <c r="E2611" s="60"/>
      <c r="F2611" s="60"/>
      <c r="G2611" s="60"/>
      <c r="H2611" s="60"/>
      <c r="I2611" s="60"/>
      <c r="J2611" s="114"/>
      <c r="K2611" s="60"/>
      <c r="L2611" s="109"/>
      <c r="M2611" s="109"/>
      <c r="N2611" s="109"/>
      <c r="O2611" s="109"/>
      <c r="P2611" s="109"/>
      <c r="Q2611" s="109"/>
      <c r="S2611" s="111"/>
      <c r="T2611" s="60"/>
      <c r="U2611" s="112"/>
    </row>
    <row r="2612" spans="4:21" s="110" customFormat="1" ht="15.75" customHeight="1">
      <c r="D2612" s="113"/>
      <c r="E2612" s="60"/>
      <c r="F2612" s="60"/>
      <c r="G2612" s="60"/>
      <c r="H2612" s="60"/>
      <c r="I2612" s="60"/>
      <c r="J2612" s="114"/>
      <c r="K2612" s="60"/>
      <c r="L2612" s="109"/>
      <c r="M2612" s="109"/>
      <c r="N2612" s="109"/>
      <c r="O2612" s="109"/>
      <c r="P2612" s="109"/>
      <c r="Q2612" s="109"/>
      <c r="S2612" s="111"/>
      <c r="T2612" s="60"/>
      <c r="U2612" s="112"/>
    </row>
    <row r="2613" spans="4:21" s="110" customFormat="1" ht="15.75" customHeight="1">
      <c r="D2613" s="113"/>
      <c r="E2613" s="60"/>
      <c r="F2613" s="60"/>
      <c r="G2613" s="60"/>
      <c r="H2613" s="60"/>
      <c r="I2613" s="60"/>
      <c r="J2613" s="114"/>
      <c r="K2613" s="60"/>
      <c r="L2613" s="109"/>
      <c r="M2613" s="109"/>
      <c r="N2613" s="109"/>
      <c r="O2613" s="109"/>
      <c r="P2613" s="109"/>
      <c r="Q2613" s="109"/>
      <c r="S2613" s="111"/>
      <c r="T2613" s="60"/>
      <c r="U2613" s="112"/>
    </row>
    <row r="2614" spans="4:21" s="110" customFormat="1" ht="15.75" customHeight="1">
      <c r="D2614" s="113"/>
      <c r="E2614" s="60"/>
      <c r="F2614" s="60"/>
      <c r="G2614" s="60"/>
      <c r="H2614" s="60"/>
      <c r="I2614" s="60"/>
      <c r="J2614" s="114"/>
      <c r="K2614" s="60"/>
      <c r="L2614" s="109"/>
      <c r="M2614" s="109"/>
      <c r="N2614" s="109"/>
      <c r="O2614" s="109"/>
      <c r="P2614" s="109"/>
      <c r="Q2614" s="109"/>
      <c r="S2614" s="111"/>
      <c r="T2614" s="60"/>
      <c r="U2614" s="112"/>
    </row>
    <row r="2615" spans="4:21" s="110" customFormat="1" ht="15.75" customHeight="1">
      <c r="D2615" s="113"/>
      <c r="E2615" s="60"/>
      <c r="F2615" s="60"/>
      <c r="G2615" s="60"/>
      <c r="H2615" s="60"/>
      <c r="I2615" s="60"/>
      <c r="J2615" s="114"/>
      <c r="K2615" s="60"/>
      <c r="L2615" s="109"/>
      <c r="M2615" s="109"/>
      <c r="N2615" s="109"/>
      <c r="O2615" s="109"/>
      <c r="P2615" s="109"/>
      <c r="Q2615" s="109"/>
      <c r="S2615" s="111"/>
      <c r="T2615" s="60"/>
      <c r="U2615" s="112"/>
    </row>
    <row r="2616" spans="4:21" s="110" customFormat="1" ht="15.75" customHeight="1">
      <c r="D2616" s="113"/>
      <c r="E2616" s="60"/>
      <c r="F2616" s="60"/>
      <c r="G2616" s="60"/>
      <c r="H2616" s="60"/>
      <c r="I2616" s="60"/>
      <c r="J2616" s="114"/>
      <c r="K2616" s="60"/>
      <c r="L2616" s="109"/>
      <c r="M2616" s="109"/>
      <c r="N2616" s="109"/>
      <c r="O2616" s="109"/>
      <c r="P2616" s="109"/>
      <c r="Q2616" s="109"/>
      <c r="S2616" s="111"/>
      <c r="T2616" s="60"/>
      <c r="U2616" s="112"/>
    </row>
    <row r="2617" spans="4:21" s="110" customFormat="1" ht="15.75" customHeight="1">
      <c r="D2617" s="113"/>
      <c r="E2617" s="60"/>
      <c r="F2617" s="60"/>
      <c r="G2617" s="60"/>
      <c r="H2617" s="60"/>
      <c r="I2617" s="60"/>
      <c r="J2617" s="114"/>
      <c r="K2617" s="60"/>
      <c r="L2617" s="109"/>
      <c r="M2617" s="109"/>
      <c r="N2617" s="109"/>
      <c r="O2617" s="109"/>
      <c r="P2617" s="109"/>
      <c r="Q2617" s="109"/>
      <c r="S2617" s="111"/>
      <c r="T2617" s="60"/>
      <c r="U2617" s="112"/>
    </row>
    <row r="2618" spans="4:21" s="110" customFormat="1" ht="15.75" customHeight="1">
      <c r="D2618" s="113"/>
      <c r="E2618" s="60"/>
      <c r="F2618" s="60"/>
      <c r="G2618" s="60"/>
      <c r="H2618" s="60"/>
      <c r="I2618" s="60"/>
      <c r="J2618" s="114"/>
      <c r="K2618" s="60"/>
      <c r="L2618" s="109"/>
      <c r="M2618" s="109"/>
      <c r="N2618" s="109"/>
      <c r="O2618" s="109"/>
      <c r="P2618" s="109"/>
      <c r="Q2618" s="109"/>
      <c r="S2618" s="111"/>
      <c r="T2618" s="60"/>
      <c r="U2618" s="112"/>
    </row>
    <row r="2619" spans="4:21" s="110" customFormat="1" ht="15.75" customHeight="1">
      <c r="D2619" s="113"/>
      <c r="E2619" s="60"/>
      <c r="F2619" s="60"/>
      <c r="G2619" s="60"/>
      <c r="H2619" s="60"/>
      <c r="I2619" s="60"/>
      <c r="J2619" s="114"/>
      <c r="K2619" s="60"/>
      <c r="L2619" s="109"/>
      <c r="M2619" s="109"/>
      <c r="N2619" s="109"/>
      <c r="O2619" s="109"/>
      <c r="P2619" s="109"/>
      <c r="Q2619" s="109"/>
      <c r="S2619" s="111"/>
      <c r="T2619" s="60"/>
      <c r="U2619" s="112"/>
    </row>
    <row r="2620" spans="4:21" s="110" customFormat="1" ht="15.75" customHeight="1">
      <c r="D2620" s="113"/>
      <c r="E2620" s="60"/>
      <c r="F2620" s="60"/>
      <c r="G2620" s="60"/>
      <c r="H2620" s="60"/>
      <c r="I2620" s="60"/>
      <c r="J2620" s="114"/>
      <c r="K2620" s="60"/>
      <c r="L2620" s="109"/>
      <c r="M2620" s="109"/>
      <c r="N2620" s="109"/>
      <c r="O2620" s="109"/>
      <c r="P2620" s="109"/>
      <c r="Q2620" s="109"/>
      <c r="S2620" s="111"/>
      <c r="T2620" s="60"/>
      <c r="U2620" s="112"/>
    </row>
    <row r="2621" spans="4:21" s="110" customFormat="1" ht="15.75" customHeight="1">
      <c r="D2621" s="113"/>
      <c r="E2621" s="60"/>
      <c r="F2621" s="60"/>
      <c r="G2621" s="60"/>
      <c r="H2621" s="60"/>
      <c r="I2621" s="60"/>
      <c r="J2621" s="114"/>
      <c r="K2621" s="60"/>
      <c r="L2621" s="109"/>
      <c r="M2621" s="109"/>
      <c r="N2621" s="109"/>
      <c r="O2621" s="109"/>
      <c r="P2621" s="109"/>
      <c r="Q2621" s="109"/>
      <c r="S2621" s="111"/>
      <c r="T2621" s="60"/>
      <c r="U2621" s="112"/>
    </row>
    <row r="2622" spans="4:21" s="110" customFormat="1" ht="15.75" customHeight="1">
      <c r="D2622" s="113"/>
      <c r="E2622" s="60"/>
      <c r="F2622" s="60"/>
      <c r="G2622" s="60"/>
      <c r="H2622" s="60"/>
      <c r="I2622" s="60"/>
      <c r="J2622" s="114"/>
      <c r="K2622" s="60"/>
      <c r="L2622" s="109"/>
      <c r="M2622" s="109"/>
      <c r="N2622" s="109"/>
      <c r="O2622" s="109"/>
      <c r="P2622" s="109"/>
      <c r="Q2622" s="109"/>
      <c r="S2622" s="111"/>
      <c r="T2622" s="60"/>
      <c r="U2622" s="112"/>
    </row>
    <row r="2623" spans="4:21" s="110" customFormat="1" ht="15.75" customHeight="1">
      <c r="D2623" s="113"/>
      <c r="E2623" s="60"/>
      <c r="F2623" s="60"/>
      <c r="G2623" s="60"/>
      <c r="H2623" s="60"/>
      <c r="I2623" s="60"/>
      <c r="J2623" s="114"/>
      <c r="K2623" s="60"/>
      <c r="L2623" s="109"/>
      <c r="M2623" s="109"/>
      <c r="N2623" s="109"/>
      <c r="O2623" s="109"/>
      <c r="P2623" s="109"/>
      <c r="Q2623" s="109"/>
      <c r="S2623" s="111"/>
      <c r="T2623" s="60"/>
      <c r="U2623" s="112"/>
    </row>
    <row r="2624" spans="4:21" s="110" customFormat="1" ht="15.75" customHeight="1">
      <c r="D2624" s="113"/>
      <c r="E2624" s="60"/>
      <c r="F2624" s="60"/>
      <c r="G2624" s="60"/>
      <c r="H2624" s="60"/>
      <c r="I2624" s="60"/>
      <c r="J2624" s="114"/>
      <c r="K2624" s="60"/>
      <c r="L2624" s="109"/>
      <c r="M2624" s="109"/>
      <c r="N2624" s="109"/>
      <c r="O2624" s="109"/>
      <c r="P2624" s="109"/>
      <c r="Q2624" s="109"/>
      <c r="S2624" s="111"/>
      <c r="T2624" s="60"/>
      <c r="U2624" s="112"/>
    </row>
    <row r="2625" spans="4:21" s="110" customFormat="1" ht="15.75" customHeight="1">
      <c r="D2625" s="113"/>
      <c r="E2625" s="60"/>
      <c r="F2625" s="60"/>
      <c r="G2625" s="60"/>
      <c r="H2625" s="60"/>
      <c r="I2625" s="60"/>
      <c r="J2625" s="114"/>
      <c r="K2625" s="60"/>
      <c r="L2625" s="109"/>
      <c r="M2625" s="109"/>
      <c r="N2625" s="109"/>
      <c r="O2625" s="109"/>
      <c r="P2625" s="109"/>
      <c r="Q2625" s="109"/>
      <c r="S2625" s="111"/>
      <c r="T2625" s="60"/>
      <c r="U2625" s="112"/>
    </row>
    <row r="2626" spans="4:21" s="110" customFormat="1" ht="15.75" customHeight="1">
      <c r="D2626" s="113"/>
      <c r="E2626" s="60"/>
      <c r="F2626" s="60"/>
      <c r="G2626" s="60"/>
      <c r="H2626" s="60"/>
      <c r="I2626" s="60"/>
      <c r="J2626" s="114"/>
      <c r="K2626" s="60"/>
      <c r="L2626" s="109"/>
      <c r="M2626" s="109"/>
      <c r="N2626" s="109"/>
      <c r="O2626" s="109"/>
      <c r="P2626" s="109"/>
      <c r="Q2626" s="109"/>
      <c r="S2626" s="111"/>
      <c r="T2626" s="60"/>
      <c r="U2626" s="112"/>
    </row>
    <row r="2627" spans="4:21" s="110" customFormat="1" ht="15.75" customHeight="1">
      <c r="D2627" s="113"/>
      <c r="E2627" s="60"/>
      <c r="F2627" s="60"/>
      <c r="G2627" s="60"/>
      <c r="H2627" s="60"/>
      <c r="I2627" s="60"/>
      <c r="J2627" s="114"/>
      <c r="K2627" s="60"/>
      <c r="L2627" s="109"/>
      <c r="M2627" s="109"/>
      <c r="N2627" s="109"/>
      <c r="O2627" s="109"/>
      <c r="P2627" s="109"/>
      <c r="Q2627" s="109"/>
      <c r="S2627" s="111"/>
      <c r="T2627" s="60"/>
      <c r="U2627" s="112"/>
    </row>
    <row r="2628" spans="4:21" s="110" customFormat="1" ht="15.75" customHeight="1">
      <c r="D2628" s="113"/>
      <c r="E2628" s="60"/>
      <c r="F2628" s="60"/>
      <c r="G2628" s="60"/>
      <c r="H2628" s="60"/>
      <c r="I2628" s="60"/>
      <c r="J2628" s="114"/>
      <c r="K2628" s="60"/>
      <c r="L2628" s="109"/>
      <c r="M2628" s="109"/>
      <c r="N2628" s="109"/>
      <c r="O2628" s="109"/>
      <c r="P2628" s="109"/>
      <c r="Q2628" s="109"/>
      <c r="S2628" s="111"/>
      <c r="T2628" s="60"/>
      <c r="U2628" s="112"/>
    </row>
    <row r="2629" spans="4:21" s="110" customFormat="1" ht="15.75" customHeight="1">
      <c r="D2629" s="113"/>
      <c r="E2629" s="60"/>
      <c r="F2629" s="60"/>
      <c r="G2629" s="60"/>
      <c r="H2629" s="60"/>
      <c r="I2629" s="60"/>
      <c r="J2629" s="114"/>
      <c r="K2629" s="60"/>
      <c r="L2629" s="109"/>
      <c r="M2629" s="109"/>
      <c r="N2629" s="109"/>
      <c r="O2629" s="109"/>
      <c r="P2629" s="109"/>
      <c r="Q2629" s="109"/>
      <c r="S2629" s="111"/>
      <c r="T2629" s="60"/>
      <c r="U2629" s="112"/>
    </row>
    <row r="2630" spans="4:21" s="110" customFormat="1" ht="15.75" customHeight="1">
      <c r="D2630" s="113"/>
      <c r="E2630" s="60"/>
      <c r="F2630" s="60"/>
      <c r="G2630" s="60"/>
      <c r="H2630" s="60"/>
      <c r="I2630" s="60"/>
      <c r="J2630" s="114"/>
      <c r="K2630" s="60"/>
      <c r="L2630" s="109"/>
      <c r="M2630" s="109"/>
      <c r="N2630" s="109"/>
      <c r="O2630" s="109"/>
      <c r="P2630" s="109"/>
      <c r="Q2630" s="109"/>
      <c r="S2630" s="111"/>
      <c r="T2630" s="60"/>
      <c r="U2630" s="112"/>
    </row>
    <row r="2631" spans="4:21" s="110" customFormat="1" ht="15.75" customHeight="1">
      <c r="D2631" s="113"/>
      <c r="E2631" s="60"/>
      <c r="F2631" s="60"/>
      <c r="G2631" s="60"/>
      <c r="H2631" s="60"/>
      <c r="I2631" s="60"/>
      <c r="J2631" s="114"/>
      <c r="K2631" s="60"/>
      <c r="L2631" s="109"/>
      <c r="M2631" s="109"/>
      <c r="N2631" s="109"/>
      <c r="O2631" s="109"/>
      <c r="P2631" s="109"/>
      <c r="Q2631" s="109"/>
      <c r="S2631" s="111"/>
      <c r="T2631" s="60"/>
      <c r="U2631" s="112"/>
    </row>
    <row r="2632" spans="4:21" s="110" customFormat="1" ht="15.75" customHeight="1">
      <c r="D2632" s="113"/>
      <c r="E2632" s="60"/>
      <c r="F2632" s="60"/>
      <c r="G2632" s="60"/>
      <c r="H2632" s="60"/>
      <c r="I2632" s="60"/>
      <c r="J2632" s="114"/>
      <c r="K2632" s="60"/>
      <c r="L2632" s="109"/>
      <c r="M2632" s="109"/>
      <c r="N2632" s="109"/>
      <c r="O2632" s="109"/>
      <c r="P2632" s="109"/>
      <c r="Q2632" s="109"/>
      <c r="S2632" s="111"/>
      <c r="T2632" s="60"/>
      <c r="U2632" s="112"/>
    </row>
    <row r="2633" spans="4:21" s="110" customFormat="1" ht="15.75" customHeight="1">
      <c r="D2633" s="113"/>
      <c r="E2633" s="60"/>
      <c r="F2633" s="60"/>
      <c r="G2633" s="60"/>
      <c r="H2633" s="60"/>
      <c r="I2633" s="60"/>
      <c r="J2633" s="114"/>
      <c r="K2633" s="60"/>
      <c r="L2633" s="109"/>
      <c r="M2633" s="109"/>
      <c r="N2633" s="109"/>
      <c r="O2633" s="109"/>
      <c r="P2633" s="109"/>
      <c r="Q2633" s="109"/>
      <c r="S2633" s="111"/>
      <c r="T2633" s="60"/>
      <c r="U2633" s="112"/>
    </row>
    <row r="2634" spans="4:21" s="110" customFormat="1" ht="15.75" customHeight="1">
      <c r="D2634" s="113"/>
      <c r="E2634" s="60"/>
      <c r="F2634" s="60"/>
      <c r="G2634" s="60"/>
      <c r="H2634" s="60"/>
      <c r="I2634" s="60"/>
      <c r="J2634" s="114"/>
      <c r="K2634" s="60"/>
      <c r="L2634" s="109"/>
      <c r="M2634" s="109"/>
      <c r="N2634" s="109"/>
      <c r="O2634" s="109"/>
      <c r="P2634" s="109"/>
      <c r="Q2634" s="109"/>
      <c r="S2634" s="111"/>
      <c r="T2634" s="60"/>
      <c r="U2634" s="112"/>
    </row>
    <row r="2635" spans="4:21" s="110" customFormat="1" ht="15.75" customHeight="1">
      <c r="D2635" s="113"/>
      <c r="E2635" s="60"/>
      <c r="F2635" s="60"/>
      <c r="G2635" s="60"/>
      <c r="H2635" s="60"/>
      <c r="I2635" s="60"/>
      <c r="J2635" s="114"/>
      <c r="K2635" s="60"/>
      <c r="L2635" s="109"/>
      <c r="M2635" s="109"/>
      <c r="N2635" s="109"/>
      <c r="O2635" s="109"/>
      <c r="P2635" s="109"/>
      <c r="Q2635" s="109"/>
      <c r="S2635" s="111"/>
      <c r="T2635" s="60"/>
      <c r="U2635" s="112"/>
    </row>
    <row r="2636" spans="4:21" s="110" customFormat="1" ht="15.75" customHeight="1">
      <c r="D2636" s="113"/>
      <c r="E2636" s="60"/>
      <c r="F2636" s="60"/>
      <c r="G2636" s="60"/>
      <c r="H2636" s="60"/>
      <c r="I2636" s="60"/>
      <c r="J2636" s="114"/>
      <c r="K2636" s="60"/>
      <c r="L2636" s="109"/>
      <c r="M2636" s="109"/>
      <c r="N2636" s="109"/>
      <c r="O2636" s="109"/>
      <c r="P2636" s="109"/>
      <c r="Q2636" s="109"/>
      <c r="S2636" s="111"/>
      <c r="T2636" s="60"/>
      <c r="U2636" s="112"/>
    </row>
    <row r="2637" spans="4:21" s="110" customFormat="1" ht="15.75" customHeight="1">
      <c r="D2637" s="113"/>
      <c r="E2637" s="60"/>
      <c r="F2637" s="60"/>
      <c r="G2637" s="60"/>
      <c r="H2637" s="60"/>
      <c r="I2637" s="60"/>
      <c r="J2637" s="114"/>
      <c r="K2637" s="60"/>
      <c r="L2637" s="109"/>
      <c r="M2637" s="109"/>
      <c r="N2637" s="109"/>
      <c r="O2637" s="109"/>
      <c r="P2637" s="109"/>
      <c r="Q2637" s="109"/>
      <c r="S2637" s="111"/>
      <c r="T2637" s="60"/>
      <c r="U2637" s="112"/>
    </row>
    <row r="2638" spans="4:21" s="110" customFormat="1" ht="15.75" customHeight="1">
      <c r="D2638" s="113"/>
      <c r="E2638" s="60"/>
      <c r="F2638" s="60"/>
      <c r="G2638" s="60"/>
      <c r="H2638" s="60"/>
      <c r="I2638" s="60"/>
      <c r="J2638" s="114"/>
      <c r="K2638" s="60"/>
      <c r="L2638" s="109"/>
      <c r="M2638" s="109"/>
      <c r="N2638" s="109"/>
      <c r="O2638" s="109"/>
      <c r="P2638" s="109"/>
      <c r="Q2638" s="109"/>
      <c r="S2638" s="111"/>
      <c r="T2638" s="60"/>
      <c r="U2638" s="112"/>
    </row>
    <row r="2639" spans="4:21" s="110" customFormat="1" ht="15.75" customHeight="1">
      <c r="D2639" s="113"/>
      <c r="E2639" s="60"/>
      <c r="F2639" s="60"/>
      <c r="G2639" s="60"/>
      <c r="H2639" s="60"/>
      <c r="I2639" s="60"/>
      <c r="J2639" s="114"/>
      <c r="K2639" s="60"/>
      <c r="L2639" s="109"/>
      <c r="M2639" s="109"/>
      <c r="N2639" s="109"/>
      <c r="O2639" s="109"/>
      <c r="P2639" s="109"/>
      <c r="Q2639" s="109"/>
      <c r="S2639" s="111"/>
      <c r="T2639" s="60"/>
      <c r="U2639" s="112"/>
    </row>
    <row r="2640" spans="4:21" s="110" customFormat="1" ht="15.75" customHeight="1">
      <c r="D2640" s="113"/>
      <c r="E2640" s="60"/>
      <c r="F2640" s="60"/>
      <c r="G2640" s="60"/>
      <c r="H2640" s="60"/>
      <c r="I2640" s="60"/>
      <c r="J2640" s="114"/>
      <c r="K2640" s="60"/>
      <c r="L2640" s="109"/>
      <c r="M2640" s="109"/>
      <c r="N2640" s="109"/>
      <c r="O2640" s="109"/>
      <c r="P2640" s="109"/>
      <c r="Q2640" s="109"/>
      <c r="S2640" s="111"/>
      <c r="T2640" s="60"/>
      <c r="U2640" s="112"/>
    </row>
    <row r="2641" spans="4:21" s="110" customFormat="1" ht="15.75" customHeight="1">
      <c r="D2641" s="113"/>
      <c r="E2641" s="60"/>
      <c r="F2641" s="60"/>
      <c r="G2641" s="60"/>
      <c r="H2641" s="60"/>
      <c r="I2641" s="60"/>
      <c r="J2641" s="114"/>
      <c r="K2641" s="60"/>
      <c r="L2641" s="109"/>
      <c r="M2641" s="109"/>
      <c r="N2641" s="109"/>
      <c r="O2641" s="109"/>
      <c r="P2641" s="109"/>
      <c r="Q2641" s="109"/>
      <c r="S2641" s="111"/>
      <c r="T2641" s="60"/>
      <c r="U2641" s="112"/>
    </row>
    <row r="2642" spans="4:21" s="110" customFormat="1" ht="15.75" customHeight="1">
      <c r="D2642" s="113"/>
      <c r="E2642" s="60"/>
      <c r="F2642" s="60"/>
      <c r="G2642" s="60"/>
      <c r="H2642" s="60"/>
      <c r="I2642" s="60"/>
      <c r="J2642" s="114"/>
      <c r="K2642" s="60"/>
      <c r="L2642" s="109"/>
      <c r="M2642" s="109"/>
      <c r="N2642" s="109"/>
      <c r="O2642" s="109"/>
      <c r="P2642" s="109"/>
      <c r="Q2642" s="109"/>
      <c r="S2642" s="111"/>
      <c r="T2642" s="60"/>
      <c r="U2642" s="112"/>
    </row>
    <row r="2643" spans="4:21" s="110" customFormat="1" ht="15.75" customHeight="1">
      <c r="D2643" s="113"/>
      <c r="E2643" s="60"/>
      <c r="F2643" s="60"/>
      <c r="G2643" s="60"/>
      <c r="H2643" s="60"/>
      <c r="I2643" s="60"/>
      <c r="J2643" s="114"/>
      <c r="K2643" s="60"/>
      <c r="L2643" s="109"/>
      <c r="M2643" s="109"/>
      <c r="N2643" s="109"/>
      <c r="O2643" s="109"/>
      <c r="P2643" s="109"/>
      <c r="Q2643" s="109"/>
      <c r="S2643" s="111"/>
      <c r="T2643" s="60"/>
      <c r="U2643" s="112"/>
    </row>
    <row r="2644" spans="4:21" s="110" customFormat="1" ht="15.75" customHeight="1">
      <c r="D2644" s="113"/>
      <c r="E2644" s="60"/>
      <c r="F2644" s="60"/>
      <c r="G2644" s="60"/>
      <c r="H2644" s="60"/>
      <c r="I2644" s="60"/>
      <c r="J2644" s="114"/>
      <c r="K2644" s="60"/>
      <c r="L2644" s="109"/>
      <c r="M2644" s="109"/>
      <c r="N2644" s="109"/>
      <c r="O2644" s="109"/>
      <c r="P2644" s="109"/>
      <c r="Q2644" s="109"/>
      <c r="S2644" s="111"/>
      <c r="T2644" s="60"/>
      <c r="U2644" s="112"/>
    </row>
    <row r="2645" spans="4:21" s="110" customFormat="1" ht="15.75" customHeight="1">
      <c r="D2645" s="113"/>
      <c r="E2645" s="60"/>
      <c r="F2645" s="60"/>
      <c r="G2645" s="60"/>
      <c r="H2645" s="60"/>
      <c r="I2645" s="60"/>
      <c r="J2645" s="114"/>
      <c r="K2645" s="60"/>
      <c r="L2645" s="109"/>
      <c r="M2645" s="109"/>
      <c r="N2645" s="109"/>
      <c r="O2645" s="109"/>
      <c r="P2645" s="109"/>
      <c r="Q2645" s="109"/>
      <c r="S2645" s="111"/>
      <c r="T2645" s="60"/>
      <c r="U2645" s="112"/>
    </row>
    <row r="2646" spans="4:21" s="110" customFormat="1" ht="15.75" customHeight="1">
      <c r="D2646" s="113"/>
      <c r="E2646" s="60"/>
      <c r="F2646" s="60"/>
      <c r="G2646" s="60"/>
      <c r="H2646" s="60"/>
      <c r="I2646" s="60"/>
      <c r="J2646" s="114"/>
      <c r="K2646" s="60"/>
      <c r="L2646" s="109"/>
      <c r="M2646" s="109"/>
      <c r="N2646" s="109"/>
      <c r="O2646" s="109"/>
      <c r="P2646" s="109"/>
      <c r="Q2646" s="109"/>
      <c r="S2646" s="111"/>
      <c r="T2646" s="60"/>
      <c r="U2646" s="112"/>
    </row>
    <row r="2647" spans="4:21" s="110" customFormat="1" ht="15.75" customHeight="1">
      <c r="D2647" s="113"/>
      <c r="E2647" s="60"/>
      <c r="F2647" s="60"/>
      <c r="G2647" s="60"/>
      <c r="H2647" s="60"/>
      <c r="I2647" s="60"/>
      <c r="J2647" s="114"/>
      <c r="K2647" s="60"/>
      <c r="L2647" s="109"/>
      <c r="M2647" s="109"/>
      <c r="N2647" s="109"/>
      <c r="O2647" s="109"/>
      <c r="P2647" s="109"/>
      <c r="Q2647" s="109"/>
      <c r="S2647" s="111"/>
      <c r="T2647" s="60"/>
      <c r="U2647" s="112"/>
    </row>
    <row r="2648" spans="4:21" s="110" customFormat="1" ht="15.75" customHeight="1">
      <c r="D2648" s="113"/>
      <c r="E2648" s="60"/>
      <c r="F2648" s="60"/>
      <c r="G2648" s="60"/>
      <c r="H2648" s="60"/>
      <c r="I2648" s="60"/>
      <c r="J2648" s="114"/>
      <c r="K2648" s="60"/>
      <c r="L2648" s="109"/>
      <c r="M2648" s="109"/>
      <c r="N2648" s="109"/>
      <c r="O2648" s="109"/>
      <c r="P2648" s="109"/>
      <c r="Q2648" s="109"/>
      <c r="S2648" s="111"/>
      <c r="T2648" s="60"/>
      <c r="U2648" s="112"/>
    </row>
    <row r="2649" spans="4:21" s="110" customFormat="1" ht="15.75" customHeight="1">
      <c r="D2649" s="113"/>
      <c r="E2649" s="60"/>
      <c r="F2649" s="60"/>
      <c r="G2649" s="60"/>
      <c r="H2649" s="60"/>
      <c r="I2649" s="60"/>
      <c r="J2649" s="114"/>
      <c r="K2649" s="60"/>
      <c r="L2649" s="109"/>
      <c r="M2649" s="109"/>
      <c r="N2649" s="109"/>
      <c r="O2649" s="109"/>
      <c r="P2649" s="109"/>
      <c r="Q2649" s="109"/>
      <c r="S2649" s="111"/>
      <c r="T2649" s="60"/>
      <c r="U2649" s="112"/>
    </row>
    <row r="2650" spans="4:21" s="110" customFormat="1" ht="15.75" customHeight="1">
      <c r="D2650" s="113"/>
      <c r="E2650" s="60"/>
      <c r="F2650" s="60"/>
      <c r="G2650" s="60"/>
      <c r="H2650" s="60"/>
      <c r="I2650" s="60"/>
      <c r="J2650" s="114"/>
      <c r="K2650" s="60"/>
      <c r="L2650" s="109"/>
      <c r="M2650" s="109"/>
      <c r="N2650" s="109"/>
      <c r="O2650" s="109"/>
      <c r="P2650" s="109"/>
      <c r="Q2650" s="109"/>
      <c r="S2650" s="111"/>
      <c r="T2650" s="60"/>
      <c r="U2650" s="112"/>
    </row>
    <row r="2651" spans="4:21" s="110" customFormat="1" ht="15.75" customHeight="1">
      <c r="D2651" s="113"/>
      <c r="E2651" s="60"/>
      <c r="F2651" s="60"/>
      <c r="G2651" s="60"/>
      <c r="H2651" s="60"/>
      <c r="I2651" s="60"/>
      <c r="J2651" s="114"/>
      <c r="K2651" s="60"/>
      <c r="L2651" s="109"/>
      <c r="M2651" s="109"/>
      <c r="N2651" s="109"/>
      <c r="O2651" s="109"/>
      <c r="P2651" s="109"/>
      <c r="Q2651" s="109"/>
      <c r="S2651" s="111"/>
      <c r="T2651" s="60"/>
      <c r="U2651" s="112"/>
    </row>
    <row r="2652" spans="4:21" s="110" customFormat="1" ht="15.75" customHeight="1">
      <c r="D2652" s="113"/>
      <c r="E2652" s="60"/>
      <c r="F2652" s="60"/>
      <c r="G2652" s="60"/>
      <c r="H2652" s="60"/>
      <c r="I2652" s="60"/>
      <c r="J2652" s="114"/>
      <c r="K2652" s="60"/>
      <c r="L2652" s="109"/>
      <c r="M2652" s="109"/>
      <c r="N2652" s="109"/>
      <c r="O2652" s="109"/>
      <c r="P2652" s="109"/>
      <c r="Q2652" s="109"/>
      <c r="S2652" s="111"/>
      <c r="T2652" s="60"/>
      <c r="U2652" s="112"/>
    </row>
    <row r="2653" spans="4:21" s="110" customFormat="1" ht="15.75" customHeight="1">
      <c r="D2653" s="113"/>
      <c r="E2653" s="60"/>
      <c r="F2653" s="60"/>
      <c r="G2653" s="60"/>
      <c r="H2653" s="60"/>
      <c r="I2653" s="60"/>
      <c r="J2653" s="114"/>
      <c r="K2653" s="60"/>
      <c r="L2653" s="109"/>
      <c r="M2653" s="109"/>
      <c r="N2653" s="109"/>
      <c r="O2653" s="109"/>
      <c r="P2653" s="109"/>
      <c r="Q2653" s="109"/>
      <c r="S2653" s="111"/>
      <c r="T2653" s="60"/>
      <c r="U2653" s="112"/>
    </row>
    <row r="2654" spans="4:21" s="110" customFormat="1" ht="15.75" customHeight="1">
      <c r="D2654" s="113"/>
      <c r="E2654" s="60"/>
      <c r="F2654" s="60"/>
      <c r="G2654" s="60"/>
      <c r="H2654" s="60"/>
      <c r="I2654" s="60"/>
      <c r="J2654" s="114"/>
      <c r="K2654" s="60"/>
      <c r="L2654" s="109"/>
      <c r="M2654" s="109"/>
      <c r="N2654" s="109"/>
      <c r="O2654" s="109"/>
      <c r="P2654" s="109"/>
      <c r="Q2654" s="109"/>
      <c r="S2654" s="111"/>
      <c r="T2654" s="60"/>
      <c r="U2654" s="112"/>
    </row>
    <row r="2655" spans="4:21" s="110" customFormat="1" ht="15.75" customHeight="1">
      <c r="D2655" s="113"/>
      <c r="E2655" s="60"/>
      <c r="F2655" s="60"/>
      <c r="G2655" s="60"/>
      <c r="H2655" s="60"/>
      <c r="I2655" s="60"/>
      <c r="J2655" s="114"/>
      <c r="K2655" s="60"/>
      <c r="L2655" s="109"/>
      <c r="M2655" s="109"/>
      <c r="N2655" s="109"/>
      <c r="O2655" s="109"/>
      <c r="P2655" s="109"/>
      <c r="Q2655" s="109"/>
      <c r="S2655" s="111"/>
      <c r="T2655" s="60"/>
      <c r="U2655" s="112"/>
    </row>
    <row r="2656" spans="4:21" s="110" customFormat="1" ht="15.75" customHeight="1">
      <c r="D2656" s="113"/>
      <c r="E2656" s="60"/>
      <c r="F2656" s="60"/>
      <c r="G2656" s="60"/>
      <c r="H2656" s="60"/>
      <c r="I2656" s="60"/>
      <c r="J2656" s="114"/>
      <c r="K2656" s="60"/>
      <c r="L2656" s="109"/>
      <c r="M2656" s="109"/>
      <c r="N2656" s="109"/>
      <c r="O2656" s="109"/>
      <c r="P2656" s="109"/>
      <c r="Q2656" s="109"/>
      <c r="S2656" s="111"/>
      <c r="T2656" s="60"/>
      <c r="U2656" s="112"/>
    </row>
    <row r="2657" spans="4:21" s="110" customFormat="1" ht="15.75" customHeight="1">
      <c r="D2657" s="113"/>
      <c r="E2657" s="60"/>
      <c r="F2657" s="60"/>
      <c r="G2657" s="60"/>
      <c r="H2657" s="60"/>
      <c r="I2657" s="60"/>
      <c r="J2657" s="114"/>
      <c r="K2657" s="60"/>
      <c r="L2657" s="109"/>
      <c r="M2657" s="109"/>
      <c r="N2657" s="109"/>
      <c r="O2657" s="109"/>
      <c r="P2657" s="109"/>
      <c r="Q2657" s="109"/>
      <c r="S2657" s="111"/>
      <c r="T2657" s="60"/>
      <c r="U2657" s="112"/>
    </row>
    <row r="2658" spans="4:21" s="110" customFormat="1" ht="15.75" customHeight="1">
      <c r="D2658" s="113"/>
      <c r="E2658" s="60"/>
      <c r="F2658" s="60"/>
      <c r="G2658" s="60"/>
      <c r="H2658" s="60"/>
      <c r="I2658" s="60"/>
      <c r="J2658" s="114"/>
      <c r="K2658" s="60"/>
      <c r="L2658" s="109"/>
      <c r="M2658" s="109"/>
      <c r="N2658" s="109"/>
      <c r="O2658" s="109"/>
      <c r="P2658" s="109"/>
      <c r="Q2658" s="109"/>
      <c r="S2658" s="111"/>
      <c r="T2658" s="60"/>
      <c r="U2658" s="112"/>
    </row>
    <row r="2659" spans="4:21" s="110" customFormat="1" ht="15.75" customHeight="1">
      <c r="D2659" s="113"/>
      <c r="E2659" s="60"/>
      <c r="F2659" s="60"/>
      <c r="G2659" s="60"/>
      <c r="H2659" s="60"/>
      <c r="I2659" s="60"/>
      <c r="J2659" s="114"/>
      <c r="K2659" s="60"/>
      <c r="L2659" s="109"/>
      <c r="M2659" s="109"/>
      <c r="N2659" s="109"/>
      <c r="O2659" s="109"/>
      <c r="P2659" s="109"/>
      <c r="Q2659" s="109"/>
      <c r="S2659" s="111"/>
      <c r="T2659" s="60"/>
      <c r="U2659" s="112"/>
    </row>
    <row r="2660" spans="4:21" s="110" customFormat="1" ht="15.75" customHeight="1">
      <c r="D2660" s="113"/>
      <c r="E2660" s="60"/>
      <c r="F2660" s="60"/>
      <c r="G2660" s="60"/>
      <c r="H2660" s="60"/>
      <c r="I2660" s="60"/>
      <c r="J2660" s="114"/>
      <c r="K2660" s="60"/>
      <c r="L2660" s="109"/>
      <c r="M2660" s="109"/>
      <c r="N2660" s="109"/>
      <c r="O2660" s="109"/>
      <c r="P2660" s="109"/>
      <c r="Q2660" s="109"/>
      <c r="S2660" s="111"/>
      <c r="T2660" s="60"/>
      <c r="U2660" s="112"/>
    </row>
    <row r="2661" spans="4:21" s="110" customFormat="1" ht="15.75" customHeight="1">
      <c r="D2661" s="113"/>
      <c r="E2661" s="60"/>
      <c r="F2661" s="60"/>
      <c r="G2661" s="60"/>
      <c r="H2661" s="60"/>
      <c r="I2661" s="60"/>
      <c r="J2661" s="114"/>
      <c r="K2661" s="60"/>
      <c r="L2661" s="109"/>
      <c r="M2661" s="109"/>
      <c r="N2661" s="109"/>
      <c r="O2661" s="109"/>
      <c r="P2661" s="109"/>
      <c r="Q2661" s="109"/>
      <c r="S2661" s="111"/>
      <c r="T2661" s="60"/>
      <c r="U2661" s="112"/>
    </row>
    <row r="2662" spans="4:21" s="110" customFormat="1" ht="15.75" customHeight="1">
      <c r="D2662" s="113"/>
      <c r="E2662" s="60"/>
      <c r="F2662" s="60"/>
      <c r="G2662" s="60"/>
      <c r="H2662" s="60"/>
      <c r="I2662" s="60"/>
      <c r="J2662" s="114"/>
      <c r="K2662" s="60"/>
      <c r="L2662" s="109"/>
      <c r="M2662" s="109"/>
      <c r="N2662" s="109"/>
      <c r="O2662" s="109"/>
      <c r="P2662" s="109"/>
      <c r="Q2662" s="109"/>
      <c r="S2662" s="111"/>
      <c r="T2662" s="60"/>
      <c r="U2662" s="112"/>
    </row>
    <row r="2663" spans="4:21" s="110" customFormat="1" ht="15.75" customHeight="1">
      <c r="D2663" s="113"/>
      <c r="E2663" s="60"/>
      <c r="F2663" s="60"/>
      <c r="G2663" s="60"/>
      <c r="H2663" s="60"/>
      <c r="I2663" s="60"/>
      <c r="J2663" s="114"/>
      <c r="K2663" s="60"/>
      <c r="L2663" s="109"/>
      <c r="M2663" s="109"/>
      <c r="N2663" s="109"/>
      <c r="O2663" s="109"/>
      <c r="P2663" s="109"/>
      <c r="Q2663" s="109"/>
      <c r="S2663" s="111"/>
      <c r="T2663" s="60"/>
      <c r="U2663" s="112"/>
    </row>
    <row r="2664" spans="4:21" s="110" customFormat="1" ht="15.75" customHeight="1">
      <c r="D2664" s="113"/>
      <c r="E2664" s="60"/>
      <c r="F2664" s="60"/>
      <c r="G2664" s="60"/>
      <c r="H2664" s="60"/>
      <c r="I2664" s="60"/>
      <c r="J2664" s="114"/>
      <c r="K2664" s="60"/>
      <c r="L2664" s="109"/>
      <c r="M2664" s="109"/>
      <c r="N2664" s="109"/>
      <c r="O2664" s="109"/>
      <c r="P2664" s="109"/>
      <c r="Q2664" s="109"/>
      <c r="S2664" s="111"/>
      <c r="T2664" s="60"/>
      <c r="U2664" s="112"/>
    </row>
    <row r="2665" spans="4:21" s="110" customFormat="1" ht="15.75" customHeight="1">
      <c r="D2665" s="113"/>
      <c r="E2665" s="60"/>
      <c r="F2665" s="60"/>
      <c r="G2665" s="60"/>
      <c r="H2665" s="60"/>
      <c r="I2665" s="60"/>
      <c r="J2665" s="114"/>
      <c r="K2665" s="60"/>
      <c r="L2665" s="109"/>
      <c r="M2665" s="109"/>
      <c r="N2665" s="109"/>
      <c r="O2665" s="109"/>
      <c r="P2665" s="109"/>
      <c r="Q2665" s="109"/>
      <c r="S2665" s="111"/>
      <c r="T2665" s="60"/>
      <c r="U2665" s="112"/>
    </row>
    <row r="2666" spans="4:21" s="110" customFormat="1" ht="15.75" customHeight="1">
      <c r="D2666" s="113"/>
      <c r="E2666" s="60"/>
      <c r="F2666" s="60"/>
      <c r="G2666" s="60"/>
      <c r="H2666" s="60"/>
      <c r="I2666" s="60"/>
      <c r="J2666" s="114"/>
      <c r="K2666" s="60"/>
      <c r="L2666" s="109"/>
      <c r="M2666" s="109"/>
      <c r="N2666" s="109"/>
      <c r="O2666" s="109"/>
      <c r="P2666" s="109"/>
      <c r="Q2666" s="109"/>
      <c r="S2666" s="111"/>
      <c r="T2666" s="60"/>
      <c r="U2666" s="112"/>
    </row>
    <row r="2667" spans="4:21" s="110" customFormat="1" ht="15.75" customHeight="1">
      <c r="D2667" s="113"/>
      <c r="E2667" s="60"/>
      <c r="F2667" s="60"/>
      <c r="G2667" s="60"/>
      <c r="H2667" s="60"/>
      <c r="I2667" s="60"/>
      <c r="J2667" s="114"/>
      <c r="K2667" s="60"/>
      <c r="L2667" s="109"/>
      <c r="M2667" s="109"/>
      <c r="N2667" s="109"/>
      <c r="O2667" s="109"/>
      <c r="P2667" s="109"/>
      <c r="Q2667" s="109"/>
      <c r="S2667" s="111"/>
      <c r="T2667" s="60"/>
      <c r="U2667" s="112"/>
    </row>
    <row r="2668" spans="4:21" s="110" customFormat="1" ht="15.75" customHeight="1">
      <c r="D2668" s="113"/>
      <c r="E2668" s="60"/>
      <c r="F2668" s="60"/>
      <c r="G2668" s="60"/>
      <c r="H2668" s="60"/>
      <c r="I2668" s="60"/>
      <c r="J2668" s="114"/>
      <c r="K2668" s="60"/>
      <c r="L2668" s="109"/>
      <c r="M2668" s="109"/>
      <c r="N2668" s="109"/>
      <c r="O2668" s="109"/>
      <c r="P2668" s="109"/>
      <c r="Q2668" s="109"/>
      <c r="S2668" s="111"/>
      <c r="T2668" s="60"/>
      <c r="U2668" s="112"/>
    </row>
    <row r="2669" spans="4:21" s="110" customFormat="1" ht="15.75" customHeight="1">
      <c r="D2669" s="113"/>
      <c r="E2669" s="60"/>
      <c r="F2669" s="60"/>
      <c r="G2669" s="60"/>
      <c r="H2669" s="60"/>
      <c r="I2669" s="60"/>
      <c r="J2669" s="114"/>
      <c r="K2669" s="60"/>
      <c r="L2669" s="109"/>
      <c r="M2669" s="109"/>
      <c r="N2669" s="109"/>
      <c r="O2669" s="109"/>
      <c r="P2669" s="109"/>
      <c r="Q2669" s="109"/>
      <c r="S2669" s="111"/>
      <c r="T2669" s="60"/>
      <c r="U2669" s="112"/>
    </row>
    <row r="2670" spans="4:21" s="110" customFormat="1" ht="15.75" customHeight="1">
      <c r="D2670" s="113"/>
      <c r="E2670" s="60"/>
      <c r="F2670" s="60"/>
      <c r="G2670" s="60"/>
      <c r="H2670" s="60"/>
      <c r="I2670" s="60"/>
      <c r="J2670" s="114"/>
      <c r="K2670" s="60"/>
      <c r="L2670" s="109"/>
      <c r="M2670" s="109"/>
      <c r="N2670" s="109"/>
      <c r="O2670" s="109"/>
      <c r="P2670" s="109"/>
      <c r="Q2670" s="109"/>
      <c r="S2670" s="111"/>
      <c r="T2670" s="60"/>
      <c r="U2670" s="112"/>
    </row>
    <row r="2671" spans="4:21" s="110" customFormat="1" ht="15.75" customHeight="1">
      <c r="D2671" s="113"/>
      <c r="E2671" s="60"/>
      <c r="F2671" s="60"/>
      <c r="G2671" s="60"/>
      <c r="H2671" s="60"/>
      <c r="I2671" s="60"/>
      <c r="J2671" s="114"/>
      <c r="K2671" s="60"/>
      <c r="L2671" s="109"/>
      <c r="M2671" s="109"/>
      <c r="N2671" s="109"/>
      <c r="O2671" s="109"/>
      <c r="P2671" s="109"/>
      <c r="Q2671" s="109"/>
      <c r="S2671" s="111"/>
      <c r="T2671" s="60"/>
      <c r="U2671" s="112"/>
    </row>
    <row r="2672" spans="4:21" s="110" customFormat="1" ht="15.75" customHeight="1">
      <c r="D2672" s="113"/>
      <c r="E2672" s="60"/>
      <c r="F2672" s="60"/>
      <c r="G2672" s="60"/>
      <c r="H2672" s="60"/>
      <c r="I2672" s="60"/>
      <c r="J2672" s="114"/>
      <c r="K2672" s="60"/>
      <c r="L2672" s="109"/>
      <c r="M2672" s="109"/>
      <c r="N2672" s="109"/>
      <c r="O2672" s="109"/>
      <c r="P2672" s="109"/>
      <c r="Q2672" s="109"/>
      <c r="S2672" s="111"/>
      <c r="T2672" s="60"/>
      <c r="U2672" s="112"/>
    </row>
    <row r="2673" spans="4:21" s="110" customFormat="1" ht="15.75" customHeight="1">
      <c r="D2673" s="113"/>
      <c r="E2673" s="60"/>
      <c r="F2673" s="60"/>
      <c r="G2673" s="60"/>
      <c r="H2673" s="60"/>
      <c r="I2673" s="60"/>
      <c r="J2673" s="114"/>
      <c r="K2673" s="60"/>
      <c r="L2673" s="109"/>
      <c r="M2673" s="109"/>
      <c r="N2673" s="109"/>
      <c r="O2673" s="109"/>
      <c r="P2673" s="109"/>
      <c r="Q2673" s="109"/>
      <c r="S2673" s="111"/>
      <c r="T2673" s="60"/>
      <c r="U2673" s="112"/>
    </row>
    <row r="2674" spans="4:21" s="110" customFormat="1" ht="15.75" customHeight="1">
      <c r="D2674" s="113"/>
      <c r="E2674" s="60"/>
      <c r="F2674" s="60"/>
      <c r="G2674" s="60"/>
      <c r="H2674" s="60"/>
      <c r="I2674" s="60"/>
      <c r="J2674" s="114"/>
      <c r="K2674" s="60"/>
      <c r="L2674" s="109"/>
      <c r="M2674" s="109"/>
      <c r="N2674" s="109"/>
      <c r="O2674" s="109"/>
      <c r="P2674" s="109"/>
      <c r="Q2674" s="109"/>
      <c r="S2674" s="111"/>
      <c r="T2674" s="60"/>
      <c r="U2674" s="112"/>
    </row>
    <row r="2675" spans="4:21" s="110" customFormat="1" ht="15.75" customHeight="1">
      <c r="D2675" s="113"/>
      <c r="E2675" s="60"/>
      <c r="F2675" s="60"/>
      <c r="G2675" s="60"/>
      <c r="H2675" s="60"/>
      <c r="I2675" s="60"/>
      <c r="J2675" s="114"/>
      <c r="K2675" s="60"/>
      <c r="L2675" s="109"/>
      <c r="M2675" s="109"/>
      <c r="N2675" s="109"/>
      <c r="O2675" s="109"/>
      <c r="P2675" s="109"/>
      <c r="Q2675" s="109"/>
      <c r="S2675" s="111"/>
      <c r="T2675" s="60"/>
      <c r="U2675" s="112"/>
    </row>
    <row r="2676" spans="4:21" s="110" customFormat="1" ht="15.75" customHeight="1">
      <c r="D2676" s="113"/>
      <c r="E2676" s="60"/>
      <c r="F2676" s="60"/>
      <c r="G2676" s="60"/>
      <c r="H2676" s="60"/>
      <c r="I2676" s="60"/>
      <c r="J2676" s="114"/>
      <c r="K2676" s="60"/>
      <c r="L2676" s="109"/>
      <c r="M2676" s="109"/>
      <c r="N2676" s="109"/>
      <c r="O2676" s="109"/>
      <c r="P2676" s="109"/>
      <c r="Q2676" s="109"/>
      <c r="S2676" s="111"/>
      <c r="T2676" s="60"/>
      <c r="U2676" s="112"/>
    </row>
    <row r="2677" spans="4:21" s="110" customFormat="1" ht="15.75" customHeight="1">
      <c r="D2677" s="113"/>
      <c r="E2677" s="60"/>
      <c r="F2677" s="60"/>
      <c r="G2677" s="60"/>
      <c r="H2677" s="60"/>
      <c r="I2677" s="60"/>
      <c r="J2677" s="114"/>
      <c r="K2677" s="60"/>
      <c r="L2677" s="109"/>
      <c r="M2677" s="109"/>
      <c r="N2677" s="109"/>
      <c r="O2677" s="109"/>
      <c r="P2677" s="109"/>
      <c r="Q2677" s="109"/>
      <c r="S2677" s="111"/>
      <c r="T2677" s="60"/>
      <c r="U2677" s="112"/>
    </row>
    <row r="2678" spans="4:21" s="110" customFormat="1" ht="15.75" customHeight="1">
      <c r="D2678" s="113"/>
      <c r="E2678" s="60"/>
      <c r="F2678" s="60"/>
      <c r="G2678" s="60"/>
      <c r="H2678" s="60"/>
      <c r="I2678" s="60"/>
      <c r="J2678" s="114"/>
      <c r="K2678" s="60"/>
      <c r="L2678" s="109"/>
      <c r="M2678" s="109"/>
      <c r="N2678" s="109"/>
      <c r="O2678" s="109"/>
      <c r="P2678" s="109"/>
      <c r="Q2678" s="109"/>
      <c r="S2678" s="111"/>
      <c r="T2678" s="60"/>
      <c r="U2678" s="112"/>
    </row>
    <row r="2679" spans="4:21" s="110" customFormat="1" ht="15.75" customHeight="1">
      <c r="D2679" s="113"/>
      <c r="E2679" s="60"/>
      <c r="F2679" s="60"/>
      <c r="G2679" s="60"/>
      <c r="H2679" s="60"/>
      <c r="I2679" s="60"/>
      <c r="J2679" s="114"/>
      <c r="K2679" s="60"/>
      <c r="L2679" s="109"/>
      <c r="M2679" s="109"/>
      <c r="N2679" s="109"/>
      <c r="O2679" s="109"/>
      <c r="P2679" s="109"/>
      <c r="Q2679" s="109"/>
      <c r="S2679" s="111"/>
      <c r="T2679" s="60"/>
      <c r="U2679" s="112"/>
    </row>
    <row r="2680" spans="4:21" s="110" customFormat="1" ht="15.75" customHeight="1">
      <c r="D2680" s="113"/>
      <c r="E2680" s="60"/>
      <c r="F2680" s="60"/>
      <c r="G2680" s="60"/>
      <c r="H2680" s="60"/>
      <c r="I2680" s="60"/>
      <c r="J2680" s="114"/>
      <c r="K2680" s="60"/>
      <c r="L2680" s="109"/>
      <c r="M2680" s="109"/>
      <c r="N2680" s="109"/>
      <c r="O2680" s="109"/>
      <c r="P2680" s="109"/>
      <c r="Q2680" s="109"/>
      <c r="S2680" s="111"/>
      <c r="T2680" s="60"/>
      <c r="U2680" s="112"/>
    </row>
    <row r="2681" spans="4:21" s="110" customFormat="1" ht="15.75" customHeight="1">
      <c r="D2681" s="113"/>
      <c r="E2681" s="60"/>
      <c r="F2681" s="60"/>
      <c r="G2681" s="60"/>
      <c r="H2681" s="60"/>
      <c r="I2681" s="60"/>
      <c r="J2681" s="114"/>
      <c r="K2681" s="60"/>
      <c r="L2681" s="109"/>
      <c r="M2681" s="109"/>
      <c r="N2681" s="109"/>
      <c r="O2681" s="109"/>
      <c r="P2681" s="109"/>
      <c r="Q2681" s="109"/>
      <c r="S2681" s="111"/>
      <c r="T2681" s="60"/>
      <c r="U2681" s="112"/>
    </row>
    <row r="2682" spans="4:21" s="110" customFormat="1" ht="15.75" customHeight="1">
      <c r="D2682" s="113"/>
      <c r="E2682" s="60"/>
      <c r="F2682" s="60"/>
      <c r="G2682" s="60"/>
      <c r="H2682" s="60"/>
      <c r="I2682" s="60"/>
      <c r="J2682" s="114"/>
      <c r="K2682" s="60"/>
      <c r="L2682" s="109"/>
      <c r="M2682" s="109"/>
      <c r="N2682" s="109"/>
      <c r="O2682" s="109"/>
      <c r="P2682" s="109"/>
      <c r="Q2682" s="109"/>
      <c r="S2682" s="111"/>
      <c r="T2682" s="60"/>
      <c r="U2682" s="112"/>
    </row>
    <row r="2683" spans="4:21" s="110" customFormat="1" ht="15.75" customHeight="1">
      <c r="D2683" s="113"/>
      <c r="E2683" s="60"/>
      <c r="F2683" s="60"/>
      <c r="G2683" s="60"/>
      <c r="H2683" s="60"/>
      <c r="I2683" s="60"/>
      <c r="J2683" s="114"/>
      <c r="K2683" s="60"/>
      <c r="L2683" s="109"/>
      <c r="M2683" s="109"/>
      <c r="N2683" s="109"/>
      <c r="O2683" s="109"/>
      <c r="P2683" s="109"/>
      <c r="Q2683" s="109"/>
      <c r="S2683" s="111"/>
      <c r="T2683" s="60"/>
      <c r="U2683" s="112"/>
    </row>
    <row r="2684" spans="4:21" s="110" customFormat="1" ht="15.75" customHeight="1">
      <c r="D2684" s="113"/>
      <c r="E2684" s="60"/>
      <c r="F2684" s="60"/>
      <c r="G2684" s="60"/>
      <c r="H2684" s="60"/>
      <c r="I2684" s="60"/>
      <c r="J2684" s="114"/>
      <c r="K2684" s="60"/>
      <c r="L2684" s="109"/>
      <c r="M2684" s="109"/>
      <c r="N2684" s="109"/>
      <c r="O2684" s="109"/>
      <c r="P2684" s="109"/>
      <c r="Q2684" s="109"/>
      <c r="S2684" s="111"/>
      <c r="T2684" s="60"/>
      <c r="U2684" s="112"/>
    </row>
    <row r="2685" spans="4:21" s="110" customFormat="1" ht="15.75" customHeight="1">
      <c r="D2685" s="113"/>
      <c r="E2685" s="60"/>
      <c r="F2685" s="60"/>
      <c r="G2685" s="60"/>
      <c r="H2685" s="60"/>
      <c r="I2685" s="60"/>
      <c r="J2685" s="114"/>
      <c r="K2685" s="60"/>
      <c r="L2685" s="109"/>
      <c r="M2685" s="109"/>
      <c r="N2685" s="109"/>
      <c r="O2685" s="109"/>
      <c r="P2685" s="109"/>
      <c r="Q2685" s="109"/>
      <c r="S2685" s="111"/>
      <c r="T2685" s="60"/>
      <c r="U2685" s="112"/>
    </row>
    <row r="2686" spans="4:21" s="110" customFormat="1" ht="15.75" customHeight="1">
      <c r="D2686" s="113"/>
      <c r="E2686" s="60"/>
      <c r="F2686" s="60"/>
      <c r="G2686" s="60"/>
      <c r="H2686" s="60"/>
      <c r="I2686" s="60"/>
      <c r="J2686" s="114"/>
      <c r="K2686" s="60"/>
      <c r="L2686" s="109"/>
      <c r="M2686" s="109"/>
      <c r="N2686" s="109"/>
      <c r="O2686" s="109"/>
      <c r="P2686" s="109"/>
      <c r="Q2686" s="109"/>
      <c r="S2686" s="111"/>
      <c r="T2686" s="60"/>
      <c r="U2686" s="112"/>
    </row>
    <row r="2687" spans="4:21" s="110" customFormat="1" ht="15.75" customHeight="1">
      <c r="D2687" s="113"/>
      <c r="E2687" s="60"/>
      <c r="F2687" s="60"/>
      <c r="G2687" s="60"/>
      <c r="H2687" s="60"/>
      <c r="I2687" s="60"/>
      <c r="J2687" s="114"/>
      <c r="K2687" s="60"/>
      <c r="L2687" s="109"/>
      <c r="M2687" s="109"/>
      <c r="N2687" s="109"/>
      <c r="O2687" s="109"/>
      <c r="P2687" s="109"/>
      <c r="Q2687" s="109"/>
      <c r="S2687" s="111"/>
      <c r="T2687" s="60"/>
      <c r="U2687" s="112"/>
    </row>
    <row r="2688" spans="4:21" s="110" customFormat="1" ht="15.75" customHeight="1">
      <c r="D2688" s="113"/>
      <c r="E2688" s="60"/>
      <c r="F2688" s="60"/>
      <c r="G2688" s="60"/>
      <c r="H2688" s="60"/>
      <c r="I2688" s="60"/>
      <c r="J2688" s="114"/>
      <c r="K2688" s="60"/>
      <c r="L2688" s="109"/>
      <c r="M2688" s="109"/>
      <c r="N2688" s="109"/>
      <c r="O2688" s="109"/>
      <c r="P2688" s="109"/>
      <c r="Q2688" s="109"/>
      <c r="S2688" s="111"/>
      <c r="T2688" s="60"/>
      <c r="U2688" s="112"/>
    </row>
    <row r="2689" spans="4:21" s="110" customFormat="1" ht="15.75" customHeight="1">
      <c r="D2689" s="113"/>
      <c r="E2689" s="60"/>
      <c r="F2689" s="60"/>
      <c r="G2689" s="60"/>
      <c r="H2689" s="60"/>
      <c r="I2689" s="60"/>
      <c r="J2689" s="114"/>
      <c r="K2689" s="60"/>
      <c r="L2689" s="109"/>
      <c r="M2689" s="109"/>
      <c r="N2689" s="109"/>
      <c r="O2689" s="109"/>
      <c r="P2689" s="109"/>
      <c r="Q2689" s="109"/>
      <c r="S2689" s="111"/>
      <c r="T2689" s="60"/>
      <c r="U2689" s="112"/>
    </row>
    <row r="2690" spans="4:21" s="110" customFormat="1" ht="15.75" customHeight="1">
      <c r="D2690" s="113"/>
      <c r="E2690" s="60"/>
      <c r="F2690" s="60"/>
      <c r="G2690" s="60"/>
      <c r="H2690" s="60"/>
      <c r="I2690" s="60"/>
      <c r="J2690" s="114"/>
      <c r="K2690" s="60"/>
      <c r="L2690" s="109"/>
      <c r="M2690" s="109"/>
      <c r="N2690" s="109"/>
      <c r="O2690" s="109"/>
      <c r="P2690" s="109"/>
      <c r="Q2690" s="109"/>
      <c r="S2690" s="111"/>
      <c r="T2690" s="60"/>
      <c r="U2690" s="112"/>
    </row>
    <row r="2691" spans="4:21" s="110" customFormat="1" ht="15.75" customHeight="1">
      <c r="D2691" s="113"/>
      <c r="E2691" s="60"/>
      <c r="F2691" s="60"/>
      <c r="G2691" s="60"/>
      <c r="H2691" s="60"/>
      <c r="I2691" s="60"/>
      <c r="J2691" s="114"/>
      <c r="K2691" s="60"/>
      <c r="L2691" s="109"/>
      <c r="M2691" s="109"/>
      <c r="N2691" s="109"/>
      <c r="O2691" s="109"/>
      <c r="P2691" s="109"/>
      <c r="Q2691" s="109"/>
      <c r="S2691" s="111"/>
      <c r="T2691" s="60"/>
      <c r="U2691" s="112"/>
    </row>
    <row r="2692" spans="4:21" s="110" customFormat="1" ht="15.75" customHeight="1">
      <c r="D2692" s="113"/>
      <c r="E2692" s="60"/>
      <c r="F2692" s="60"/>
      <c r="G2692" s="60"/>
      <c r="H2692" s="60"/>
      <c r="I2692" s="60"/>
      <c r="J2692" s="114"/>
      <c r="K2692" s="60"/>
      <c r="L2692" s="109"/>
      <c r="M2692" s="109"/>
      <c r="N2692" s="109"/>
      <c r="O2692" s="109"/>
      <c r="P2692" s="109"/>
      <c r="Q2692" s="109"/>
      <c r="S2692" s="111"/>
      <c r="T2692" s="60"/>
      <c r="U2692" s="112"/>
    </row>
    <row r="2693" spans="4:21" s="110" customFormat="1" ht="15.75" customHeight="1">
      <c r="D2693" s="113"/>
      <c r="E2693" s="60"/>
      <c r="F2693" s="60"/>
      <c r="G2693" s="60"/>
      <c r="H2693" s="60"/>
      <c r="I2693" s="60"/>
      <c r="J2693" s="114"/>
      <c r="K2693" s="60"/>
      <c r="L2693" s="109"/>
      <c r="M2693" s="109"/>
      <c r="N2693" s="109"/>
      <c r="O2693" s="109"/>
      <c r="P2693" s="109"/>
      <c r="Q2693" s="109"/>
      <c r="S2693" s="111"/>
      <c r="T2693" s="60"/>
      <c r="U2693" s="112"/>
    </row>
    <row r="2694" spans="4:21" s="110" customFormat="1" ht="15.75" customHeight="1">
      <c r="D2694" s="113"/>
      <c r="E2694" s="60"/>
      <c r="F2694" s="60"/>
      <c r="G2694" s="60"/>
      <c r="H2694" s="60"/>
      <c r="I2694" s="60"/>
      <c r="J2694" s="114"/>
      <c r="K2694" s="60"/>
      <c r="L2694" s="109"/>
      <c r="M2694" s="109"/>
      <c r="N2694" s="109"/>
      <c r="O2694" s="109"/>
      <c r="P2694" s="109"/>
      <c r="Q2694" s="109"/>
      <c r="S2694" s="111"/>
      <c r="T2694" s="60"/>
      <c r="U2694" s="112"/>
    </row>
    <row r="2695" spans="4:21" s="110" customFormat="1" ht="15.75" customHeight="1">
      <c r="D2695" s="113"/>
      <c r="E2695" s="60"/>
      <c r="F2695" s="60"/>
      <c r="G2695" s="60"/>
      <c r="H2695" s="60"/>
      <c r="I2695" s="60"/>
      <c r="J2695" s="114"/>
      <c r="K2695" s="60"/>
      <c r="L2695" s="109"/>
      <c r="M2695" s="109"/>
      <c r="N2695" s="109"/>
      <c r="O2695" s="109"/>
      <c r="P2695" s="109"/>
      <c r="Q2695" s="109"/>
      <c r="S2695" s="111"/>
      <c r="T2695" s="60"/>
      <c r="U2695" s="112"/>
    </row>
    <row r="2696" spans="4:21" s="110" customFormat="1" ht="15.75" customHeight="1">
      <c r="D2696" s="113"/>
      <c r="E2696" s="60"/>
      <c r="F2696" s="60"/>
      <c r="G2696" s="60"/>
      <c r="H2696" s="60"/>
      <c r="I2696" s="60"/>
      <c r="J2696" s="114"/>
      <c r="K2696" s="60"/>
      <c r="L2696" s="109"/>
      <c r="M2696" s="109"/>
      <c r="N2696" s="109"/>
      <c r="O2696" s="109"/>
      <c r="P2696" s="109"/>
      <c r="Q2696" s="109"/>
      <c r="S2696" s="111"/>
      <c r="T2696" s="60"/>
      <c r="U2696" s="112"/>
    </row>
    <row r="2697" spans="4:21" s="110" customFormat="1" ht="15.75" customHeight="1">
      <c r="D2697" s="113"/>
      <c r="E2697" s="60"/>
      <c r="F2697" s="60"/>
      <c r="G2697" s="60"/>
      <c r="H2697" s="60"/>
      <c r="I2697" s="60"/>
      <c r="J2697" s="114"/>
      <c r="K2697" s="60"/>
      <c r="L2697" s="109"/>
      <c r="M2697" s="109"/>
      <c r="N2697" s="109"/>
      <c r="O2697" s="109"/>
      <c r="P2697" s="109"/>
      <c r="Q2697" s="109"/>
      <c r="S2697" s="111"/>
      <c r="T2697" s="60"/>
      <c r="U2697" s="112"/>
    </row>
    <row r="2698" spans="4:21" s="110" customFormat="1" ht="15.75" customHeight="1">
      <c r="D2698" s="113"/>
      <c r="E2698" s="60"/>
      <c r="F2698" s="60"/>
      <c r="G2698" s="60"/>
      <c r="H2698" s="60"/>
      <c r="I2698" s="60"/>
      <c r="J2698" s="114"/>
      <c r="K2698" s="60"/>
      <c r="L2698" s="109"/>
      <c r="M2698" s="109"/>
      <c r="N2698" s="109"/>
      <c r="O2698" s="109"/>
      <c r="P2698" s="109"/>
      <c r="Q2698" s="109"/>
      <c r="S2698" s="111"/>
      <c r="T2698" s="60"/>
      <c r="U2698" s="112"/>
    </row>
    <row r="2699" spans="4:21" s="110" customFormat="1" ht="15.75" customHeight="1">
      <c r="D2699" s="113"/>
      <c r="E2699" s="60"/>
      <c r="F2699" s="60"/>
      <c r="G2699" s="60"/>
      <c r="H2699" s="60"/>
      <c r="I2699" s="60"/>
      <c r="J2699" s="114"/>
      <c r="K2699" s="60"/>
      <c r="L2699" s="109"/>
      <c r="M2699" s="109"/>
      <c r="N2699" s="109"/>
      <c r="O2699" s="109"/>
      <c r="P2699" s="109"/>
      <c r="Q2699" s="109"/>
      <c r="S2699" s="111"/>
      <c r="T2699" s="60"/>
      <c r="U2699" s="112"/>
    </row>
    <row r="2700" spans="4:21" s="110" customFormat="1" ht="15.75" customHeight="1">
      <c r="D2700" s="113"/>
      <c r="E2700" s="60"/>
      <c r="F2700" s="60"/>
      <c r="G2700" s="60"/>
      <c r="H2700" s="60"/>
      <c r="I2700" s="60"/>
      <c r="J2700" s="114"/>
      <c r="K2700" s="60"/>
      <c r="L2700" s="109"/>
      <c r="M2700" s="109"/>
      <c r="N2700" s="109"/>
      <c r="O2700" s="109"/>
      <c r="P2700" s="109"/>
      <c r="Q2700" s="109"/>
      <c r="S2700" s="111"/>
      <c r="T2700" s="60"/>
      <c r="U2700" s="112"/>
    </row>
    <row r="2701" spans="4:21" s="110" customFormat="1" ht="15.75" customHeight="1">
      <c r="D2701" s="113"/>
      <c r="E2701" s="60"/>
      <c r="F2701" s="60"/>
      <c r="G2701" s="60"/>
      <c r="H2701" s="60"/>
      <c r="I2701" s="60"/>
      <c r="J2701" s="114"/>
      <c r="K2701" s="60"/>
      <c r="L2701" s="109"/>
      <c r="M2701" s="109"/>
      <c r="N2701" s="109"/>
      <c r="O2701" s="109"/>
      <c r="P2701" s="109"/>
      <c r="Q2701" s="109"/>
      <c r="S2701" s="111"/>
      <c r="T2701" s="60"/>
      <c r="U2701" s="112"/>
    </row>
    <row r="2702" spans="4:21" s="110" customFormat="1" ht="15.75" customHeight="1">
      <c r="D2702" s="113"/>
      <c r="E2702" s="60"/>
      <c r="F2702" s="60"/>
      <c r="G2702" s="60"/>
      <c r="H2702" s="60"/>
      <c r="I2702" s="60"/>
      <c r="J2702" s="114"/>
      <c r="K2702" s="60"/>
      <c r="L2702" s="109"/>
      <c r="M2702" s="109"/>
      <c r="N2702" s="109"/>
      <c r="O2702" s="109"/>
      <c r="P2702" s="109"/>
      <c r="Q2702" s="109"/>
      <c r="S2702" s="111"/>
      <c r="T2702" s="60"/>
      <c r="U2702" s="112"/>
    </row>
    <row r="2703" spans="4:21" s="110" customFormat="1" ht="15.75" customHeight="1">
      <c r="D2703" s="113"/>
      <c r="E2703" s="60"/>
      <c r="F2703" s="60"/>
      <c r="G2703" s="60"/>
      <c r="H2703" s="60"/>
      <c r="I2703" s="60"/>
      <c r="J2703" s="114"/>
      <c r="K2703" s="60"/>
      <c r="L2703" s="109"/>
      <c r="M2703" s="109"/>
      <c r="N2703" s="109"/>
      <c r="O2703" s="109"/>
      <c r="P2703" s="109"/>
      <c r="Q2703" s="109"/>
      <c r="S2703" s="111"/>
      <c r="T2703" s="60"/>
      <c r="U2703" s="112"/>
    </row>
    <row r="2704" spans="4:21" s="110" customFormat="1" ht="15.75" customHeight="1">
      <c r="D2704" s="113"/>
      <c r="E2704" s="60"/>
      <c r="F2704" s="60"/>
      <c r="G2704" s="60"/>
      <c r="H2704" s="60"/>
      <c r="I2704" s="60"/>
      <c r="J2704" s="114"/>
      <c r="K2704" s="60"/>
      <c r="L2704" s="109"/>
      <c r="M2704" s="109"/>
      <c r="N2704" s="109"/>
      <c r="O2704" s="109"/>
      <c r="P2704" s="109"/>
      <c r="Q2704" s="109"/>
      <c r="S2704" s="111"/>
      <c r="T2704" s="60"/>
      <c r="U2704" s="112"/>
    </row>
    <row r="2705" spans="4:21" s="110" customFormat="1" ht="15.75" customHeight="1">
      <c r="D2705" s="113"/>
      <c r="E2705" s="60"/>
      <c r="F2705" s="60"/>
      <c r="G2705" s="60"/>
      <c r="H2705" s="60"/>
      <c r="I2705" s="60"/>
      <c r="J2705" s="114"/>
      <c r="K2705" s="60"/>
      <c r="L2705" s="109"/>
      <c r="M2705" s="109"/>
      <c r="N2705" s="109"/>
      <c r="O2705" s="109"/>
      <c r="P2705" s="109"/>
      <c r="Q2705" s="109"/>
      <c r="S2705" s="111"/>
      <c r="T2705" s="60"/>
      <c r="U2705" s="112"/>
    </row>
    <row r="2706" spans="4:21" s="110" customFormat="1" ht="15.75" customHeight="1">
      <c r="D2706" s="113"/>
      <c r="E2706" s="60"/>
      <c r="F2706" s="60"/>
      <c r="G2706" s="60"/>
      <c r="H2706" s="60"/>
      <c r="I2706" s="60"/>
      <c r="J2706" s="114"/>
      <c r="K2706" s="60"/>
      <c r="L2706" s="109"/>
      <c r="M2706" s="109"/>
      <c r="N2706" s="109"/>
      <c r="O2706" s="109"/>
      <c r="P2706" s="109"/>
      <c r="Q2706" s="109"/>
      <c r="S2706" s="111"/>
      <c r="T2706" s="60"/>
      <c r="U2706" s="112"/>
    </row>
    <row r="2707" spans="4:21" s="110" customFormat="1" ht="15.75" customHeight="1">
      <c r="D2707" s="113"/>
      <c r="E2707" s="60"/>
      <c r="F2707" s="60"/>
      <c r="G2707" s="60"/>
      <c r="H2707" s="60"/>
      <c r="I2707" s="60"/>
      <c r="J2707" s="114"/>
      <c r="K2707" s="60"/>
      <c r="L2707" s="109"/>
      <c r="M2707" s="109"/>
      <c r="N2707" s="109"/>
      <c r="O2707" s="109"/>
      <c r="P2707" s="109"/>
      <c r="Q2707" s="109"/>
      <c r="S2707" s="111"/>
      <c r="T2707" s="60"/>
      <c r="U2707" s="112"/>
    </row>
    <row r="2708" spans="4:21" s="110" customFormat="1" ht="15.75" customHeight="1">
      <c r="D2708" s="113"/>
      <c r="E2708" s="60"/>
      <c r="F2708" s="60"/>
      <c r="G2708" s="60"/>
      <c r="H2708" s="60"/>
      <c r="I2708" s="60"/>
      <c r="J2708" s="114"/>
      <c r="K2708" s="60"/>
      <c r="L2708" s="109"/>
      <c r="M2708" s="109"/>
      <c r="N2708" s="109"/>
      <c r="O2708" s="109"/>
      <c r="P2708" s="109"/>
      <c r="Q2708" s="109"/>
      <c r="S2708" s="111"/>
      <c r="T2708" s="60"/>
      <c r="U2708" s="112"/>
    </row>
    <row r="2709" spans="4:21" s="110" customFormat="1" ht="15.75" customHeight="1">
      <c r="D2709" s="113"/>
      <c r="E2709" s="60"/>
      <c r="F2709" s="60"/>
      <c r="G2709" s="60"/>
      <c r="H2709" s="60"/>
      <c r="I2709" s="60"/>
      <c r="J2709" s="114"/>
      <c r="K2709" s="60"/>
      <c r="L2709" s="109"/>
      <c r="M2709" s="109"/>
      <c r="N2709" s="109"/>
      <c r="O2709" s="109"/>
      <c r="P2709" s="109"/>
      <c r="Q2709" s="109"/>
      <c r="S2709" s="111"/>
      <c r="T2709" s="60"/>
      <c r="U2709" s="112"/>
    </row>
    <row r="2710" spans="4:21" s="110" customFormat="1" ht="15.75" customHeight="1">
      <c r="D2710" s="113"/>
      <c r="E2710" s="60"/>
      <c r="F2710" s="60"/>
      <c r="G2710" s="60"/>
      <c r="H2710" s="60"/>
      <c r="I2710" s="60"/>
      <c r="J2710" s="114"/>
      <c r="K2710" s="60"/>
      <c r="L2710" s="109"/>
      <c r="M2710" s="109"/>
      <c r="N2710" s="109"/>
      <c r="O2710" s="109"/>
      <c r="P2710" s="109"/>
      <c r="Q2710" s="109"/>
      <c r="S2710" s="111"/>
      <c r="T2710" s="60"/>
      <c r="U2710" s="112"/>
    </row>
    <row r="2711" spans="4:21" s="110" customFormat="1" ht="15.75" customHeight="1">
      <c r="D2711" s="113"/>
      <c r="E2711" s="60"/>
      <c r="F2711" s="60"/>
      <c r="G2711" s="60"/>
      <c r="H2711" s="60"/>
      <c r="I2711" s="60"/>
      <c r="J2711" s="114"/>
      <c r="K2711" s="60"/>
      <c r="L2711" s="109"/>
      <c r="M2711" s="109"/>
      <c r="N2711" s="109"/>
      <c r="O2711" s="109"/>
      <c r="P2711" s="109"/>
      <c r="Q2711" s="109"/>
      <c r="S2711" s="111"/>
      <c r="T2711" s="60"/>
      <c r="U2711" s="112"/>
    </row>
    <row r="2712" spans="4:21" s="110" customFormat="1" ht="15.75" customHeight="1">
      <c r="D2712" s="113"/>
      <c r="E2712" s="60"/>
      <c r="F2712" s="60"/>
      <c r="G2712" s="60"/>
      <c r="H2712" s="60"/>
      <c r="I2712" s="60"/>
      <c r="J2712" s="114"/>
      <c r="K2712" s="60"/>
      <c r="L2712" s="109"/>
      <c r="M2712" s="109"/>
      <c r="N2712" s="109"/>
      <c r="O2712" s="109"/>
      <c r="P2712" s="109"/>
      <c r="Q2712" s="109"/>
      <c r="S2712" s="111"/>
      <c r="T2712" s="60"/>
      <c r="U2712" s="112"/>
    </row>
    <row r="2713" spans="4:21" s="110" customFormat="1" ht="15.75" customHeight="1">
      <c r="D2713" s="113"/>
      <c r="E2713" s="60"/>
      <c r="F2713" s="60"/>
      <c r="G2713" s="60"/>
      <c r="H2713" s="60"/>
      <c r="I2713" s="60"/>
      <c r="J2713" s="114"/>
      <c r="K2713" s="60"/>
      <c r="L2713" s="109"/>
      <c r="M2713" s="109"/>
      <c r="N2713" s="109"/>
      <c r="O2713" s="109"/>
      <c r="P2713" s="109"/>
      <c r="Q2713" s="109"/>
      <c r="S2713" s="111"/>
      <c r="T2713" s="60"/>
      <c r="U2713" s="112"/>
    </row>
    <row r="2714" spans="4:21" s="110" customFormat="1" ht="15.75" customHeight="1">
      <c r="D2714" s="113"/>
      <c r="E2714" s="60"/>
      <c r="F2714" s="60"/>
      <c r="G2714" s="60"/>
      <c r="H2714" s="60"/>
      <c r="I2714" s="60"/>
      <c r="J2714" s="114"/>
      <c r="K2714" s="60"/>
      <c r="L2714" s="109"/>
      <c r="M2714" s="109"/>
      <c r="N2714" s="109"/>
      <c r="O2714" s="109"/>
      <c r="P2714" s="109"/>
      <c r="Q2714" s="109"/>
      <c r="S2714" s="111"/>
      <c r="T2714" s="60"/>
      <c r="U2714" s="112"/>
    </row>
    <row r="2715" spans="4:21" s="110" customFormat="1" ht="15.75" customHeight="1">
      <c r="D2715" s="113"/>
      <c r="E2715" s="60"/>
      <c r="F2715" s="60"/>
      <c r="G2715" s="60"/>
      <c r="H2715" s="60"/>
      <c r="I2715" s="60"/>
      <c r="J2715" s="114"/>
      <c r="K2715" s="60"/>
      <c r="L2715" s="109"/>
      <c r="M2715" s="109"/>
      <c r="N2715" s="109"/>
      <c r="O2715" s="109"/>
      <c r="P2715" s="109"/>
      <c r="Q2715" s="109"/>
      <c r="S2715" s="111"/>
      <c r="T2715" s="60"/>
      <c r="U2715" s="112"/>
    </row>
    <row r="2716" spans="4:21" s="110" customFormat="1" ht="15.75" customHeight="1">
      <c r="D2716" s="113"/>
      <c r="E2716" s="60"/>
      <c r="F2716" s="60"/>
      <c r="G2716" s="60"/>
      <c r="H2716" s="60"/>
      <c r="I2716" s="60"/>
      <c r="J2716" s="114"/>
      <c r="K2716" s="60"/>
      <c r="L2716" s="109"/>
      <c r="M2716" s="109"/>
      <c r="N2716" s="109"/>
      <c r="O2716" s="109"/>
      <c r="P2716" s="109"/>
      <c r="Q2716" s="109"/>
      <c r="S2716" s="111"/>
      <c r="T2716" s="60"/>
      <c r="U2716" s="112"/>
    </row>
    <row r="2717" spans="4:21" s="110" customFormat="1" ht="15.75" customHeight="1">
      <c r="D2717" s="113"/>
      <c r="E2717" s="60"/>
      <c r="F2717" s="60"/>
      <c r="G2717" s="60"/>
      <c r="H2717" s="60"/>
      <c r="I2717" s="60"/>
      <c r="J2717" s="114"/>
      <c r="K2717" s="60"/>
      <c r="L2717" s="109"/>
      <c r="M2717" s="109"/>
      <c r="N2717" s="109"/>
      <c r="O2717" s="109"/>
      <c r="P2717" s="109"/>
      <c r="Q2717" s="109"/>
      <c r="S2717" s="111"/>
      <c r="T2717" s="60"/>
      <c r="U2717" s="112"/>
    </row>
    <row r="2718" spans="4:21" s="110" customFormat="1" ht="15.75" customHeight="1">
      <c r="D2718" s="113"/>
      <c r="E2718" s="60"/>
      <c r="F2718" s="60"/>
      <c r="G2718" s="60"/>
      <c r="H2718" s="60"/>
      <c r="I2718" s="60"/>
      <c r="J2718" s="114"/>
      <c r="K2718" s="60"/>
      <c r="L2718" s="109"/>
      <c r="M2718" s="109"/>
      <c r="N2718" s="109"/>
      <c r="O2718" s="109"/>
      <c r="P2718" s="109"/>
      <c r="Q2718" s="109"/>
      <c r="S2718" s="111"/>
      <c r="T2718" s="60"/>
      <c r="U2718" s="112"/>
    </row>
    <row r="2719" spans="4:21" s="110" customFormat="1" ht="15.75" customHeight="1">
      <c r="D2719" s="113"/>
      <c r="E2719" s="60"/>
      <c r="F2719" s="60"/>
      <c r="G2719" s="60"/>
      <c r="H2719" s="60"/>
      <c r="I2719" s="60"/>
      <c r="J2719" s="114"/>
      <c r="K2719" s="60"/>
      <c r="L2719" s="109"/>
      <c r="M2719" s="109"/>
      <c r="N2719" s="109"/>
      <c r="O2719" s="109"/>
      <c r="P2719" s="109"/>
      <c r="Q2719" s="109"/>
      <c r="S2719" s="111"/>
      <c r="T2719" s="60"/>
      <c r="U2719" s="112"/>
    </row>
    <row r="2720" spans="4:21" s="110" customFormat="1" ht="15.75" customHeight="1">
      <c r="D2720" s="113"/>
      <c r="E2720" s="60"/>
      <c r="F2720" s="60"/>
      <c r="G2720" s="60"/>
      <c r="H2720" s="60"/>
      <c r="I2720" s="60"/>
      <c r="J2720" s="114"/>
      <c r="K2720" s="60"/>
      <c r="L2720" s="109"/>
      <c r="M2720" s="109"/>
      <c r="N2720" s="109"/>
      <c r="O2720" s="109"/>
      <c r="P2720" s="109"/>
      <c r="Q2720" s="109"/>
      <c r="S2720" s="111"/>
      <c r="T2720" s="60"/>
      <c r="U2720" s="112"/>
    </row>
    <row r="2721" spans="4:21" s="110" customFormat="1" ht="15.75" customHeight="1">
      <c r="D2721" s="113"/>
      <c r="E2721" s="60"/>
      <c r="F2721" s="60"/>
      <c r="G2721" s="60"/>
      <c r="H2721" s="60"/>
      <c r="I2721" s="60"/>
      <c r="J2721" s="114"/>
      <c r="K2721" s="60"/>
      <c r="L2721" s="109"/>
      <c r="M2721" s="109"/>
      <c r="N2721" s="109"/>
      <c r="O2721" s="109"/>
      <c r="P2721" s="109"/>
      <c r="Q2721" s="109"/>
      <c r="S2721" s="111"/>
      <c r="T2721" s="60"/>
      <c r="U2721" s="112"/>
    </row>
    <row r="2722" spans="4:21" s="110" customFormat="1" ht="15.75" customHeight="1">
      <c r="D2722" s="113"/>
      <c r="E2722" s="60"/>
      <c r="F2722" s="60"/>
      <c r="G2722" s="60"/>
      <c r="H2722" s="60"/>
      <c r="I2722" s="60"/>
      <c r="J2722" s="114"/>
      <c r="K2722" s="60"/>
      <c r="L2722" s="109"/>
      <c r="M2722" s="109"/>
      <c r="N2722" s="109"/>
      <c r="O2722" s="109"/>
      <c r="P2722" s="109"/>
      <c r="Q2722" s="109"/>
      <c r="S2722" s="111"/>
      <c r="T2722" s="60"/>
      <c r="U2722" s="112"/>
    </row>
    <row r="2723" spans="4:21" s="110" customFormat="1" ht="15.75" customHeight="1">
      <c r="D2723" s="113"/>
      <c r="E2723" s="60"/>
      <c r="F2723" s="60"/>
      <c r="G2723" s="60"/>
      <c r="H2723" s="60"/>
      <c r="I2723" s="60"/>
      <c r="J2723" s="114"/>
      <c r="K2723" s="60"/>
      <c r="L2723" s="109"/>
      <c r="M2723" s="109"/>
      <c r="N2723" s="109"/>
      <c r="O2723" s="109"/>
      <c r="P2723" s="109"/>
      <c r="Q2723" s="109"/>
      <c r="S2723" s="111"/>
      <c r="T2723" s="60"/>
      <c r="U2723" s="112"/>
    </row>
    <row r="2724" spans="4:21" s="110" customFormat="1" ht="15.75" customHeight="1">
      <c r="D2724" s="113"/>
      <c r="E2724" s="60"/>
      <c r="F2724" s="60"/>
      <c r="G2724" s="60"/>
      <c r="H2724" s="60"/>
      <c r="I2724" s="60"/>
      <c r="J2724" s="114"/>
      <c r="K2724" s="60"/>
      <c r="L2724" s="109"/>
      <c r="M2724" s="109"/>
      <c r="N2724" s="109"/>
      <c r="O2724" s="109"/>
      <c r="P2724" s="109"/>
      <c r="Q2724" s="109"/>
      <c r="S2724" s="111"/>
      <c r="T2724" s="60"/>
      <c r="U2724" s="112"/>
    </row>
    <row r="2725" spans="4:21" s="110" customFormat="1" ht="15.75" customHeight="1">
      <c r="D2725" s="113"/>
      <c r="E2725" s="60"/>
      <c r="F2725" s="60"/>
      <c r="G2725" s="60"/>
      <c r="H2725" s="60"/>
      <c r="I2725" s="60"/>
      <c r="J2725" s="114"/>
      <c r="K2725" s="60"/>
      <c r="L2725" s="109"/>
      <c r="M2725" s="109"/>
      <c r="N2725" s="109"/>
      <c r="O2725" s="109"/>
      <c r="P2725" s="109"/>
      <c r="Q2725" s="109"/>
      <c r="S2725" s="111"/>
      <c r="T2725" s="60"/>
      <c r="U2725" s="112"/>
    </row>
    <row r="2726" spans="4:21" s="110" customFormat="1" ht="15.75" customHeight="1">
      <c r="D2726" s="113"/>
      <c r="E2726" s="60"/>
      <c r="F2726" s="60"/>
      <c r="G2726" s="60"/>
      <c r="H2726" s="60"/>
      <c r="I2726" s="60"/>
      <c r="J2726" s="114"/>
      <c r="K2726" s="60"/>
      <c r="L2726" s="109"/>
      <c r="M2726" s="109"/>
      <c r="N2726" s="109"/>
      <c r="O2726" s="109"/>
      <c r="P2726" s="109"/>
      <c r="Q2726" s="109"/>
      <c r="S2726" s="111"/>
      <c r="T2726" s="60"/>
      <c r="U2726" s="112"/>
    </row>
    <row r="2727" spans="4:21" s="110" customFormat="1" ht="15.75" customHeight="1">
      <c r="D2727" s="113"/>
      <c r="E2727" s="60"/>
      <c r="F2727" s="60"/>
      <c r="G2727" s="60"/>
      <c r="H2727" s="60"/>
      <c r="I2727" s="60"/>
      <c r="J2727" s="114"/>
      <c r="K2727" s="60"/>
      <c r="L2727" s="109"/>
      <c r="M2727" s="109"/>
      <c r="N2727" s="109"/>
      <c r="O2727" s="109"/>
      <c r="P2727" s="109"/>
      <c r="Q2727" s="109"/>
      <c r="S2727" s="111"/>
      <c r="T2727" s="60"/>
      <c r="U2727" s="112"/>
    </row>
    <row r="2728" spans="4:21" s="110" customFormat="1" ht="15.75" customHeight="1">
      <c r="D2728" s="113"/>
      <c r="E2728" s="60"/>
      <c r="F2728" s="60"/>
      <c r="G2728" s="60"/>
      <c r="H2728" s="60"/>
      <c r="I2728" s="60"/>
      <c r="J2728" s="114"/>
      <c r="K2728" s="60"/>
      <c r="L2728" s="109"/>
      <c r="M2728" s="109"/>
      <c r="N2728" s="109"/>
      <c r="O2728" s="109"/>
      <c r="P2728" s="109"/>
      <c r="Q2728" s="109"/>
      <c r="S2728" s="111"/>
      <c r="T2728" s="60"/>
      <c r="U2728" s="112"/>
    </row>
    <row r="2729" spans="4:21" s="110" customFormat="1" ht="15.75" customHeight="1">
      <c r="D2729" s="113"/>
      <c r="E2729" s="60"/>
      <c r="F2729" s="60"/>
      <c r="G2729" s="60"/>
      <c r="H2729" s="60"/>
      <c r="I2729" s="60"/>
      <c r="J2729" s="114"/>
      <c r="K2729" s="60"/>
      <c r="L2729" s="109"/>
      <c r="M2729" s="109"/>
      <c r="N2729" s="109"/>
      <c r="O2729" s="109"/>
      <c r="P2729" s="109"/>
      <c r="Q2729" s="109"/>
      <c r="S2729" s="111"/>
      <c r="T2729" s="60"/>
      <c r="U2729" s="112"/>
    </row>
    <row r="2730" spans="4:21" s="110" customFormat="1" ht="15.75" customHeight="1">
      <c r="D2730" s="113"/>
      <c r="E2730" s="60"/>
      <c r="F2730" s="60"/>
      <c r="G2730" s="60"/>
      <c r="H2730" s="60"/>
      <c r="I2730" s="60"/>
      <c r="J2730" s="114"/>
      <c r="K2730" s="60"/>
      <c r="L2730" s="109"/>
      <c r="M2730" s="109"/>
      <c r="N2730" s="109"/>
      <c r="O2730" s="109"/>
      <c r="P2730" s="109"/>
      <c r="Q2730" s="109"/>
      <c r="S2730" s="111"/>
      <c r="T2730" s="60"/>
      <c r="U2730" s="112"/>
    </row>
    <row r="2731" spans="4:21" s="110" customFormat="1" ht="15.75" customHeight="1">
      <c r="D2731" s="113"/>
      <c r="E2731" s="60"/>
      <c r="F2731" s="60"/>
      <c r="G2731" s="60"/>
      <c r="H2731" s="60"/>
      <c r="I2731" s="60"/>
      <c r="J2731" s="114"/>
      <c r="K2731" s="60"/>
      <c r="L2731" s="109"/>
      <c r="M2731" s="109"/>
      <c r="N2731" s="109"/>
      <c r="O2731" s="109"/>
      <c r="P2731" s="109"/>
      <c r="Q2731" s="109"/>
      <c r="S2731" s="111"/>
      <c r="T2731" s="60"/>
      <c r="U2731" s="112"/>
    </row>
    <row r="2732" spans="4:21" s="110" customFormat="1" ht="15.75" customHeight="1">
      <c r="D2732" s="113"/>
      <c r="E2732" s="60"/>
      <c r="F2732" s="60"/>
      <c r="G2732" s="60"/>
      <c r="H2732" s="60"/>
      <c r="I2732" s="60"/>
      <c r="J2732" s="114"/>
      <c r="K2732" s="60"/>
      <c r="L2732" s="109"/>
      <c r="M2732" s="109"/>
      <c r="N2732" s="109"/>
      <c r="O2732" s="109"/>
      <c r="P2732" s="109"/>
      <c r="Q2732" s="109"/>
      <c r="S2732" s="111"/>
      <c r="T2732" s="60"/>
      <c r="U2732" s="112"/>
    </row>
    <row r="2733" spans="4:21" s="110" customFormat="1" ht="15.75" customHeight="1">
      <c r="D2733" s="113"/>
      <c r="E2733" s="60"/>
      <c r="F2733" s="60"/>
      <c r="G2733" s="60"/>
      <c r="H2733" s="60"/>
      <c r="I2733" s="60"/>
      <c r="J2733" s="114"/>
      <c r="K2733" s="60"/>
      <c r="L2733" s="109"/>
      <c r="M2733" s="109"/>
      <c r="N2733" s="109"/>
      <c r="O2733" s="109"/>
      <c r="P2733" s="109"/>
      <c r="Q2733" s="109"/>
      <c r="S2733" s="111"/>
      <c r="T2733" s="60"/>
      <c r="U2733" s="112"/>
    </row>
    <row r="2734" spans="4:21" s="110" customFormat="1" ht="15.75" customHeight="1">
      <c r="D2734" s="113"/>
      <c r="E2734" s="60"/>
      <c r="F2734" s="60"/>
      <c r="G2734" s="60"/>
      <c r="H2734" s="60"/>
      <c r="I2734" s="60"/>
      <c r="J2734" s="114"/>
      <c r="K2734" s="60"/>
      <c r="L2734" s="109"/>
      <c r="M2734" s="109"/>
      <c r="N2734" s="109"/>
      <c r="O2734" s="109"/>
      <c r="P2734" s="109"/>
      <c r="Q2734" s="109"/>
      <c r="S2734" s="111"/>
      <c r="T2734" s="60"/>
      <c r="U2734" s="112"/>
    </row>
    <row r="2735" spans="4:21" s="110" customFormat="1" ht="15.75" customHeight="1">
      <c r="D2735" s="113"/>
      <c r="E2735" s="60"/>
      <c r="F2735" s="60"/>
      <c r="G2735" s="60"/>
      <c r="H2735" s="60"/>
      <c r="I2735" s="60"/>
      <c r="J2735" s="114"/>
      <c r="K2735" s="60"/>
      <c r="L2735" s="109"/>
      <c r="M2735" s="109"/>
      <c r="N2735" s="109"/>
      <c r="O2735" s="109"/>
      <c r="P2735" s="109"/>
      <c r="Q2735" s="109"/>
      <c r="S2735" s="111"/>
      <c r="T2735" s="60"/>
      <c r="U2735" s="112"/>
    </row>
    <row r="2736" spans="4:21" s="110" customFormat="1" ht="15.75" customHeight="1">
      <c r="D2736" s="113"/>
      <c r="E2736" s="60"/>
      <c r="F2736" s="60"/>
      <c r="G2736" s="60"/>
      <c r="H2736" s="60"/>
      <c r="I2736" s="60"/>
      <c r="J2736" s="114"/>
      <c r="K2736" s="60"/>
      <c r="L2736" s="109"/>
      <c r="M2736" s="109"/>
      <c r="N2736" s="109"/>
      <c r="O2736" s="109"/>
      <c r="P2736" s="109"/>
      <c r="Q2736" s="109"/>
      <c r="S2736" s="111"/>
      <c r="T2736" s="60"/>
      <c r="U2736" s="112"/>
    </row>
    <row r="2737" spans="4:21" s="110" customFormat="1" ht="15.75" customHeight="1">
      <c r="D2737" s="113"/>
      <c r="E2737" s="60"/>
      <c r="F2737" s="60"/>
      <c r="G2737" s="60"/>
      <c r="H2737" s="60"/>
      <c r="I2737" s="60"/>
      <c r="J2737" s="114"/>
      <c r="K2737" s="60"/>
      <c r="L2737" s="109"/>
      <c r="M2737" s="109"/>
      <c r="N2737" s="109"/>
      <c r="O2737" s="109"/>
      <c r="P2737" s="109"/>
      <c r="Q2737" s="109"/>
      <c r="S2737" s="111"/>
      <c r="T2737" s="60"/>
      <c r="U2737" s="112"/>
    </row>
    <row r="2738" spans="4:21" s="110" customFormat="1" ht="15.75" customHeight="1">
      <c r="D2738" s="113"/>
      <c r="E2738" s="60"/>
      <c r="F2738" s="60"/>
      <c r="G2738" s="60"/>
      <c r="H2738" s="60"/>
      <c r="I2738" s="60"/>
      <c r="J2738" s="114"/>
      <c r="K2738" s="60"/>
      <c r="L2738" s="109"/>
      <c r="M2738" s="109"/>
      <c r="N2738" s="109"/>
      <c r="O2738" s="109"/>
      <c r="P2738" s="109"/>
      <c r="Q2738" s="109"/>
      <c r="S2738" s="111"/>
      <c r="T2738" s="60"/>
      <c r="U2738" s="112"/>
    </row>
    <row r="2739" spans="4:21" s="110" customFormat="1" ht="15.75" customHeight="1">
      <c r="D2739" s="113"/>
      <c r="E2739" s="60"/>
      <c r="F2739" s="60"/>
      <c r="G2739" s="60"/>
      <c r="H2739" s="60"/>
      <c r="I2739" s="60"/>
      <c r="J2739" s="114"/>
      <c r="K2739" s="60"/>
      <c r="L2739" s="109"/>
      <c r="M2739" s="109"/>
      <c r="N2739" s="109"/>
      <c r="O2739" s="109"/>
      <c r="P2739" s="109"/>
      <c r="Q2739" s="109"/>
      <c r="S2739" s="111"/>
      <c r="T2739" s="60"/>
      <c r="U2739" s="112"/>
    </row>
    <row r="2740" spans="4:21" s="110" customFormat="1" ht="15.75" customHeight="1">
      <c r="D2740" s="113"/>
      <c r="E2740" s="60"/>
      <c r="F2740" s="60"/>
      <c r="G2740" s="60"/>
      <c r="H2740" s="60"/>
      <c r="I2740" s="60"/>
      <c r="J2740" s="114"/>
      <c r="K2740" s="60"/>
      <c r="L2740" s="109"/>
      <c r="M2740" s="109"/>
      <c r="N2740" s="109"/>
      <c r="O2740" s="109"/>
      <c r="P2740" s="109"/>
      <c r="Q2740" s="109"/>
      <c r="S2740" s="111"/>
      <c r="T2740" s="60"/>
      <c r="U2740" s="112"/>
    </row>
    <row r="2741" spans="4:21" s="110" customFormat="1" ht="15.75" customHeight="1">
      <c r="D2741" s="113"/>
      <c r="E2741" s="60"/>
      <c r="F2741" s="60"/>
      <c r="G2741" s="60"/>
      <c r="H2741" s="60"/>
      <c r="I2741" s="60"/>
      <c r="J2741" s="114"/>
      <c r="K2741" s="60"/>
      <c r="L2741" s="109"/>
      <c r="M2741" s="109"/>
      <c r="N2741" s="109"/>
      <c r="O2741" s="109"/>
      <c r="P2741" s="109"/>
      <c r="Q2741" s="109"/>
      <c r="S2741" s="111"/>
      <c r="T2741" s="60"/>
      <c r="U2741" s="112"/>
    </row>
    <row r="2742" spans="4:21" s="110" customFormat="1" ht="15.75" customHeight="1">
      <c r="D2742" s="113"/>
      <c r="E2742" s="60"/>
      <c r="F2742" s="60"/>
      <c r="G2742" s="60"/>
      <c r="H2742" s="60"/>
      <c r="I2742" s="60"/>
      <c r="J2742" s="114"/>
      <c r="K2742" s="60"/>
      <c r="L2742" s="109"/>
      <c r="M2742" s="109"/>
      <c r="N2742" s="109"/>
      <c r="O2742" s="109"/>
      <c r="P2742" s="109"/>
      <c r="Q2742" s="109"/>
      <c r="S2742" s="111"/>
      <c r="T2742" s="60"/>
      <c r="U2742" s="112"/>
    </row>
    <row r="2743" spans="4:21" s="110" customFormat="1" ht="15.75" customHeight="1">
      <c r="D2743" s="113"/>
      <c r="E2743" s="60"/>
      <c r="F2743" s="60"/>
      <c r="G2743" s="60"/>
      <c r="H2743" s="60"/>
      <c r="I2743" s="60"/>
      <c r="J2743" s="114"/>
      <c r="K2743" s="60"/>
      <c r="L2743" s="109"/>
      <c r="M2743" s="109"/>
      <c r="N2743" s="109"/>
      <c r="O2743" s="109"/>
      <c r="P2743" s="109"/>
      <c r="Q2743" s="109"/>
      <c r="S2743" s="111"/>
      <c r="T2743" s="60"/>
      <c r="U2743" s="112"/>
    </row>
    <row r="2744" spans="4:21" s="110" customFormat="1" ht="15.75" customHeight="1">
      <c r="D2744" s="113"/>
      <c r="E2744" s="60"/>
      <c r="F2744" s="60"/>
      <c r="G2744" s="60"/>
      <c r="H2744" s="60"/>
      <c r="I2744" s="60"/>
      <c r="J2744" s="114"/>
      <c r="K2744" s="60"/>
      <c r="L2744" s="109"/>
      <c r="M2744" s="109"/>
      <c r="N2744" s="109"/>
      <c r="O2744" s="109"/>
      <c r="P2744" s="109"/>
      <c r="Q2744" s="109"/>
      <c r="S2744" s="111"/>
      <c r="T2744" s="60"/>
      <c r="U2744" s="112"/>
    </row>
    <row r="2745" spans="4:21" s="110" customFormat="1" ht="15.75" customHeight="1">
      <c r="D2745" s="113"/>
      <c r="E2745" s="60"/>
      <c r="F2745" s="60"/>
      <c r="G2745" s="60"/>
      <c r="H2745" s="60"/>
      <c r="I2745" s="60"/>
      <c r="J2745" s="114"/>
      <c r="K2745" s="60"/>
      <c r="L2745" s="109"/>
      <c r="M2745" s="109"/>
      <c r="N2745" s="109"/>
      <c r="O2745" s="109"/>
      <c r="P2745" s="109"/>
      <c r="Q2745" s="109"/>
      <c r="S2745" s="111"/>
      <c r="T2745" s="60"/>
      <c r="U2745" s="112"/>
    </row>
    <row r="2746" spans="4:21" s="110" customFormat="1" ht="15.75" customHeight="1">
      <c r="D2746" s="113"/>
      <c r="E2746" s="60"/>
      <c r="F2746" s="60"/>
      <c r="G2746" s="60"/>
      <c r="H2746" s="60"/>
      <c r="I2746" s="60"/>
      <c r="J2746" s="114"/>
      <c r="K2746" s="60"/>
      <c r="L2746" s="109"/>
      <c r="M2746" s="109"/>
      <c r="N2746" s="109"/>
      <c r="O2746" s="109"/>
      <c r="P2746" s="109"/>
      <c r="Q2746" s="109"/>
      <c r="S2746" s="111"/>
      <c r="T2746" s="60"/>
      <c r="U2746" s="112"/>
    </row>
    <row r="2747" spans="4:21" s="110" customFormat="1" ht="15.75" customHeight="1">
      <c r="D2747" s="113"/>
      <c r="E2747" s="60"/>
      <c r="F2747" s="60"/>
      <c r="G2747" s="60"/>
      <c r="H2747" s="60"/>
      <c r="I2747" s="60"/>
      <c r="J2747" s="114"/>
      <c r="K2747" s="60"/>
      <c r="L2747" s="109"/>
      <c r="M2747" s="109"/>
      <c r="N2747" s="109"/>
      <c r="O2747" s="109"/>
      <c r="P2747" s="109"/>
      <c r="Q2747" s="109"/>
      <c r="S2747" s="111"/>
      <c r="T2747" s="60"/>
      <c r="U2747" s="112"/>
    </row>
    <row r="2748" spans="4:21" s="110" customFormat="1" ht="15.75" customHeight="1">
      <c r="D2748" s="113"/>
      <c r="E2748" s="60"/>
      <c r="F2748" s="60"/>
      <c r="G2748" s="60"/>
      <c r="H2748" s="60"/>
      <c r="I2748" s="60"/>
      <c r="J2748" s="114"/>
      <c r="K2748" s="60"/>
      <c r="L2748" s="109"/>
      <c r="M2748" s="109"/>
      <c r="N2748" s="109"/>
      <c r="O2748" s="109"/>
      <c r="P2748" s="109"/>
      <c r="Q2748" s="109"/>
      <c r="S2748" s="111"/>
      <c r="T2748" s="60"/>
      <c r="U2748" s="112"/>
    </row>
    <row r="2749" spans="4:21" s="110" customFormat="1" ht="15.75" customHeight="1">
      <c r="D2749" s="113"/>
      <c r="E2749" s="60"/>
      <c r="F2749" s="60"/>
      <c r="G2749" s="60"/>
      <c r="H2749" s="60"/>
      <c r="I2749" s="60"/>
      <c r="J2749" s="114"/>
      <c r="K2749" s="60"/>
      <c r="L2749" s="109"/>
      <c r="M2749" s="109"/>
      <c r="N2749" s="109"/>
      <c r="O2749" s="109"/>
      <c r="P2749" s="109"/>
      <c r="Q2749" s="109"/>
      <c r="S2749" s="111"/>
      <c r="T2749" s="60"/>
      <c r="U2749" s="112"/>
    </row>
    <row r="2750" spans="4:21" s="110" customFormat="1" ht="15.75" customHeight="1">
      <c r="D2750" s="113"/>
      <c r="E2750" s="60"/>
      <c r="F2750" s="60"/>
      <c r="G2750" s="60"/>
      <c r="H2750" s="60"/>
      <c r="I2750" s="60"/>
      <c r="J2750" s="114"/>
      <c r="K2750" s="60"/>
      <c r="L2750" s="109"/>
      <c r="M2750" s="109"/>
      <c r="N2750" s="109"/>
      <c r="O2750" s="109"/>
      <c r="P2750" s="109"/>
      <c r="Q2750" s="109"/>
      <c r="S2750" s="111"/>
      <c r="T2750" s="60"/>
      <c r="U2750" s="112"/>
    </row>
    <row r="2751" spans="4:21" s="110" customFormat="1" ht="15.75" customHeight="1">
      <c r="D2751" s="113"/>
      <c r="E2751" s="60"/>
      <c r="F2751" s="60"/>
      <c r="G2751" s="60"/>
      <c r="H2751" s="60"/>
      <c r="I2751" s="60"/>
      <c r="J2751" s="114"/>
      <c r="K2751" s="60"/>
      <c r="L2751" s="109"/>
      <c r="M2751" s="109"/>
      <c r="N2751" s="109"/>
      <c r="O2751" s="109"/>
      <c r="P2751" s="109"/>
      <c r="Q2751" s="109"/>
      <c r="S2751" s="111"/>
      <c r="T2751" s="60"/>
      <c r="U2751" s="112"/>
    </row>
    <row r="2752" spans="4:21" s="110" customFormat="1" ht="15.75" customHeight="1">
      <c r="D2752" s="113"/>
      <c r="E2752" s="60"/>
      <c r="F2752" s="60"/>
      <c r="G2752" s="60"/>
      <c r="H2752" s="60"/>
      <c r="I2752" s="60"/>
      <c r="J2752" s="114"/>
      <c r="K2752" s="60"/>
      <c r="L2752" s="109"/>
      <c r="M2752" s="109"/>
      <c r="N2752" s="109"/>
      <c r="O2752" s="109"/>
      <c r="P2752" s="109"/>
      <c r="Q2752" s="109"/>
      <c r="S2752" s="111"/>
      <c r="T2752" s="60"/>
      <c r="U2752" s="112"/>
    </row>
    <row r="2753" spans="4:21" s="110" customFormat="1" ht="15.75" customHeight="1">
      <c r="D2753" s="113"/>
      <c r="E2753" s="60"/>
      <c r="F2753" s="60"/>
      <c r="G2753" s="60"/>
      <c r="H2753" s="60"/>
      <c r="I2753" s="60"/>
      <c r="J2753" s="114"/>
      <c r="K2753" s="60"/>
      <c r="L2753" s="109"/>
      <c r="M2753" s="109"/>
      <c r="N2753" s="109"/>
      <c r="O2753" s="109"/>
      <c r="P2753" s="109"/>
      <c r="Q2753" s="109"/>
      <c r="S2753" s="111"/>
      <c r="T2753" s="60"/>
      <c r="U2753" s="112"/>
    </row>
    <row r="2754" spans="4:21" s="110" customFormat="1" ht="15.75" customHeight="1">
      <c r="D2754" s="113"/>
      <c r="E2754" s="60"/>
      <c r="F2754" s="60"/>
      <c r="G2754" s="60"/>
      <c r="H2754" s="60"/>
      <c r="I2754" s="60"/>
      <c r="J2754" s="114"/>
      <c r="K2754" s="60"/>
      <c r="L2754" s="109"/>
      <c r="M2754" s="109"/>
      <c r="N2754" s="109"/>
      <c r="O2754" s="109"/>
      <c r="P2754" s="109"/>
      <c r="Q2754" s="109"/>
      <c r="S2754" s="111"/>
      <c r="T2754" s="60"/>
      <c r="U2754" s="112"/>
    </row>
    <row r="2755" spans="4:21" s="110" customFormat="1" ht="15.75" customHeight="1">
      <c r="D2755" s="113"/>
      <c r="E2755" s="60"/>
      <c r="F2755" s="60"/>
      <c r="G2755" s="60"/>
      <c r="H2755" s="60"/>
      <c r="I2755" s="60"/>
      <c r="J2755" s="114"/>
      <c r="K2755" s="60"/>
      <c r="L2755" s="109"/>
      <c r="M2755" s="109"/>
      <c r="N2755" s="109"/>
      <c r="O2755" s="109"/>
      <c r="P2755" s="109"/>
      <c r="Q2755" s="109"/>
      <c r="S2755" s="111"/>
      <c r="T2755" s="60"/>
      <c r="U2755" s="112"/>
    </row>
    <row r="2756" spans="4:21" s="110" customFormat="1" ht="15.75" customHeight="1">
      <c r="D2756" s="113"/>
      <c r="E2756" s="60"/>
      <c r="F2756" s="60"/>
      <c r="G2756" s="60"/>
      <c r="H2756" s="60"/>
      <c r="I2756" s="60"/>
      <c r="J2756" s="114"/>
      <c r="K2756" s="60"/>
      <c r="L2756" s="109"/>
      <c r="M2756" s="109"/>
      <c r="N2756" s="109"/>
      <c r="O2756" s="109"/>
      <c r="P2756" s="109"/>
      <c r="Q2756" s="109"/>
      <c r="S2756" s="111"/>
      <c r="T2756" s="60"/>
      <c r="U2756" s="112"/>
    </row>
    <row r="2757" spans="4:21" s="110" customFormat="1" ht="15.75" customHeight="1">
      <c r="D2757" s="113"/>
      <c r="E2757" s="60"/>
      <c r="F2757" s="60"/>
      <c r="G2757" s="60"/>
      <c r="H2757" s="60"/>
      <c r="I2757" s="60"/>
      <c r="J2757" s="114"/>
      <c r="K2757" s="60"/>
      <c r="L2757" s="109"/>
      <c r="M2757" s="109"/>
      <c r="N2757" s="109"/>
      <c r="O2757" s="109"/>
      <c r="P2757" s="109"/>
      <c r="Q2757" s="109"/>
      <c r="S2757" s="111"/>
      <c r="T2757" s="60"/>
      <c r="U2757" s="112"/>
    </row>
    <row r="2758" spans="4:21" s="110" customFormat="1" ht="15.75" customHeight="1">
      <c r="D2758" s="113"/>
      <c r="E2758" s="60"/>
      <c r="F2758" s="60"/>
      <c r="G2758" s="60"/>
      <c r="H2758" s="60"/>
      <c r="I2758" s="60"/>
      <c r="J2758" s="114"/>
      <c r="K2758" s="60"/>
      <c r="L2758" s="109"/>
      <c r="M2758" s="109"/>
      <c r="N2758" s="109"/>
      <c r="O2758" s="109"/>
      <c r="P2758" s="109"/>
      <c r="Q2758" s="109"/>
      <c r="S2758" s="111"/>
      <c r="T2758" s="60"/>
      <c r="U2758" s="112"/>
    </row>
    <row r="2759" spans="4:21" s="110" customFormat="1" ht="15.75" customHeight="1">
      <c r="D2759" s="113"/>
      <c r="E2759" s="60"/>
      <c r="F2759" s="60"/>
      <c r="G2759" s="60"/>
      <c r="H2759" s="60"/>
      <c r="I2759" s="60"/>
      <c r="J2759" s="114"/>
      <c r="K2759" s="60"/>
      <c r="L2759" s="109"/>
      <c r="M2759" s="109"/>
      <c r="N2759" s="109"/>
      <c r="O2759" s="109"/>
      <c r="P2759" s="109"/>
      <c r="Q2759" s="109"/>
      <c r="S2759" s="111"/>
      <c r="T2759" s="60"/>
      <c r="U2759" s="112"/>
    </row>
    <row r="2760" spans="4:21" s="110" customFormat="1" ht="15.75" customHeight="1">
      <c r="D2760" s="113"/>
      <c r="E2760" s="60"/>
      <c r="F2760" s="60"/>
      <c r="G2760" s="60"/>
      <c r="H2760" s="60"/>
      <c r="I2760" s="60"/>
      <c r="J2760" s="114"/>
      <c r="K2760" s="60"/>
      <c r="L2760" s="109"/>
      <c r="M2760" s="109"/>
      <c r="N2760" s="109"/>
      <c r="O2760" s="109"/>
      <c r="P2760" s="109"/>
      <c r="Q2760" s="109"/>
      <c r="S2760" s="111"/>
      <c r="T2760" s="60"/>
      <c r="U2760" s="112"/>
    </row>
    <row r="2761" spans="4:21" s="110" customFormat="1" ht="15.75" customHeight="1">
      <c r="D2761" s="113"/>
      <c r="E2761" s="60"/>
      <c r="F2761" s="60"/>
      <c r="G2761" s="60"/>
      <c r="H2761" s="60"/>
      <c r="I2761" s="60"/>
      <c r="J2761" s="114"/>
      <c r="K2761" s="60"/>
      <c r="L2761" s="109"/>
      <c r="M2761" s="109"/>
      <c r="N2761" s="109"/>
      <c r="O2761" s="109"/>
      <c r="P2761" s="109"/>
      <c r="Q2761" s="109"/>
      <c r="S2761" s="111"/>
      <c r="T2761" s="60"/>
      <c r="U2761" s="112"/>
    </row>
    <row r="2762" spans="4:21" s="110" customFormat="1" ht="15.75" customHeight="1">
      <c r="D2762" s="113"/>
      <c r="E2762" s="60"/>
      <c r="F2762" s="60"/>
      <c r="G2762" s="60"/>
      <c r="H2762" s="60"/>
      <c r="I2762" s="60"/>
      <c r="J2762" s="114"/>
      <c r="K2762" s="60"/>
      <c r="L2762" s="109"/>
      <c r="M2762" s="109"/>
      <c r="N2762" s="109"/>
      <c r="O2762" s="109"/>
      <c r="P2762" s="109"/>
      <c r="Q2762" s="109"/>
      <c r="S2762" s="111"/>
      <c r="T2762" s="60"/>
      <c r="U2762" s="112"/>
    </row>
    <row r="2763" spans="4:21" s="110" customFormat="1" ht="15.75" customHeight="1">
      <c r="D2763" s="113"/>
      <c r="E2763" s="60"/>
      <c r="F2763" s="60"/>
      <c r="G2763" s="60"/>
      <c r="H2763" s="60"/>
      <c r="I2763" s="60"/>
      <c r="J2763" s="114"/>
      <c r="K2763" s="60"/>
      <c r="L2763" s="109"/>
      <c r="M2763" s="109"/>
      <c r="N2763" s="109"/>
      <c r="O2763" s="109"/>
      <c r="P2763" s="109"/>
      <c r="Q2763" s="109"/>
      <c r="S2763" s="111"/>
      <c r="T2763" s="60"/>
      <c r="U2763" s="112"/>
    </row>
    <row r="2764" spans="4:21" s="110" customFormat="1" ht="15.75" customHeight="1">
      <c r="D2764" s="113"/>
      <c r="E2764" s="60"/>
      <c r="F2764" s="60"/>
      <c r="G2764" s="60"/>
      <c r="H2764" s="60"/>
      <c r="I2764" s="60"/>
      <c r="J2764" s="114"/>
      <c r="K2764" s="60"/>
      <c r="L2764" s="109"/>
      <c r="M2764" s="109"/>
      <c r="N2764" s="109"/>
      <c r="O2764" s="109"/>
      <c r="P2764" s="109"/>
      <c r="Q2764" s="109"/>
      <c r="S2764" s="111"/>
      <c r="T2764" s="60"/>
      <c r="U2764" s="112"/>
    </row>
    <row r="2765" spans="4:21" s="110" customFormat="1" ht="15.75" customHeight="1">
      <c r="D2765" s="113"/>
      <c r="E2765" s="60"/>
      <c r="F2765" s="60"/>
      <c r="G2765" s="60"/>
      <c r="H2765" s="60"/>
      <c r="I2765" s="60"/>
      <c r="J2765" s="114"/>
      <c r="K2765" s="60"/>
      <c r="L2765" s="109"/>
      <c r="M2765" s="109"/>
      <c r="N2765" s="109"/>
      <c r="O2765" s="109"/>
      <c r="P2765" s="109"/>
      <c r="Q2765" s="109"/>
      <c r="S2765" s="111"/>
      <c r="T2765" s="60"/>
      <c r="U2765" s="112"/>
    </row>
    <row r="2766" spans="4:21" s="110" customFormat="1" ht="15.75" customHeight="1">
      <c r="D2766" s="113"/>
      <c r="E2766" s="60"/>
      <c r="F2766" s="60"/>
      <c r="G2766" s="60"/>
      <c r="H2766" s="60"/>
      <c r="I2766" s="60"/>
      <c r="J2766" s="114"/>
      <c r="K2766" s="60"/>
      <c r="L2766" s="109"/>
      <c r="M2766" s="109"/>
      <c r="N2766" s="109"/>
      <c r="O2766" s="109"/>
      <c r="P2766" s="109"/>
      <c r="Q2766" s="109"/>
      <c r="S2766" s="111"/>
      <c r="T2766" s="60"/>
      <c r="U2766" s="112"/>
    </row>
    <row r="2767" spans="4:21" s="110" customFormat="1" ht="15.75" customHeight="1">
      <c r="D2767" s="113"/>
      <c r="E2767" s="60"/>
      <c r="F2767" s="60"/>
      <c r="G2767" s="60"/>
      <c r="H2767" s="60"/>
      <c r="I2767" s="60"/>
      <c r="J2767" s="114"/>
      <c r="K2767" s="60"/>
      <c r="L2767" s="109"/>
      <c r="M2767" s="109"/>
      <c r="N2767" s="109"/>
      <c r="O2767" s="109"/>
      <c r="P2767" s="109"/>
      <c r="Q2767" s="109"/>
      <c r="S2767" s="111"/>
      <c r="T2767" s="60"/>
      <c r="U2767" s="112"/>
    </row>
    <row r="2768" spans="4:21" s="110" customFormat="1" ht="15.75" customHeight="1">
      <c r="D2768" s="113"/>
      <c r="E2768" s="60"/>
      <c r="F2768" s="60"/>
      <c r="G2768" s="60"/>
      <c r="H2768" s="60"/>
      <c r="I2768" s="60"/>
      <c r="J2768" s="114"/>
      <c r="K2768" s="60"/>
      <c r="L2768" s="109"/>
      <c r="M2768" s="109"/>
      <c r="N2768" s="109"/>
      <c r="O2768" s="109"/>
      <c r="P2768" s="109"/>
      <c r="Q2768" s="109"/>
      <c r="S2768" s="111"/>
      <c r="T2768" s="60"/>
      <c r="U2768" s="112"/>
    </row>
    <row r="2769" spans="4:21" s="110" customFormat="1" ht="15.75" customHeight="1">
      <c r="D2769" s="113"/>
      <c r="E2769" s="60"/>
      <c r="F2769" s="60"/>
      <c r="G2769" s="60"/>
      <c r="H2769" s="60"/>
      <c r="I2769" s="60"/>
      <c r="J2769" s="114"/>
      <c r="K2769" s="60"/>
      <c r="L2769" s="109"/>
      <c r="M2769" s="109"/>
      <c r="N2769" s="109"/>
      <c r="O2769" s="109"/>
      <c r="P2769" s="109"/>
      <c r="Q2769" s="109"/>
      <c r="S2769" s="111"/>
      <c r="T2769" s="60"/>
      <c r="U2769" s="112"/>
    </row>
    <row r="2770" spans="4:21" s="110" customFormat="1" ht="15.75" customHeight="1">
      <c r="D2770" s="113"/>
      <c r="E2770" s="60"/>
      <c r="F2770" s="60"/>
      <c r="G2770" s="60"/>
      <c r="H2770" s="60"/>
      <c r="I2770" s="60"/>
      <c r="J2770" s="114"/>
      <c r="K2770" s="60"/>
      <c r="L2770" s="109"/>
      <c r="M2770" s="109"/>
      <c r="N2770" s="109"/>
      <c r="O2770" s="109"/>
      <c r="P2770" s="109"/>
      <c r="Q2770" s="109"/>
      <c r="S2770" s="111"/>
      <c r="T2770" s="60"/>
      <c r="U2770" s="112"/>
    </row>
    <row r="2771" spans="4:21" s="110" customFormat="1" ht="15.75" customHeight="1">
      <c r="D2771" s="113"/>
      <c r="E2771" s="60"/>
      <c r="F2771" s="60"/>
      <c r="G2771" s="60"/>
      <c r="H2771" s="60"/>
      <c r="I2771" s="60"/>
      <c r="J2771" s="114"/>
      <c r="K2771" s="60"/>
      <c r="L2771" s="109"/>
      <c r="M2771" s="109"/>
      <c r="N2771" s="109"/>
      <c r="O2771" s="109"/>
      <c r="P2771" s="109"/>
      <c r="Q2771" s="109"/>
      <c r="S2771" s="111"/>
      <c r="T2771" s="60"/>
      <c r="U2771" s="112"/>
    </row>
    <row r="2772" spans="4:21" s="110" customFormat="1" ht="15.75" customHeight="1">
      <c r="D2772" s="113"/>
      <c r="E2772" s="60"/>
      <c r="F2772" s="60"/>
      <c r="G2772" s="60"/>
      <c r="H2772" s="60"/>
      <c r="I2772" s="60"/>
      <c r="J2772" s="114"/>
      <c r="K2772" s="60"/>
      <c r="L2772" s="109"/>
      <c r="M2772" s="109"/>
      <c r="N2772" s="109"/>
      <c r="O2772" s="109"/>
      <c r="P2772" s="109"/>
      <c r="Q2772" s="109"/>
      <c r="S2772" s="111"/>
      <c r="T2772" s="60"/>
      <c r="U2772" s="112"/>
    </row>
    <row r="2773" spans="4:21" s="110" customFormat="1" ht="15.75" customHeight="1">
      <c r="D2773" s="113"/>
      <c r="E2773" s="60"/>
      <c r="F2773" s="60"/>
      <c r="G2773" s="60"/>
      <c r="H2773" s="60"/>
      <c r="I2773" s="60"/>
      <c r="J2773" s="114"/>
      <c r="K2773" s="60"/>
      <c r="L2773" s="109"/>
      <c r="M2773" s="109"/>
      <c r="N2773" s="109"/>
      <c r="O2773" s="109"/>
      <c r="P2773" s="109"/>
      <c r="Q2773" s="109"/>
      <c r="S2773" s="111"/>
      <c r="T2773" s="60"/>
      <c r="U2773" s="112"/>
    </row>
    <row r="2774" spans="4:21" s="110" customFormat="1" ht="15.75" customHeight="1">
      <c r="D2774" s="113"/>
      <c r="E2774" s="60"/>
      <c r="F2774" s="60"/>
      <c r="G2774" s="60"/>
      <c r="H2774" s="60"/>
      <c r="I2774" s="60"/>
      <c r="J2774" s="114"/>
      <c r="K2774" s="60"/>
      <c r="L2774" s="109"/>
      <c r="M2774" s="109"/>
      <c r="N2774" s="109"/>
      <c r="O2774" s="109"/>
      <c r="P2774" s="109"/>
      <c r="Q2774" s="109"/>
      <c r="S2774" s="111"/>
      <c r="T2774" s="60"/>
      <c r="U2774" s="112"/>
    </row>
    <row r="2775" spans="4:21" s="110" customFormat="1" ht="15.75" customHeight="1">
      <c r="D2775" s="113"/>
      <c r="E2775" s="60"/>
      <c r="F2775" s="60"/>
      <c r="G2775" s="60"/>
      <c r="H2775" s="60"/>
      <c r="I2775" s="60"/>
      <c r="J2775" s="114"/>
      <c r="K2775" s="60"/>
      <c r="L2775" s="109"/>
      <c r="M2775" s="109"/>
      <c r="N2775" s="109"/>
      <c r="O2775" s="109"/>
      <c r="P2775" s="109"/>
      <c r="Q2775" s="109"/>
      <c r="S2775" s="111"/>
      <c r="T2775" s="60"/>
      <c r="U2775" s="112"/>
    </row>
    <row r="2776" spans="4:21" s="110" customFormat="1" ht="15.75" customHeight="1">
      <c r="D2776" s="113"/>
      <c r="E2776" s="60"/>
      <c r="F2776" s="60"/>
      <c r="G2776" s="60"/>
      <c r="H2776" s="60"/>
      <c r="I2776" s="60"/>
      <c r="J2776" s="114"/>
      <c r="K2776" s="60"/>
      <c r="L2776" s="109"/>
      <c r="M2776" s="109"/>
      <c r="N2776" s="109"/>
      <c r="O2776" s="109"/>
      <c r="P2776" s="109"/>
      <c r="Q2776" s="109"/>
      <c r="S2776" s="111"/>
      <c r="T2776" s="60"/>
      <c r="U2776" s="112"/>
    </row>
    <row r="2777" spans="4:21" s="110" customFormat="1" ht="15.75" customHeight="1">
      <c r="D2777" s="113"/>
      <c r="E2777" s="60"/>
      <c r="F2777" s="60"/>
      <c r="G2777" s="60"/>
      <c r="H2777" s="60"/>
      <c r="I2777" s="60"/>
      <c r="J2777" s="114"/>
      <c r="K2777" s="60"/>
      <c r="L2777" s="109"/>
      <c r="M2777" s="109"/>
      <c r="N2777" s="109"/>
      <c r="O2777" s="109"/>
      <c r="P2777" s="109"/>
      <c r="Q2777" s="109"/>
      <c r="S2777" s="111"/>
      <c r="T2777" s="60"/>
      <c r="U2777" s="112"/>
    </row>
    <row r="2778" spans="4:21" s="110" customFormat="1" ht="15.75" customHeight="1">
      <c r="D2778" s="113"/>
      <c r="E2778" s="60"/>
      <c r="F2778" s="60"/>
      <c r="G2778" s="60"/>
      <c r="H2778" s="60"/>
      <c r="I2778" s="60"/>
      <c r="J2778" s="114"/>
      <c r="K2778" s="60"/>
      <c r="L2778" s="109"/>
      <c r="M2778" s="109"/>
      <c r="N2778" s="109"/>
      <c r="O2778" s="109"/>
      <c r="P2778" s="109"/>
      <c r="Q2778" s="109"/>
      <c r="S2778" s="111"/>
      <c r="T2778" s="60"/>
      <c r="U2778" s="112"/>
    </row>
    <row r="2779" spans="4:21" s="110" customFormat="1" ht="15.75" customHeight="1">
      <c r="D2779" s="113"/>
      <c r="E2779" s="60"/>
      <c r="F2779" s="60"/>
      <c r="G2779" s="60"/>
      <c r="H2779" s="60"/>
      <c r="I2779" s="60"/>
      <c r="J2779" s="114"/>
      <c r="K2779" s="60"/>
      <c r="L2779" s="109"/>
      <c r="M2779" s="109"/>
      <c r="N2779" s="109"/>
      <c r="O2779" s="109"/>
      <c r="P2779" s="109"/>
      <c r="Q2779" s="109"/>
      <c r="S2779" s="111"/>
      <c r="T2779" s="60"/>
      <c r="U2779" s="112"/>
    </row>
    <row r="2780" spans="4:21" s="110" customFormat="1" ht="15.75" customHeight="1">
      <c r="D2780" s="113"/>
      <c r="E2780" s="60"/>
      <c r="F2780" s="60"/>
      <c r="G2780" s="60"/>
      <c r="H2780" s="60"/>
      <c r="I2780" s="60"/>
      <c r="J2780" s="114"/>
      <c r="K2780" s="60"/>
      <c r="L2780" s="109"/>
      <c r="M2780" s="109"/>
      <c r="N2780" s="109"/>
      <c r="O2780" s="109"/>
      <c r="P2780" s="109"/>
      <c r="Q2780" s="109"/>
      <c r="S2780" s="111"/>
      <c r="T2780" s="60"/>
      <c r="U2780" s="112"/>
    </row>
    <row r="2781" spans="4:21" s="110" customFormat="1" ht="15.75" customHeight="1">
      <c r="D2781" s="113"/>
      <c r="E2781" s="60"/>
      <c r="F2781" s="60"/>
      <c r="G2781" s="60"/>
      <c r="H2781" s="60"/>
      <c r="I2781" s="60"/>
      <c r="J2781" s="114"/>
      <c r="K2781" s="60"/>
      <c r="L2781" s="109"/>
      <c r="M2781" s="109"/>
      <c r="N2781" s="109"/>
      <c r="O2781" s="109"/>
      <c r="P2781" s="109"/>
      <c r="Q2781" s="109"/>
      <c r="S2781" s="111"/>
      <c r="T2781" s="60"/>
      <c r="U2781" s="112"/>
    </row>
    <row r="2782" spans="4:21" s="110" customFormat="1" ht="15.75" customHeight="1">
      <c r="D2782" s="113"/>
      <c r="E2782" s="60"/>
      <c r="F2782" s="60"/>
      <c r="G2782" s="60"/>
      <c r="H2782" s="60"/>
      <c r="I2782" s="60"/>
      <c r="J2782" s="114"/>
      <c r="K2782" s="60"/>
      <c r="L2782" s="109"/>
      <c r="M2782" s="109"/>
      <c r="N2782" s="109"/>
      <c r="O2782" s="109"/>
      <c r="P2782" s="109"/>
      <c r="Q2782" s="109"/>
      <c r="S2782" s="111"/>
      <c r="T2782" s="60"/>
      <c r="U2782" s="112"/>
    </row>
    <row r="2783" spans="4:21" s="110" customFormat="1" ht="15.75" customHeight="1">
      <c r="D2783" s="113"/>
      <c r="E2783" s="60"/>
      <c r="F2783" s="60"/>
      <c r="G2783" s="60"/>
      <c r="H2783" s="60"/>
      <c r="I2783" s="60"/>
      <c r="J2783" s="114"/>
      <c r="K2783" s="60"/>
      <c r="L2783" s="109"/>
      <c r="M2783" s="109"/>
      <c r="N2783" s="109"/>
      <c r="O2783" s="109"/>
      <c r="P2783" s="109"/>
      <c r="Q2783" s="109"/>
      <c r="S2783" s="111"/>
      <c r="T2783" s="60"/>
      <c r="U2783" s="112"/>
    </row>
    <row r="2784" spans="4:21" s="110" customFormat="1" ht="15.75" customHeight="1">
      <c r="D2784" s="113"/>
      <c r="E2784" s="60"/>
      <c r="F2784" s="60"/>
      <c r="G2784" s="60"/>
      <c r="H2784" s="60"/>
      <c r="I2784" s="60"/>
      <c r="J2784" s="114"/>
      <c r="K2784" s="60"/>
      <c r="L2784" s="109"/>
      <c r="M2784" s="109"/>
      <c r="N2784" s="109"/>
      <c r="O2784" s="109"/>
      <c r="P2784" s="109"/>
      <c r="Q2784" s="109"/>
      <c r="S2784" s="111"/>
      <c r="T2784" s="60"/>
      <c r="U2784" s="112"/>
    </row>
    <row r="2785" spans="4:21" s="110" customFormat="1" ht="15.75" customHeight="1">
      <c r="D2785" s="113"/>
      <c r="E2785" s="60"/>
      <c r="F2785" s="60"/>
      <c r="G2785" s="60"/>
      <c r="H2785" s="60"/>
      <c r="I2785" s="60"/>
      <c r="J2785" s="114"/>
      <c r="K2785" s="60"/>
      <c r="L2785" s="109"/>
      <c r="M2785" s="109"/>
      <c r="N2785" s="109"/>
      <c r="O2785" s="109"/>
      <c r="P2785" s="109"/>
      <c r="Q2785" s="109"/>
      <c r="S2785" s="111"/>
      <c r="T2785" s="60"/>
      <c r="U2785" s="112"/>
    </row>
    <row r="2786" spans="4:21" s="110" customFormat="1" ht="15.75" customHeight="1">
      <c r="D2786" s="113"/>
      <c r="E2786" s="60"/>
      <c r="F2786" s="60"/>
      <c r="G2786" s="60"/>
      <c r="H2786" s="60"/>
      <c r="I2786" s="60"/>
      <c r="J2786" s="114"/>
      <c r="K2786" s="60"/>
      <c r="L2786" s="109"/>
      <c r="M2786" s="109"/>
      <c r="N2786" s="109"/>
      <c r="O2786" s="109"/>
      <c r="P2786" s="109"/>
      <c r="Q2786" s="109"/>
      <c r="S2786" s="111"/>
      <c r="T2786" s="60"/>
      <c r="U2786" s="112"/>
    </row>
    <row r="2787" spans="4:21" s="110" customFormat="1" ht="15.75" customHeight="1">
      <c r="D2787" s="113"/>
      <c r="E2787" s="60"/>
      <c r="F2787" s="60"/>
      <c r="G2787" s="60"/>
      <c r="H2787" s="60"/>
      <c r="I2787" s="60"/>
      <c r="J2787" s="114"/>
      <c r="K2787" s="60"/>
      <c r="L2787" s="109"/>
      <c r="M2787" s="109"/>
      <c r="N2787" s="109"/>
      <c r="O2787" s="109"/>
      <c r="P2787" s="109"/>
      <c r="Q2787" s="109"/>
      <c r="S2787" s="111"/>
      <c r="T2787" s="60"/>
      <c r="U2787" s="112"/>
    </row>
    <row r="2788" spans="4:21" s="110" customFormat="1" ht="15.75" customHeight="1">
      <c r="D2788" s="113"/>
      <c r="E2788" s="60"/>
      <c r="F2788" s="60"/>
      <c r="G2788" s="60"/>
      <c r="H2788" s="60"/>
      <c r="I2788" s="60"/>
      <c r="J2788" s="114"/>
      <c r="K2788" s="60"/>
      <c r="L2788" s="109"/>
      <c r="M2788" s="109"/>
      <c r="N2788" s="109"/>
      <c r="O2788" s="109"/>
      <c r="P2788" s="109"/>
      <c r="Q2788" s="109"/>
      <c r="S2788" s="111"/>
      <c r="T2788" s="60"/>
      <c r="U2788" s="112"/>
    </row>
    <row r="2789" spans="4:21" s="110" customFormat="1" ht="15.75" customHeight="1">
      <c r="D2789" s="113"/>
      <c r="E2789" s="60"/>
      <c r="F2789" s="60"/>
      <c r="G2789" s="60"/>
      <c r="H2789" s="60"/>
      <c r="I2789" s="60"/>
      <c r="J2789" s="114"/>
      <c r="K2789" s="60"/>
      <c r="L2789" s="109"/>
      <c r="M2789" s="109"/>
      <c r="N2789" s="109"/>
      <c r="O2789" s="109"/>
      <c r="P2789" s="109"/>
      <c r="Q2789" s="109"/>
      <c r="S2789" s="111"/>
      <c r="T2789" s="60"/>
      <c r="U2789" s="112"/>
    </row>
    <row r="2790" spans="4:21" s="110" customFormat="1" ht="15.75" customHeight="1">
      <c r="D2790" s="113"/>
      <c r="E2790" s="60"/>
      <c r="F2790" s="60"/>
      <c r="G2790" s="60"/>
      <c r="H2790" s="60"/>
      <c r="I2790" s="60"/>
      <c r="J2790" s="114"/>
      <c r="K2790" s="60"/>
      <c r="L2790" s="109"/>
      <c r="M2790" s="109"/>
      <c r="N2790" s="109"/>
      <c r="O2790" s="109"/>
      <c r="P2790" s="109"/>
      <c r="Q2790" s="109"/>
      <c r="S2790" s="111"/>
      <c r="T2790" s="60"/>
      <c r="U2790" s="112"/>
    </row>
    <row r="2791" spans="4:21" s="110" customFormat="1" ht="15.75" customHeight="1">
      <c r="D2791" s="113"/>
      <c r="E2791" s="60"/>
      <c r="F2791" s="60"/>
      <c r="G2791" s="60"/>
      <c r="H2791" s="60"/>
      <c r="I2791" s="60"/>
      <c r="J2791" s="114"/>
      <c r="K2791" s="60"/>
      <c r="L2791" s="109"/>
      <c r="M2791" s="109"/>
      <c r="N2791" s="109"/>
      <c r="O2791" s="109"/>
      <c r="P2791" s="109"/>
      <c r="Q2791" s="109"/>
      <c r="S2791" s="111"/>
      <c r="T2791" s="60"/>
      <c r="U2791" s="112"/>
    </row>
    <row r="2792" spans="4:21" s="110" customFormat="1" ht="15.75" customHeight="1">
      <c r="D2792" s="113"/>
      <c r="E2792" s="60"/>
      <c r="F2792" s="60"/>
      <c r="G2792" s="60"/>
      <c r="H2792" s="60"/>
      <c r="I2792" s="60"/>
      <c r="J2792" s="114"/>
      <c r="K2792" s="60"/>
      <c r="L2792" s="109"/>
      <c r="M2792" s="109"/>
      <c r="N2792" s="109"/>
      <c r="O2792" s="109"/>
      <c r="P2792" s="109"/>
      <c r="Q2792" s="109"/>
      <c r="S2792" s="111"/>
      <c r="T2792" s="60"/>
      <c r="U2792" s="112"/>
    </row>
    <row r="2793" spans="4:21" s="110" customFormat="1" ht="15.75" customHeight="1">
      <c r="D2793" s="113"/>
      <c r="E2793" s="60"/>
      <c r="F2793" s="60"/>
      <c r="G2793" s="60"/>
      <c r="H2793" s="60"/>
      <c r="I2793" s="60"/>
      <c r="J2793" s="114"/>
      <c r="K2793" s="60"/>
      <c r="L2793" s="109"/>
      <c r="M2793" s="109"/>
      <c r="N2793" s="109"/>
      <c r="O2793" s="109"/>
      <c r="P2793" s="109"/>
      <c r="Q2793" s="109"/>
      <c r="S2793" s="111"/>
      <c r="T2793" s="60"/>
      <c r="U2793" s="112"/>
    </row>
    <row r="2794" spans="4:21" s="110" customFormat="1" ht="15.75" customHeight="1">
      <c r="D2794" s="113"/>
      <c r="E2794" s="60"/>
      <c r="F2794" s="60"/>
      <c r="G2794" s="60"/>
      <c r="H2794" s="60"/>
      <c r="I2794" s="60"/>
      <c r="J2794" s="114"/>
      <c r="K2794" s="60"/>
      <c r="L2794" s="109"/>
      <c r="M2794" s="109"/>
      <c r="N2794" s="109"/>
      <c r="O2794" s="109"/>
      <c r="P2794" s="109"/>
      <c r="Q2794" s="109"/>
      <c r="S2794" s="111"/>
      <c r="T2794" s="60"/>
      <c r="U2794" s="112"/>
    </row>
    <row r="2795" spans="4:21" s="110" customFormat="1" ht="15.75" customHeight="1">
      <c r="D2795" s="113"/>
      <c r="E2795" s="60"/>
      <c r="F2795" s="60"/>
      <c r="G2795" s="60"/>
      <c r="H2795" s="60"/>
      <c r="I2795" s="60"/>
      <c r="J2795" s="114"/>
      <c r="K2795" s="60"/>
      <c r="L2795" s="109"/>
      <c r="M2795" s="109"/>
      <c r="N2795" s="109"/>
      <c r="O2795" s="109"/>
      <c r="P2795" s="109"/>
      <c r="Q2795" s="109"/>
      <c r="S2795" s="111"/>
      <c r="T2795" s="60"/>
      <c r="U2795" s="112"/>
    </row>
    <row r="2796" spans="4:21" s="110" customFormat="1" ht="15.75" customHeight="1">
      <c r="D2796" s="113"/>
      <c r="E2796" s="60"/>
      <c r="F2796" s="60"/>
      <c r="G2796" s="60"/>
      <c r="H2796" s="60"/>
      <c r="I2796" s="60"/>
      <c r="J2796" s="114"/>
      <c r="K2796" s="60"/>
      <c r="L2796" s="109"/>
      <c r="M2796" s="109"/>
      <c r="N2796" s="109"/>
      <c r="O2796" s="109"/>
      <c r="P2796" s="109"/>
      <c r="Q2796" s="109"/>
      <c r="S2796" s="111"/>
      <c r="T2796" s="60"/>
      <c r="U2796" s="112"/>
    </row>
    <row r="2797" spans="4:21" s="110" customFormat="1" ht="15.75" customHeight="1">
      <c r="D2797" s="113"/>
      <c r="E2797" s="60"/>
      <c r="F2797" s="60"/>
      <c r="G2797" s="60"/>
      <c r="H2797" s="60"/>
      <c r="I2797" s="60"/>
      <c r="J2797" s="114"/>
      <c r="K2797" s="60"/>
      <c r="L2797" s="109"/>
      <c r="M2797" s="109"/>
      <c r="N2797" s="109"/>
      <c r="O2797" s="109"/>
      <c r="P2797" s="109"/>
      <c r="Q2797" s="109"/>
      <c r="S2797" s="111"/>
      <c r="T2797" s="60"/>
      <c r="U2797" s="112"/>
    </row>
    <row r="2798" spans="4:21" s="110" customFormat="1" ht="15.75" customHeight="1">
      <c r="D2798" s="113"/>
      <c r="E2798" s="60"/>
      <c r="F2798" s="60"/>
      <c r="G2798" s="60"/>
      <c r="H2798" s="60"/>
      <c r="I2798" s="60"/>
      <c r="J2798" s="114"/>
      <c r="K2798" s="60"/>
      <c r="L2798" s="109"/>
      <c r="M2798" s="109"/>
      <c r="N2798" s="109"/>
      <c r="O2798" s="109"/>
      <c r="P2798" s="109"/>
      <c r="Q2798" s="109"/>
      <c r="S2798" s="111"/>
      <c r="T2798" s="60"/>
      <c r="U2798" s="112"/>
    </row>
    <row r="2799" spans="4:21" s="110" customFormat="1" ht="15.75" customHeight="1">
      <c r="D2799" s="113"/>
      <c r="E2799" s="60"/>
      <c r="F2799" s="60"/>
      <c r="G2799" s="60"/>
      <c r="H2799" s="60"/>
      <c r="I2799" s="60"/>
      <c r="J2799" s="114"/>
      <c r="K2799" s="60"/>
      <c r="L2799" s="109"/>
      <c r="M2799" s="109"/>
      <c r="N2799" s="109"/>
      <c r="O2799" s="109"/>
      <c r="P2799" s="109"/>
      <c r="Q2799" s="109"/>
      <c r="S2799" s="111"/>
      <c r="T2799" s="60"/>
      <c r="U2799" s="112"/>
    </row>
    <row r="2800" spans="4:21" s="110" customFormat="1" ht="15.75" customHeight="1">
      <c r="D2800" s="113"/>
      <c r="E2800" s="60"/>
      <c r="F2800" s="60"/>
      <c r="G2800" s="60"/>
      <c r="H2800" s="60"/>
      <c r="I2800" s="60"/>
      <c r="J2800" s="114"/>
      <c r="K2800" s="60"/>
      <c r="L2800" s="109"/>
      <c r="M2800" s="109"/>
      <c r="N2800" s="109"/>
      <c r="O2800" s="109"/>
      <c r="P2800" s="109"/>
      <c r="Q2800" s="109"/>
      <c r="S2800" s="111"/>
      <c r="T2800" s="60"/>
      <c r="U2800" s="112"/>
    </row>
    <row r="2801" spans="4:21" s="110" customFormat="1" ht="15.75" customHeight="1">
      <c r="D2801" s="113"/>
      <c r="E2801" s="60"/>
      <c r="F2801" s="60"/>
      <c r="G2801" s="60"/>
      <c r="H2801" s="60"/>
      <c r="I2801" s="60"/>
      <c r="J2801" s="114"/>
      <c r="K2801" s="60"/>
      <c r="L2801" s="109"/>
      <c r="M2801" s="109"/>
      <c r="N2801" s="109"/>
      <c r="O2801" s="109"/>
      <c r="P2801" s="109"/>
      <c r="Q2801" s="109"/>
      <c r="S2801" s="111"/>
      <c r="T2801" s="60"/>
      <c r="U2801" s="112"/>
    </row>
    <row r="2802" spans="4:21" s="110" customFormat="1" ht="15.75" customHeight="1">
      <c r="D2802" s="113"/>
      <c r="E2802" s="60"/>
      <c r="F2802" s="60"/>
      <c r="G2802" s="60"/>
      <c r="H2802" s="60"/>
      <c r="I2802" s="60"/>
      <c r="J2802" s="114"/>
      <c r="K2802" s="60"/>
      <c r="L2802" s="109"/>
      <c r="M2802" s="109"/>
      <c r="N2802" s="109"/>
      <c r="O2802" s="109"/>
      <c r="P2802" s="109"/>
      <c r="Q2802" s="109"/>
      <c r="S2802" s="111"/>
      <c r="T2802" s="60"/>
      <c r="U2802" s="112"/>
    </row>
    <row r="2803" spans="4:21" s="110" customFormat="1" ht="15.75" customHeight="1">
      <c r="D2803" s="113"/>
      <c r="E2803" s="60"/>
      <c r="F2803" s="60"/>
      <c r="G2803" s="60"/>
      <c r="H2803" s="60"/>
      <c r="I2803" s="60"/>
      <c r="J2803" s="114"/>
      <c r="K2803" s="60"/>
      <c r="L2803" s="109"/>
      <c r="M2803" s="109"/>
      <c r="N2803" s="109"/>
      <c r="O2803" s="109"/>
      <c r="P2803" s="109"/>
      <c r="Q2803" s="109"/>
      <c r="S2803" s="111"/>
      <c r="T2803" s="60"/>
      <c r="U2803" s="112"/>
    </row>
    <row r="2804" spans="4:21" s="110" customFormat="1" ht="15.75" customHeight="1">
      <c r="D2804" s="113"/>
      <c r="E2804" s="60"/>
      <c r="F2804" s="60"/>
      <c r="G2804" s="60"/>
      <c r="H2804" s="60"/>
      <c r="I2804" s="60"/>
      <c r="J2804" s="114"/>
      <c r="K2804" s="60"/>
      <c r="L2804" s="109"/>
      <c r="M2804" s="109"/>
      <c r="N2804" s="109"/>
      <c r="O2804" s="109"/>
      <c r="P2804" s="109"/>
      <c r="Q2804" s="109"/>
      <c r="S2804" s="111"/>
      <c r="T2804" s="60"/>
      <c r="U2804" s="112"/>
    </row>
    <row r="2805" spans="4:21" s="110" customFormat="1" ht="15.75" customHeight="1">
      <c r="D2805" s="113"/>
      <c r="E2805" s="60"/>
      <c r="F2805" s="60"/>
      <c r="G2805" s="60"/>
      <c r="H2805" s="60"/>
      <c r="I2805" s="60"/>
      <c r="J2805" s="114"/>
      <c r="K2805" s="60"/>
      <c r="L2805" s="109"/>
      <c r="M2805" s="109"/>
      <c r="N2805" s="109"/>
      <c r="O2805" s="109"/>
      <c r="P2805" s="109"/>
      <c r="Q2805" s="109"/>
      <c r="S2805" s="111"/>
      <c r="T2805" s="60"/>
      <c r="U2805" s="112"/>
    </row>
    <row r="2806" spans="4:21" s="110" customFormat="1" ht="15.75" customHeight="1">
      <c r="D2806" s="113"/>
      <c r="E2806" s="60"/>
      <c r="F2806" s="60"/>
      <c r="G2806" s="60"/>
      <c r="H2806" s="60"/>
      <c r="I2806" s="60"/>
      <c r="J2806" s="114"/>
      <c r="K2806" s="60"/>
      <c r="L2806" s="109"/>
      <c r="M2806" s="109"/>
      <c r="N2806" s="109"/>
      <c r="O2806" s="109"/>
      <c r="P2806" s="109"/>
      <c r="Q2806" s="109"/>
      <c r="S2806" s="111"/>
      <c r="T2806" s="60"/>
      <c r="U2806" s="112"/>
    </row>
    <row r="2807" spans="4:21" s="110" customFormat="1" ht="15.75" customHeight="1">
      <c r="D2807" s="113"/>
      <c r="E2807" s="60"/>
      <c r="F2807" s="60"/>
      <c r="G2807" s="60"/>
      <c r="H2807" s="60"/>
      <c r="I2807" s="60"/>
      <c r="J2807" s="114"/>
      <c r="K2807" s="60"/>
      <c r="L2807" s="109"/>
      <c r="M2807" s="109"/>
      <c r="N2807" s="109"/>
      <c r="O2807" s="109"/>
      <c r="P2807" s="109"/>
      <c r="Q2807" s="109"/>
      <c r="S2807" s="111"/>
      <c r="T2807" s="60"/>
      <c r="U2807" s="112"/>
    </row>
    <row r="2808" spans="4:21" s="110" customFormat="1" ht="15.75" customHeight="1">
      <c r="D2808" s="113"/>
      <c r="E2808" s="60"/>
      <c r="F2808" s="60"/>
      <c r="G2808" s="60"/>
      <c r="H2808" s="60"/>
      <c r="I2808" s="60"/>
      <c r="J2808" s="114"/>
      <c r="K2808" s="60"/>
      <c r="L2808" s="109"/>
      <c r="M2808" s="109"/>
      <c r="N2808" s="109"/>
      <c r="O2808" s="109"/>
      <c r="P2808" s="109"/>
      <c r="Q2808" s="109"/>
      <c r="S2808" s="111"/>
      <c r="T2808" s="60"/>
      <c r="U2808" s="112"/>
    </row>
    <row r="2809" spans="4:21" s="110" customFormat="1" ht="15.75" customHeight="1">
      <c r="D2809" s="113"/>
      <c r="E2809" s="60"/>
      <c r="F2809" s="60"/>
      <c r="G2809" s="60"/>
      <c r="H2809" s="60"/>
      <c r="I2809" s="60"/>
      <c r="J2809" s="114"/>
      <c r="K2809" s="60"/>
      <c r="L2809" s="109"/>
      <c r="M2809" s="109"/>
      <c r="N2809" s="109"/>
      <c r="O2809" s="109"/>
      <c r="P2809" s="109"/>
      <c r="Q2809" s="109"/>
      <c r="S2809" s="111"/>
      <c r="T2809" s="60"/>
      <c r="U2809" s="112"/>
    </row>
    <row r="2810" spans="4:21" s="110" customFormat="1" ht="15.75" customHeight="1">
      <c r="D2810" s="113"/>
      <c r="E2810" s="60"/>
      <c r="F2810" s="60"/>
      <c r="G2810" s="60"/>
      <c r="H2810" s="60"/>
      <c r="I2810" s="60"/>
      <c r="J2810" s="114"/>
      <c r="K2810" s="60"/>
      <c r="L2810" s="109"/>
      <c r="M2810" s="109"/>
      <c r="N2810" s="109"/>
      <c r="O2810" s="109"/>
      <c r="P2810" s="109"/>
      <c r="Q2810" s="109"/>
      <c r="S2810" s="111"/>
      <c r="T2810" s="60"/>
      <c r="U2810" s="112"/>
    </row>
    <row r="2811" spans="4:21" s="110" customFormat="1" ht="15.75" customHeight="1">
      <c r="D2811" s="113"/>
      <c r="E2811" s="60"/>
      <c r="F2811" s="60"/>
      <c r="G2811" s="60"/>
      <c r="H2811" s="60"/>
      <c r="I2811" s="60"/>
      <c r="J2811" s="114"/>
      <c r="K2811" s="60"/>
      <c r="L2811" s="109"/>
      <c r="M2811" s="109"/>
      <c r="N2811" s="109"/>
      <c r="O2811" s="109"/>
      <c r="P2811" s="109"/>
      <c r="Q2811" s="109"/>
      <c r="S2811" s="111"/>
      <c r="T2811" s="60"/>
      <c r="U2811" s="112"/>
    </row>
    <row r="2812" spans="4:21" s="110" customFormat="1" ht="15.75" customHeight="1">
      <c r="D2812" s="113"/>
      <c r="E2812" s="60"/>
      <c r="F2812" s="60"/>
      <c r="G2812" s="60"/>
      <c r="H2812" s="60"/>
      <c r="I2812" s="60"/>
      <c r="J2812" s="114"/>
      <c r="K2812" s="60"/>
      <c r="L2812" s="109"/>
      <c r="M2812" s="109"/>
      <c r="N2812" s="109"/>
      <c r="O2812" s="109"/>
      <c r="P2812" s="109"/>
      <c r="Q2812" s="109"/>
      <c r="S2812" s="111"/>
      <c r="T2812" s="60"/>
      <c r="U2812" s="112"/>
    </row>
    <row r="2813" spans="4:21" s="110" customFormat="1" ht="15.75" customHeight="1">
      <c r="D2813" s="113"/>
      <c r="E2813" s="60"/>
      <c r="F2813" s="60"/>
      <c r="G2813" s="60"/>
      <c r="H2813" s="60"/>
      <c r="I2813" s="60"/>
      <c r="J2813" s="114"/>
      <c r="K2813" s="60"/>
      <c r="L2813" s="109"/>
      <c r="M2813" s="109"/>
      <c r="N2813" s="109"/>
      <c r="O2813" s="109"/>
      <c r="P2813" s="109"/>
      <c r="Q2813" s="109"/>
      <c r="S2813" s="111"/>
      <c r="T2813" s="60"/>
      <c r="U2813" s="112"/>
    </row>
    <row r="2814" spans="4:21" s="110" customFormat="1" ht="15.75" customHeight="1">
      <c r="D2814" s="113"/>
      <c r="E2814" s="60"/>
      <c r="F2814" s="60"/>
      <c r="G2814" s="60"/>
      <c r="H2814" s="60"/>
      <c r="I2814" s="60"/>
      <c r="J2814" s="114"/>
      <c r="K2814" s="60"/>
      <c r="L2814" s="109"/>
      <c r="M2814" s="109"/>
      <c r="N2814" s="109"/>
      <c r="O2814" s="109"/>
      <c r="P2814" s="109"/>
      <c r="Q2814" s="109"/>
      <c r="S2814" s="111"/>
      <c r="T2814" s="60"/>
      <c r="U2814" s="112"/>
    </row>
    <row r="2815" spans="4:21" s="110" customFormat="1" ht="15.75" customHeight="1">
      <c r="D2815" s="113"/>
      <c r="E2815" s="60"/>
      <c r="F2815" s="60"/>
      <c r="G2815" s="60"/>
      <c r="H2815" s="60"/>
      <c r="I2815" s="60"/>
      <c r="J2815" s="114"/>
      <c r="K2815" s="60"/>
      <c r="L2815" s="109"/>
      <c r="M2815" s="109"/>
      <c r="N2815" s="109"/>
      <c r="O2815" s="109"/>
      <c r="P2815" s="109"/>
      <c r="Q2815" s="109"/>
      <c r="S2815" s="111"/>
      <c r="T2815" s="60"/>
      <c r="U2815" s="112"/>
    </row>
    <row r="2816" spans="4:21" s="110" customFormat="1" ht="15.75" customHeight="1">
      <c r="D2816" s="113"/>
      <c r="E2816" s="60"/>
      <c r="F2816" s="60"/>
      <c r="G2816" s="60"/>
      <c r="H2816" s="60"/>
      <c r="I2816" s="60"/>
      <c r="J2816" s="114"/>
      <c r="K2816" s="60"/>
      <c r="L2816" s="109"/>
      <c r="M2816" s="109"/>
      <c r="N2816" s="109"/>
      <c r="O2816" s="109"/>
      <c r="P2816" s="109"/>
      <c r="Q2816" s="109"/>
      <c r="S2816" s="111"/>
      <c r="T2816" s="60"/>
      <c r="U2816" s="112"/>
    </row>
    <row r="2817" spans="4:21" s="110" customFormat="1" ht="15.75" customHeight="1">
      <c r="D2817" s="113"/>
      <c r="E2817" s="60"/>
      <c r="F2817" s="60"/>
      <c r="G2817" s="60"/>
      <c r="H2817" s="60"/>
      <c r="I2817" s="60"/>
      <c r="J2817" s="114"/>
      <c r="K2817" s="60"/>
      <c r="L2817" s="109"/>
      <c r="M2817" s="109"/>
      <c r="N2817" s="109"/>
      <c r="O2817" s="109"/>
      <c r="P2817" s="109"/>
      <c r="Q2817" s="109"/>
      <c r="S2817" s="111"/>
      <c r="T2817" s="60"/>
      <c r="U2817" s="112"/>
    </row>
    <row r="2818" spans="4:21" s="110" customFormat="1" ht="15.75" customHeight="1">
      <c r="D2818" s="113"/>
      <c r="E2818" s="60"/>
      <c r="F2818" s="60"/>
      <c r="G2818" s="60"/>
      <c r="H2818" s="60"/>
      <c r="I2818" s="60"/>
      <c r="J2818" s="114"/>
      <c r="K2818" s="60"/>
      <c r="L2818" s="109"/>
      <c r="M2818" s="109"/>
      <c r="N2818" s="109"/>
      <c r="O2818" s="109"/>
      <c r="P2818" s="109"/>
      <c r="Q2818" s="109"/>
      <c r="S2818" s="111"/>
      <c r="T2818" s="60"/>
      <c r="U2818" s="112"/>
    </row>
    <row r="2819" spans="4:21" s="110" customFormat="1" ht="15.75" customHeight="1">
      <c r="D2819" s="113"/>
      <c r="E2819" s="60"/>
      <c r="F2819" s="60"/>
      <c r="G2819" s="60"/>
      <c r="H2819" s="60"/>
      <c r="I2819" s="60"/>
      <c r="J2819" s="114"/>
      <c r="K2819" s="60"/>
      <c r="L2819" s="109"/>
      <c r="M2819" s="109"/>
      <c r="N2819" s="109"/>
      <c r="O2819" s="109"/>
      <c r="P2819" s="109"/>
      <c r="Q2819" s="109"/>
      <c r="S2819" s="111"/>
      <c r="T2819" s="60"/>
      <c r="U2819" s="112"/>
    </row>
    <row r="2820" spans="4:21" s="110" customFormat="1" ht="15.75" customHeight="1">
      <c r="D2820" s="113"/>
      <c r="E2820" s="60"/>
      <c r="F2820" s="60"/>
      <c r="G2820" s="60"/>
      <c r="H2820" s="60"/>
      <c r="I2820" s="60"/>
      <c r="J2820" s="114"/>
      <c r="K2820" s="60"/>
      <c r="L2820" s="109"/>
      <c r="M2820" s="109"/>
      <c r="N2820" s="109"/>
      <c r="O2820" s="109"/>
      <c r="P2820" s="109"/>
      <c r="Q2820" s="109"/>
      <c r="S2820" s="111"/>
      <c r="T2820" s="60"/>
      <c r="U2820" s="112"/>
    </row>
    <row r="2821" spans="4:21" s="110" customFormat="1" ht="15.75" customHeight="1">
      <c r="D2821" s="113"/>
      <c r="E2821" s="60"/>
      <c r="F2821" s="60"/>
      <c r="G2821" s="60"/>
      <c r="H2821" s="60"/>
      <c r="I2821" s="60"/>
      <c r="J2821" s="114"/>
      <c r="K2821" s="60"/>
      <c r="L2821" s="109"/>
      <c r="M2821" s="109"/>
      <c r="N2821" s="109"/>
      <c r="O2821" s="109"/>
      <c r="P2821" s="109"/>
      <c r="Q2821" s="109"/>
      <c r="S2821" s="111"/>
      <c r="T2821" s="60"/>
      <c r="U2821" s="112"/>
    </row>
    <row r="2822" spans="4:21" s="110" customFormat="1" ht="15.75" customHeight="1">
      <c r="D2822" s="113"/>
      <c r="E2822" s="60"/>
      <c r="F2822" s="60"/>
      <c r="G2822" s="60"/>
      <c r="H2822" s="60"/>
      <c r="I2822" s="60"/>
      <c r="J2822" s="114"/>
      <c r="K2822" s="60"/>
      <c r="L2822" s="109"/>
      <c r="M2822" s="109"/>
      <c r="N2822" s="109"/>
      <c r="O2822" s="109"/>
      <c r="P2822" s="109"/>
      <c r="Q2822" s="109"/>
      <c r="S2822" s="111"/>
      <c r="T2822" s="60"/>
      <c r="U2822" s="112"/>
    </row>
    <row r="2823" spans="4:21" s="110" customFormat="1" ht="15.75" customHeight="1">
      <c r="D2823" s="113"/>
      <c r="E2823" s="60"/>
      <c r="F2823" s="60"/>
      <c r="G2823" s="60"/>
      <c r="H2823" s="60"/>
      <c r="I2823" s="60"/>
      <c r="J2823" s="114"/>
      <c r="K2823" s="60"/>
      <c r="L2823" s="109"/>
      <c r="M2823" s="109"/>
      <c r="N2823" s="109"/>
      <c r="O2823" s="109"/>
      <c r="P2823" s="109"/>
      <c r="Q2823" s="109"/>
      <c r="S2823" s="111"/>
      <c r="T2823" s="60"/>
      <c r="U2823" s="112"/>
    </row>
    <row r="2824" spans="4:21" s="110" customFormat="1" ht="15.75" customHeight="1">
      <c r="D2824" s="113"/>
      <c r="E2824" s="60"/>
      <c r="F2824" s="60"/>
      <c r="G2824" s="60"/>
      <c r="H2824" s="60"/>
      <c r="I2824" s="60"/>
      <c r="J2824" s="114"/>
      <c r="K2824" s="60"/>
      <c r="L2824" s="109"/>
      <c r="M2824" s="109"/>
      <c r="N2824" s="109"/>
      <c r="O2824" s="109"/>
      <c r="P2824" s="109"/>
      <c r="Q2824" s="109"/>
      <c r="S2824" s="111"/>
      <c r="T2824" s="60"/>
      <c r="U2824" s="112"/>
    </row>
    <row r="2825" spans="4:21" s="110" customFormat="1" ht="15.75" customHeight="1">
      <c r="D2825" s="113"/>
      <c r="E2825" s="60"/>
      <c r="F2825" s="60"/>
      <c r="G2825" s="60"/>
      <c r="H2825" s="60"/>
      <c r="I2825" s="60"/>
      <c r="J2825" s="114"/>
      <c r="K2825" s="60"/>
      <c r="L2825" s="109"/>
      <c r="M2825" s="109"/>
      <c r="N2825" s="109"/>
      <c r="O2825" s="109"/>
      <c r="P2825" s="109"/>
      <c r="Q2825" s="109"/>
      <c r="S2825" s="111"/>
      <c r="T2825" s="60"/>
      <c r="U2825" s="112"/>
    </row>
    <row r="2826" spans="4:21" s="110" customFormat="1" ht="15.75" customHeight="1">
      <c r="D2826" s="113"/>
      <c r="E2826" s="60"/>
      <c r="F2826" s="60"/>
      <c r="G2826" s="60"/>
      <c r="H2826" s="60"/>
      <c r="I2826" s="60"/>
      <c r="J2826" s="114"/>
      <c r="K2826" s="60"/>
      <c r="L2826" s="109"/>
      <c r="M2826" s="109"/>
      <c r="N2826" s="109"/>
      <c r="O2826" s="109"/>
      <c r="P2826" s="109"/>
      <c r="Q2826" s="109"/>
      <c r="S2826" s="111"/>
      <c r="T2826" s="60"/>
      <c r="U2826" s="112"/>
    </row>
    <row r="2827" spans="4:21" s="110" customFormat="1" ht="15.75" customHeight="1">
      <c r="D2827" s="113"/>
      <c r="E2827" s="60"/>
      <c r="F2827" s="60"/>
      <c r="G2827" s="60"/>
      <c r="H2827" s="60"/>
      <c r="I2827" s="60"/>
      <c r="J2827" s="114"/>
      <c r="K2827" s="60"/>
      <c r="L2827" s="109"/>
      <c r="M2827" s="109"/>
      <c r="N2827" s="109"/>
      <c r="O2827" s="109"/>
      <c r="P2827" s="109"/>
      <c r="Q2827" s="109"/>
      <c r="S2827" s="111"/>
      <c r="T2827" s="60"/>
      <c r="U2827" s="112"/>
    </row>
    <row r="2828" spans="4:21" s="110" customFormat="1" ht="15.75" customHeight="1">
      <c r="D2828" s="113"/>
      <c r="E2828" s="60"/>
      <c r="F2828" s="60"/>
      <c r="G2828" s="60"/>
      <c r="H2828" s="60"/>
      <c r="I2828" s="60"/>
      <c r="J2828" s="114"/>
      <c r="K2828" s="60"/>
      <c r="L2828" s="109"/>
      <c r="M2828" s="109"/>
      <c r="N2828" s="109"/>
      <c r="O2828" s="109"/>
      <c r="P2828" s="109"/>
      <c r="Q2828" s="109"/>
      <c r="S2828" s="111"/>
      <c r="T2828" s="60"/>
      <c r="U2828" s="112"/>
    </row>
    <row r="2829" spans="4:21" s="110" customFormat="1" ht="15.75" customHeight="1">
      <c r="D2829" s="113"/>
      <c r="E2829" s="60"/>
      <c r="F2829" s="60"/>
      <c r="G2829" s="60"/>
      <c r="H2829" s="60"/>
      <c r="I2829" s="60"/>
      <c r="J2829" s="114"/>
      <c r="K2829" s="60"/>
      <c r="L2829" s="109"/>
      <c r="M2829" s="109"/>
      <c r="N2829" s="109"/>
      <c r="O2829" s="109"/>
      <c r="P2829" s="109"/>
      <c r="Q2829" s="109"/>
      <c r="S2829" s="111"/>
      <c r="T2829" s="60"/>
      <c r="U2829" s="112"/>
    </row>
    <row r="2830" spans="4:21" s="110" customFormat="1" ht="15.75" customHeight="1">
      <c r="D2830" s="113"/>
      <c r="E2830" s="60"/>
      <c r="F2830" s="60"/>
      <c r="G2830" s="60"/>
      <c r="H2830" s="60"/>
      <c r="I2830" s="60"/>
      <c r="J2830" s="114"/>
      <c r="K2830" s="60"/>
      <c r="L2830" s="109"/>
      <c r="M2830" s="109"/>
      <c r="N2830" s="109"/>
      <c r="O2830" s="109"/>
      <c r="P2830" s="109"/>
      <c r="Q2830" s="109"/>
      <c r="S2830" s="111"/>
      <c r="T2830" s="60"/>
      <c r="U2830" s="112"/>
    </row>
    <row r="2831" spans="4:21" s="110" customFormat="1" ht="15.75" customHeight="1">
      <c r="D2831" s="113"/>
      <c r="E2831" s="60"/>
      <c r="F2831" s="60"/>
      <c r="G2831" s="60"/>
      <c r="H2831" s="60"/>
      <c r="I2831" s="60"/>
      <c r="J2831" s="114"/>
      <c r="K2831" s="60"/>
      <c r="L2831" s="109"/>
      <c r="M2831" s="109"/>
      <c r="N2831" s="109"/>
      <c r="O2831" s="109"/>
      <c r="P2831" s="109"/>
      <c r="Q2831" s="109"/>
      <c r="S2831" s="111"/>
      <c r="T2831" s="60"/>
      <c r="U2831" s="112"/>
    </row>
    <row r="2832" spans="4:21" s="110" customFormat="1" ht="15.75" customHeight="1">
      <c r="D2832" s="113"/>
      <c r="E2832" s="60"/>
      <c r="F2832" s="60"/>
      <c r="G2832" s="60"/>
      <c r="H2832" s="60"/>
      <c r="I2832" s="60"/>
      <c r="J2832" s="114"/>
      <c r="K2832" s="60"/>
      <c r="L2832" s="109"/>
      <c r="M2832" s="109"/>
      <c r="N2832" s="109"/>
      <c r="O2832" s="109"/>
      <c r="P2832" s="109"/>
      <c r="Q2832" s="109"/>
      <c r="S2832" s="111"/>
      <c r="T2832" s="60"/>
      <c r="U2832" s="112"/>
    </row>
    <row r="2833" spans="4:21" s="110" customFormat="1" ht="15.75" customHeight="1">
      <c r="D2833" s="113"/>
      <c r="E2833" s="60"/>
      <c r="F2833" s="60"/>
      <c r="G2833" s="60"/>
      <c r="H2833" s="60"/>
      <c r="I2833" s="60"/>
      <c r="J2833" s="114"/>
      <c r="K2833" s="60"/>
      <c r="L2833" s="109"/>
      <c r="M2833" s="109"/>
      <c r="N2833" s="109"/>
      <c r="O2833" s="109"/>
      <c r="P2833" s="109"/>
      <c r="Q2833" s="109"/>
      <c r="S2833" s="111"/>
      <c r="T2833" s="60"/>
      <c r="U2833" s="112"/>
    </row>
    <row r="2834" spans="4:21" s="110" customFormat="1" ht="15.75" customHeight="1">
      <c r="D2834" s="113"/>
      <c r="E2834" s="60"/>
      <c r="F2834" s="60"/>
      <c r="G2834" s="60"/>
      <c r="H2834" s="60"/>
      <c r="I2834" s="60"/>
      <c r="J2834" s="114"/>
      <c r="K2834" s="60"/>
      <c r="L2834" s="109"/>
      <c r="M2834" s="109"/>
      <c r="N2834" s="109"/>
      <c r="O2834" s="109"/>
      <c r="P2834" s="109"/>
      <c r="Q2834" s="109"/>
      <c r="S2834" s="111"/>
      <c r="T2834" s="60"/>
      <c r="U2834" s="112"/>
    </row>
    <row r="2835" spans="4:21" s="110" customFormat="1" ht="15.75" customHeight="1">
      <c r="D2835" s="113"/>
      <c r="E2835" s="60"/>
      <c r="F2835" s="60"/>
      <c r="G2835" s="60"/>
      <c r="H2835" s="60"/>
      <c r="I2835" s="60"/>
      <c r="J2835" s="114"/>
      <c r="K2835" s="60"/>
      <c r="L2835" s="109"/>
      <c r="M2835" s="109"/>
      <c r="N2835" s="109"/>
      <c r="O2835" s="109"/>
      <c r="P2835" s="109"/>
      <c r="Q2835" s="109"/>
      <c r="S2835" s="111"/>
      <c r="T2835" s="60"/>
      <c r="U2835" s="112"/>
    </row>
    <row r="2836" spans="4:21" s="110" customFormat="1" ht="15.75" customHeight="1">
      <c r="D2836" s="113"/>
      <c r="E2836" s="60"/>
      <c r="F2836" s="60"/>
      <c r="G2836" s="60"/>
      <c r="H2836" s="60"/>
      <c r="I2836" s="60"/>
      <c r="J2836" s="114"/>
      <c r="K2836" s="60"/>
      <c r="L2836" s="109"/>
      <c r="M2836" s="109"/>
      <c r="N2836" s="109"/>
      <c r="O2836" s="109"/>
      <c r="P2836" s="109"/>
      <c r="Q2836" s="109"/>
      <c r="S2836" s="111"/>
      <c r="T2836" s="60"/>
      <c r="U2836" s="112"/>
    </row>
    <row r="2837" spans="4:21" s="110" customFormat="1" ht="15.75" customHeight="1">
      <c r="D2837" s="113"/>
      <c r="E2837" s="60"/>
      <c r="F2837" s="60"/>
      <c r="G2837" s="60"/>
      <c r="H2837" s="60"/>
      <c r="I2837" s="60"/>
      <c r="J2837" s="114"/>
      <c r="K2837" s="60"/>
      <c r="L2837" s="109"/>
      <c r="M2837" s="109"/>
      <c r="N2837" s="109"/>
      <c r="O2837" s="109"/>
      <c r="P2837" s="109"/>
      <c r="Q2837" s="109"/>
      <c r="S2837" s="111"/>
      <c r="T2837" s="60"/>
      <c r="U2837" s="112"/>
    </row>
    <row r="2838" spans="4:21" s="110" customFormat="1" ht="15.75" customHeight="1">
      <c r="D2838" s="113"/>
      <c r="E2838" s="60"/>
      <c r="F2838" s="60"/>
      <c r="G2838" s="60"/>
      <c r="H2838" s="60"/>
      <c r="I2838" s="60"/>
      <c r="J2838" s="114"/>
      <c r="K2838" s="60"/>
      <c r="L2838" s="109"/>
      <c r="M2838" s="109"/>
      <c r="N2838" s="109"/>
      <c r="O2838" s="109"/>
      <c r="P2838" s="109"/>
      <c r="Q2838" s="109"/>
      <c r="S2838" s="111"/>
      <c r="T2838" s="60"/>
      <c r="U2838" s="112"/>
    </row>
    <row r="2839" spans="4:21" s="110" customFormat="1" ht="15.75" customHeight="1">
      <c r="D2839" s="113"/>
      <c r="E2839" s="60"/>
      <c r="F2839" s="60"/>
      <c r="G2839" s="60"/>
      <c r="H2839" s="60"/>
      <c r="I2839" s="60"/>
      <c r="J2839" s="114"/>
      <c r="K2839" s="60"/>
      <c r="L2839" s="109"/>
      <c r="M2839" s="109"/>
      <c r="N2839" s="109"/>
      <c r="O2839" s="109"/>
      <c r="P2839" s="109"/>
      <c r="Q2839" s="109"/>
      <c r="S2839" s="111"/>
      <c r="T2839" s="60"/>
      <c r="U2839" s="112"/>
    </row>
    <row r="2840" spans="4:21" s="110" customFormat="1" ht="15.75" customHeight="1">
      <c r="D2840" s="113"/>
      <c r="E2840" s="60"/>
      <c r="F2840" s="60"/>
      <c r="G2840" s="60"/>
      <c r="H2840" s="60"/>
      <c r="I2840" s="60"/>
      <c r="J2840" s="114"/>
      <c r="K2840" s="60"/>
      <c r="L2840" s="109"/>
      <c r="M2840" s="109"/>
      <c r="N2840" s="109"/>
      <c r="O2840" s="109"/>
      <c r="P2840" s="109"/>
      <c r="Q2840" s="109"/>
      <c r="S2840" s="111"/>
      <c r="T2840" s="60"/>
      <c r="U2840" s="112"/>
    </row>
    <row r="2841" spans="4:21" s="110" customFormat="1" ht="15.75" customHeight="1">
      <c r="D2841" s="113"/>
      <c r="E2841" s="60"/>
      <c r="F2841" s="60"/>
      <c r="G2841" s="60"/>
      <c r="H2841" s="60"/>
      <c r="I2841" s="60"/>
      <c r="J2841" s="114"/>
      <c r="K2841" s="60"/>
      <c r="L2841" s="109"/>
      <c r="M2841" s="109"/>
      <c r="N2841" s="109"/>
      <c r="O2841" s="109"/>
      <c r="P2841" s="109"/>
      <c r="Q2841" s="109"/>
      <c r="S2841" s="111"/>
      <c r="T2841" s="60"/>
      <c r="U2841" s="112"/>
    </row>
    <row r="2842" spans="4:21" s="110" customFormat="1" ht="15.75" customHeight="1">
      <c r="D2842" s="113"/>
      <c r="E2842" s="60"/>
      <c r="F2842" s="60"/>
      <c r="G2842" s="60"/>
      <c r="H2842" s="60"/>
      <c r="I2842" s="60"/>
      <c r="J2842" s="114"/>
      <c r="K2842" s="60"/>
      <c r="L2842" s="109"/>
      <c r="M2842" s="109"/>
      <c r="N2842" s="109"/>
      <c r="O2842" s="109"/>
      <c r="P2842" s="109"/>
      <c r="Q2842" s="109"/>
      <c r="S2842" s="111"/>
      <c r="T2842" s="60"/>
      <c r="U2842" s="112"/>
    </row>
    <row r="2843" spans="4:21" s="110" customFormat="1" ht="15.75" customHeight="1">
      <c r="D2843" s="113"/>
      <c r="E2843" s="60"/>
      <c r="F2843" s="60"/>
      <c r="G2843" s="60"/>
      <c r="H2843" s="60"/>
      <c r="I2843" s="60"/>
      <c r="J2843" s="114"/>
      <c r="K2843" s="60"/>
      <c r="L2843" s="109"/>
      <c r="M2843" s="109"/>
      <c r="N2843" s="109"/>
      <c r="O2843" s="109"/>
      <c r="P2843" s="109"/>
      <c r="Q2843" s="109"/>
      <c r="S2843" s="111"/>
      <c r="T2843" s="60"/>
      <c r="U2843" s="112"/>
    </row>
    <row r="2844" spans="4:21" s="110" customFormat="1" ht="15.75" customHeight="1">
      <c r="D2844" s="113"/>
      <c r="E2844" s="60"/>
      <c r="F2844" s="60"/>
      <c r="G2844" s="60"/>
      <c r="H2844" s="60"/>
      <c r="I2844" s="60"/>
      <c r="J2844" s="114"/>
      <c r="K2844" s="60"/>
      <c r="L2844" s="109"/>
      <c r="M2844" s="109"/>
      <c r="N2844" s="109"/>
      <c r="O2844" s="109"/>
      <c r="P2844" s="109"/>
      <c r="Q2844" s="109"/>
      <c r="S2844" s="111"/>
      <c r="T2844" s="60"/>
      <c r="U2844" s="112"/>
    </row>
    <row r="2845" spans="4:21" s="110" customFormat="1" ht="15.75" customHeight="1">
      <c r="D2845" s="113"/>
      <c r="E2845" s="60"/>
      <c r="F2845" s="60"/>
      <c r="G2845" s="60"/>
      <c r="H2845" s="60"/>
      <c r="I2845" s="60"/>
      <c r="J2845" s="114"/>
      <c r="K2845" s="60"/>
      <c r="L2845" s="109"/>
      <c r="M2845" s="109"/>
      <c r="N2845" s="109"/>
      <c r="O2845" s="109"/>
      <c r="P2845" s="109"/>
      <c r="Q2845" s="109"/>
      <c r="S2845" s="111"/>
      <c r="T2845" s="60"/>
      <c r="U2845" s="112"/>
    </row>
    <row r="2846" spans="4:21" s="110" customFormat="1" ht="15.75" customHeight="1">
      <c r="D2846" s="113"/>
      <c r="E2846" s="60"/>
      <c r="F2846" s="60"/>
      <c r="G2846" s="60"/>
      <c r="H2846" s="60"/>
      <c r="I2846" s="60"/>
      <c r="J2846" s="114"/>
      <c r="K2846" s="60"/>
      <c r="L2846" s="109"/>
      <c r="M2846" s="109"/>
      <c r="N2846" s="109"/>
      <c r="O2846" s="109"/>
      <c r="P2846" s="109"/>
      <c r="Q2846" s="109"/>
      <c r="S2846" s="111"/>
      <c r="T2846" s="60"/>
      <c r="U2846" s="112"/>
    </row>
    <row r="2847" spans="4:21" s="110" customFormat="1" ht="15.75" customHeight="1">
      <c r="D2847" s="113"/>
      <c r="E2847" s="60"/>
      <c r="F2847" s="60"/>
      <c r="G2847" s="60"/>
      <c r="H2847" s="60"/>
      <c r="I2847" s="60"/>
      <c r="J2847" s="114"/>
      <c r="K2847" s="60"/>
      <c r="L2847" s="109"/>
      <c r="M2847" s="109"/>
      <c r="N2847" s="109"/>
      <c r="O2847" s="109"/>
      <c r="P2847" s="109"/>
      <c r="Q2847" s="109"/>
      <c r="S2847" s="111"/>
      <c r="T2847" s="60"/>
      <c r="U2847" s="112"/>
    </row>
    <row r="2848" spans="4:21" s="110" customFormat="1" ht="15.75" customHeight="1">
      <c r="D2848" s="113"/>
      <c r="E2848" s="60"/>
      <c r="F2848" s="60"/>
      <c r="G2848" s="60"/>
      <c r="H2848" s="60"/>
      <c r="I2848" s="60"/>
      <c r="J2848" s="114"/>
      <c r="K2848" s="60"/>
      <c r="L2848" s="109"/>
      <c r="M2848" s="109"/>
      <c r="N2848" s="109"/>
      <c r="O2848" s="109"/>
      <c r="P2848" s="109"/>
      <c r="Q2848" s="109"/>
      <c r="S2848" s="111"/>
      <c r="T2848" s="60"/>
      <c r="U2848" s="112"/>
    </row>
    <row r="2849" spans="4:21" s="110" customFormat="1" ht="15.75" customHeight="1">
      <c r="D2849" s="113"/>
      <c r="E2849" s="60"/>
      <c r="F2849" s="60"/>
      <c r="G2849" s="60"/>
      <c r="H2849" s="60"/>
      <c r="I2849" s="60"/>
      <c r="J2849" s="114"/>
      <c r="K2849" s="60"/>
      <c r="L2849" s="109"/>
      <c r="M2849" s="109"/>
      <c r="N2849" s="109"/>
      <c r="O2849" s="109"/>
      <c r="P2849" s="109"/>
      <c r="Q2849" s="109"/>
      <c r="S2849" s="111"/>
      <c r="T2849" s="60"/>
      <c r="U2849" s="112"/>
    </row>
    <row r="2850" spans="4:21" s="110" customFormat="1" ht="15.75" customHeight="1">
      <c r="D2850" s="113"/>
      <c r="E2850" s="60"/>
      <c r="F2850" s="60"/>
      <c r="G2850" s="60"/>
      <c r="H2850" s="60"/>
      <c r="I2850" s="60"/>
      <c r="J2850" s="114"/>
      <c r="K2850" s="60"/>
      <c r="L2850" s="109"/>
      <c r="M2850" s="109"/>
      <c r="N2850" s="109"/>
      <c r="O2850" s="109"/>
      <c r="P2850" s="109"/>
      <c r="Q2850" s="109"/>
      <c r="S2850" s="111"/>
      <c r="T2850" s="60"/>
      <c r="U2850" s="112"/>
    </row>
    <row r="2851" spans="4:21" s="110" customFormat="1" ht="15.75" customHeight="1">
      <c r="D2851" s="113"/>
      <c r="E2851" s="60"/>
      <c r="F2851" s="60"/>
      <c r="G2851" s="60"/>
      <c r="H2851" s="60"/>
      <c r="I2851" s="60"/>
      <c r="J2851" s="114"/>
      <c r="K2851" s="60"/>
      <c r="L2851" s="109"/>
      <c r="M2851" s="109"/>
      <c r="N2851" s="109"/>
      <c r="O2851" s="109"/>
      <c r="P2851" s="109"/>
      <c r="Q2851" s="109"/>
      <c r="S2851" s="111"/>
      <c r="T2851" s="60"/>
      <c r="U2851" s="112"/>
    </row>
    <row r="2852" spans="4:21" s="110" customFormat="1" ht="15.75" customHeight="1">
      <c r="D2852" s="113"/>
      <c r="E2852" s="60"/>
      <c r="F2852" s="60"/>
      <c r="G2852" s="60"/>
      <c r="H2852" s="60"/>
      <c r="I2852" s="60"/>
      <c r="J2852" s="114"/>
      <c r="K2852" s="60"/>
      <c r="L2852" s="109"/>
      <c r="M2852" s="109"/>
      <c r="N2852" s="109"/>
      <c r="O2852" s="109"/>
      <c r="P2852" s="109"/>
      <c r="Q2852" s="109"/>
      <c r="S2852" s="111"/>
      <c r="T2852" s="60"/>
      <c r="U2852" s="112"/>
    </row>
    <row r="2853" spans="4:21" s="110" customFormat="1" ht="15.75" customHeight="1">
      <c r="D2853" s="113"/>
      <c r="E2853" s="60"/>
      <c r="F2853" s="60"/>
      <c r="G2853" s="60"/>
      <c r="H2853" s="60"/>
      <c r="I2853" s="60"/>
      <c r="J2853" s="114"/>
      <c r="K2853" s="60"/>
      <c r="L2853" s="109"/>
      <c r="M2853" s="109"/>
      <c r="N2853" s="109"/>
      <c r="O2853" s="109"/>
      <c r="P2853" s="109"/>
      <c r="Q2853" s="109"/>
      <c r="S2853" s="111"/>
      <c r="T2853" s="60"/>
      <c r="U2853" s="112"/>
    </row>
    <row r="2854" spans="4:21" s="110" customFormat="1" ht="15.75" customHeight="1">
      <c r="D2854" s="113"/>
      <c r="E2854" s="60"/>
      <c r="F2854" s="60"/>
      <c r="G2854" s="60"/>
      <c r="H2854" s="60"/>
      <c r="I2854" s="60"/>
      <c r="J2854" s="114"/>
      <c r="K2854" s="60"/>
      <c r="L2854" s="109"/>
      <c r="M2854" s="109"/>
      <c r="N2854" s="109"/>
      <c r="O2854" s="109"/>
      <c r="P2854" s="109"/>
      <c r="Q2854" s="109"/>
      <c r="S2854" s="111"/>
      <c r="T2854" s="60"/>
      <c r="U2854" s="112"/>
    </row>
    <row r="2855" spans="4:21" s="110" customFormat="1" ht="15.75" customHeight="1">
      <c r="D2855" s="113"/>
      <c r="E2855" s="60"/>
      <c r="F2855" s="60"/>
      <c r="G2855" s="60"/>
      <c r="H2855" s="60"/>
      <c r="I2855" s="60"/>
      <c r="J2855" s="114"/>
      <c r="K2855" s="60"/>
      <c r="L2855" s="109"/>
      <c r="M2855" s="109"/>
      <c r="N2855" s="109"/>
      <c r="O2855" s="109"/>
      <c r="P2855" s="109"/>
      <c r="Q2855" s="109"/>
      <c r="S2855" s="111"/>
      <c r="T2855" s="60"/>
      <c r="U2855" s="112"/>
    </row>
    <row r="2856" spans="4:21" s="110" customFormat="1" ht="15.75" customHeight="1">
      <c r="D2856" s="113"/>
      <c r="E2856" s="60"/>
      <c r="F2856" s="60"/>
      <c r="G2856" s="60"/>
      <c r="H2856" s="60"/>
      <c r="I2856" s="60"/>
      <c r="J2856" s="114"/>
      <c r="K2856" s="60"/>
      <c r="L2856" s="109"/>
      <c r="M2856" s="109"/>
      <c r="N2856" s="109"/>
      <c r="O2856" s="109"/>
      <c r="P2856" s="109"/>
      <c r="Q2856" s="109"/>
      <c r="S2856" s="111"/>
      <c r="T2856" s="60"/>
      <c r="U2856" s="112"/>
    </row>
    <row r="2857" spans="4:21" s="110" customFormat="1" ht="15.75" customHeight="1">
      <c r="D2857" s="113"/>
      <c r="E2857" s="60"/>
      <c r="F2857" s="60"/>
      <c r="G2857" s="60"/>
      <c r="H2857" s="60"/>
      <c r="I2857" s="60"/>
      <c r="J2857" s="114"/>
      <c r="K2857" s="60"/>
      <c r="L2857" s="109"/>
      <c r="M2857" s="109"/>
      <c r="N2857" s="109"/>
      <c r="O2857" s="109"/>
      <c r="P2857" s="109"/>
      <c r="Q2857" s="109"/>
      <c r="S2857" s="111"/>
      <c r="T2857" s="60"/>
      <c r="U2857" s="112"/>
    </row>
    <row r="2858" spans="4:21" s="110" customFormat="1" ht="15.75" customHeight="1">
      <c r="D2858" s="113"/>
      <c r="E2858" s="60"/>
      <c r="F2858" s="60"/>
      <c r="G2858" s="60"/>
      <c r="H2858" s="60"/>
      <c r="I2858" s="60"/>
      <c r="J2858" s="114"/>
      <c r="K2858" s="60"/>
      <c r="L2858" s="109"/>
      <c r="M2858" s="109"/>
      <c r="N2858" s="109"/>
      <c r="O2858" s="109"/>
      <c r="P2858" s="109"/>
      <c r="Q2858" s="109"/>
      <c r="S2858" s="111"/>
      <c r="T2858" s="60"/>
      <c r="U2858" s="112"/>
    </row>
    <row r="2859" spans="4:21" s="110" customFormat="1" ht="15.75" customHeight="1">
      <c r="D2859" s="113"/>
      <c r="E2859" s="60"/>
      <c r="F2859" s="60"/>
      <c r="G2859" s="60"/>
      <c r="H2859" s="60"/>
      <c r="I2859" s="60"/>
      <c r="J2859" s="114"/>
      <c r="K2859" s="60"/>
      <c r="L2859" s="109"/>
      <c r="M2859" s="109"/>
      <c r="N2859" s="109"/>
      <c r="O2859" s="109"/>
      <c r="P2859" s="109"/>
      <c r="Q2859" s="109"/>
      <c r="S2859" s="111"/>
      <c r="T2859" s="60"/>
      <c r="U2859" s="112"/>
    </row>
    <row r="2860" spans="4:21" s="110" customFormat="1" ht="15.75" customHeight="1">
      <c r="D2860" s="113"/>
      <c r="E2860" s="60"/>
      <c r="F2860" s="60"/>
      <c r="G2860" s="60"/>
      <c r="H2860" s="60"/>
      <c r="I2860" s="60"/>
      <c r="J2860" s="114"/>
      <c r="K2860" s="60"/>
      <c r="L2860" s="109"/>
      <c r="M2860" s="109"/>
      <c r="N2860" s="109"/>
      <c r="O2860" s="109"/>
      <c r="P2860" s="109"/>
      <c r="Q2860" s="109"/>
      <c r="S2860" s="111"/>
      <c r="T2860" s="60"/>
      <c r="U2860" s="112"/>
    </row>
    <row r="2861" spans="4:21" s="110" customFormat="1" ht="15.75" customHeight="1">
      <c r="D2861" s="113"/>
      <c r="E2861" s="60"/>
      <c r="F2861" s="60"/>
      <c r="G2861" s="60"/>
      <c r="H2861" s="60"/>
      <c r="I2861" s="60"/>
      <c r="J2861" s="114"/>
      <c r="K2861" s="60"/>
      <c r="L2861" s="109"/>
      <c r="M2861" s="109"/>
      <c r="N2861" s="109"/>
      <c r="O2861" s="109"/>
      <c r="P2861" s="109"/>
      <c r="Q2861" s="109"/>
      <c r="S2861" s="111"/>
      <c r="T2861" s="60"/>
      <c r="U2861" s="112"/>
    </row>
    <row r="2862" spans="4:21" s="110" customFormat="1" ht="15.75" customHeight="1">
      <c r="D2862" s="113"/>
      <c r="E2862" s="60"/>
      <c r="F2862" s="60"/>
      <c r="G2862" s="60"/>
      <c r="H2862" s="60"/>
      <c r="I2862" s="60"/>
      <c r="J2862" s="114"/>
      <c r="K2862" s="60"/>
      <c r="L2862" s="109"/>
      <c r="M2862" s="109"/>
      <c r="N2862" s="109"/>
      <c r="O2862" s="109"/>
      <c r="P2862" s="109"/>
      <c r="Q2862" s="109"/>
      <c r="S2862" s="111"/>
      <c r="T2862" s="60"/>
      <c r="U2862" s="112"/>
    </row>
    <row r="2863" spans="4:21" s="110" customFormat="1" ht="15.75" customHeight="1">
      <c r="D2863" s="113"/>
      <c r="E2863" s="60"/>
      <c r="F2863" s="60"/>
      <c r="G2863" s="60"/>
      <c r="H2863" s="60"/>
      <c r="I2863" s="60"/>
      <c r="J2863" s="114"/>
      <c r="K2863" s="60"/>
      <c r="L2863" s="109"/>
      <c r="M2863" s="109"/>
      <c r="N2863" s="109"/>
      <c r="O2863" s="109"/>
      <c r="P2863" s="109"/>
      <c r="Q2863" s="109"/>
      <c r="S2863" s="111"/>
      <c r="T2863" s="60"/>
      <c r="U2863" s="112"/>
    </row>
    <row r="2864" spans="4:21" s="110" customFormat="1" ht="15.75" customHeight="1">
      <c r="D2864" s="113"/>
      <c r="E2864" s="60"/>
      <c r="F2864" s="60"/>
      <c r="G2864" s="60"/>
      <c r="H2864" s="60"/>
      <c r="I2864" s="60"/>
      <c r="J2864" s="114"/>
      <c r="K2864" s="60"/>
      <c r="L2864" s="109"/>
      <c r="M2864" s="109"/>
      <c r="N2864" s="109"/>
      <c r="O2864" s="109"/>
      <c r="P2864" s="109"/>
      <c r="Q2864" s="109"/>
      <c r="S2864" s="111"/>
      <c r="T2864" s="60"/>
      <c r="U2864" s="112"/>
    </row>
    <row r="2865" spans="4:21" s="110" customFormat="1" ht="15.75" customHeight="1">
      <c r="D2865" s="113"/>
      <c r="E2865" s="60"/>
      <c r="F2865" s="60"/>
      <c r="G2865" s="60"/>
      <c r="H2865" s="60"/>
      <c r="I2865" s="60"/>
      <c r="J2865" s="114"/>
      <c r="K2865" s="60"/>
      <c r="L2865" s="109"/>
      <c r="M2865" s="109"/>
      <c r="N2865" s="109"/>
      <c r="O2865" s="109"/>
      <c r="P2865" s="109"/>
      <c r="Q2865" s="109"/>
      <c r="S2865" s="111"/>
      <c r="T2865" s="60"/>
      <c r="U2865" s="112"/>
    </row>
    <row r="2866" spans="4:21" s="110" customFormat="1" ht="15.75" customHeight="1">
      <c r="D2866" s="113"/>
      <c r="E2866" s="60"/>
      <c r="F2866" s="60"/>
      <c r="G2866" s="60"/>
      <c r="H2866" s="60"/>
      <c r="I2866" s="60"/>
      <c r="J2866" s="114"/>
      <c r="K2866" s="60"/>
      <c r="L2866" s="109"/>
      <c r="M2866" s="109"/>
      <c r="N2866" s="109"/>
      <c r="O2866" s="109"/>
      <c r="P2866" s="109"/>
      <c r="Q2866" s="109"/>
      <c r="S2866" s="111"/>
      <c r="T2866" s="60"/>
      <c r="U2866" s="112"/>
    </row>
    <row r="2867" spans="4:21" s="110" customFormat="1" ht="15.75" customHeight="1">
      <c r="D2867" s="113"/>
      <c r="E2867" s="60"/>
      <c r="F2867" s="60"/>
      <c r="G2867" s="60"/>
      <c r="H2867" s="60"/>
      <c r="I2867" s="60"/>
      <c r="J2867" s="114"/>
      <c r="K2867" s="60"/>
      <c r="L2867" s="109"/>
      <c r="M2867" s="109"/>
      <c r="N2867" s="109"/>
      <c r="O2867" s="109"/>
      <c r="P2867" s="109"/>
      <c r="Q2867" s="109"/>
      <c r="S2867" s="111"/>
      <c r="T2867" s="60"/>
      <c r="U2867" s="112"/>
    </row>
    <row r="2868" spans="4:21" s="110" customFormat="1" ht="15.75" customHeight="1">
      <c r="D2868" s="113"/>
      <c r="E2868" s="60"/>
      <c r="F2868" s="60"/>
      <c r="G2868" s="60"/>
      <c r="H2868" s="60"/>
      <c r="I2868" s="60"/>
      <c r="J2868" s="114"/>
      <c r="K2868" s="60"/>
      <c r="L2868" s="109"/>
      <c r="M2868" s="109"/>
      <c r="N2868" s="109"/>
      <c r="O2868" s="109"/>
      <c r="P2868" s="109"/>
      <c r="Q2868" s="109"/>
      <c r="S2868" s="111"/>
      <c r="T2868" s="60"/>
      <c r="U2868" s="112"/>
    </row>
    <row r="2869" spans="4:21" s="110" customFormat="1" ht="15.75" customHeight="1">
      <c r="D2869" s="113"/>
      <c r="E2869" s="60"/>
      <c r="F2869" s="60"/>
      <c r="G2869" s="60"/>
      <c r="H2869" s="60"/>
      <c r="I2869" s="60"/>
      <c r="J2869" s="114"/>
      <c r="K2869" s="60"/>
      <c r="L2869" s="109"/>
      <c r="M2869" s="109"/>
      <c r="N2869" s="109"/>
      <c r="O2869" s="109"/>
      <c r="P2869" s="109"/>
      <c r="Q2869" s="109"/>
      <c r="S2869" s="111"/>
      <c r="T2869" s="60"/>
      <c r="U2869" s="112"/>
    </row>
    <row r="2870" spans="4:21" s="110" customFormat="1" ht="15.75" customHeight="1">
      <c r="D2870" s="113"/>
      <c r="E2870" s="60"/>
      <c r="F2870" s="60"/>
      <c r="G2870" s="60"/>
      <c r="H2870" s="60"/>
      <c r="I2870" s="60"/>
      <c r="J2870" s="114"/>
      <c r="K2870" s="60"/>
      <c r="L2870" s="109"/>
      <c r="M2870" s="109"/>
      <c r="N2870" s="109"/>
      <c r="O2870" s="109"/>
      <c r="P2870" s="109"/>
      <c r="Q2870" s="109"/>
      <c r="S2870" s="111"/>
      <c r="T2870" s="60"/>
      <c r="U2870" s="112"/>
    </row>
    <row r="2871" spans="4:21" s="110" customFormat="1" ht="15.75" customHeight="1">
      <c r="D2871" s="113"/>
      <c r="E2871" s="60"/>
      <c r="F2871" s="60"/>
      <c r="G2871" s="60"/>
      <c r="H2871" s="60"/>
      <c r="I2871" s="60"/>
      <c r="J2871" s="114"/>
      <c r="K2871" s="60"/>
      <c r="L2871" s="109"/>
      <c r="M2871" s="109"/>
      <c r="N2871" s="109"/>
      <c r="O2871" s="109"/>
      <c r="P2871" s="109"/>
      <c r="Q2871" s="109"/>
      <c r="S2871" s="111"/>
      <c r="T2871" s="60"/>
      <c r="U2871" s="112"/>
    </row>
    <row r="2872" spans="4:21" s="110" customFormat="1" ht="15.75" customHeight="1">
      <c r="D2872" s="113"/>
      <c r="E2872" s="60"/>
      <c r="F2872" s="60"/>
      <c r="G2872" s="60"/>
      <c r="H2872" s="60"/>
      <c r="I2872" s="60"/>
      <c r="J2872" s="114"/>
      <c r="K2872" s="60"/>
      <c r="L2872" s="109"/>
      <c r="M2872" s="109"/>
      <c r="N2872" s="109"/>
      <c r="O2872" s="109"/>
      <c r="P2872" s="109"/>
      <c r="Q2872" s="109"/>
      <c r="S2872" s="111"/>
      <c r="T2872" s="60"/>
      <c r="U2872" s="112"/>
    </row>
    <row r="2873" spans="4:21" s="110" customFormat="1" ht="15.75" customHeight="1">
      <c r="D2873" s="113"/>
      <c r="E2873" s="60"/>
      <c r="F2873" s="60"/>
      <c r="G2873" s="60"/>
      <c r="H2873" s="60"/>
      <c r="I2873" s="60"/>
      <c r="J2873" s="114"/>
      <c r="K2873" s="60"/>
      <c r="L2873" s="109"/>
      <c r="M2873" s="109"/>
      <c r="N2873" s="109"/>
      <c r="O2873" s="109"/>
      <c r="P2873" s="109"/>
      <c r="Q2873" s="109"/>
      <c r="S2873" s="111"/>
      <c r="T2873" s="60"/>
      <c r="U2873" s="112"/>
    </row>
    <row r="2874" spans="4:21" s="110" customFormat="1" ht="15.75" customHeight="1">
      <c r="D2874" s="113"/>
      <c r="E2874" s="60"/>
      <c r="F2874" s="60"/>
      <c r="G2874" s="60"/>
      <c r="H2874" s="60"/>
      <c r="I2874" s="60"/>
      <c r="J2874" s="114"/>
      <c r="K2874" s="60"/>
      <c r="L2874" s="109"/>
      <c r="M2874" s="109"/>
      <c r="N2874" s="109"/>
      <c r="O2874" s="109"/>
      <c r="P2874" s="109"/>
      <c r="Q2874" s="109"/>
      <c r="S2874" s="111"/>
      <c r="T2874" s="60"/>
      <c r="U2874" s="112"/>
    </row>
    <row r="2875" spans="4:21" s="110" customFormat="1" ht="15.75" customHeight="1">
      <c r="D2875" s="113"/>
      <c r="E2875" s="60"/>
      <c r="F2875" s="60"/>
      <c r="G2875" s="60"/>
      <c r="H2875" s="60"/>
      <c r="I2875" s="60"/>
      <c r="J2875" s="114"/>
      <c r="K2875" s="60"/>
      <c r="L2875" s="109"/>
      <c r="M2875" s="109"/>
      <c r="N2875" s="109"/>
      <c r="O2875" s="109"/>
      <c r="P2875" s="109"/>
      <c r="Q2875" s="109"/>
      <c r="S2875" s="111"/>
      <c r="T2875" s="60"/>
      <c r="U2875" s="112"/>
    </row>
    <row r="2876" spans="4:21" s="110" customFormat="1" ht="15.75" customHeight="1">
      <c r="D2876" s="113"/>
      <c r="E2876" s="60"/>
      <c r="F2876" s="60"/>
      <c r="G2876" s="60"/>
      <c r="H2876" s="60"/>
      <c r="I2876" s="60"/>
      <c r="J2876" s="114"/>
      <c r="K2876" s="60"/>
      <c r="L2876" s="109"/>
      <c r="M2876" s="109"/>
      <c r="N2876" s="109"/>
      <c r="O2876" s="109"/>
      <c r="P2876" s="109"/>
      <c r="Q2876" s="109"/>
      <c r="S2876" s="111"/>
      <c r="T2876" s="60"/>
      <c r="U2876" s="112"/>
    </row>
    <row r="2877" spans="4:21" s="110" customFormat="1" ht="15.75" customHeight="1">
      <c r="D2877" s="113"/>
      <c r="E2877" s="60"/>
      <c r="F2877" s="60"/>
      <c r="G2877" s="60"/>
      <c r="H2877" s="60"/>
      <c r="I2877" s="60"/>
      <c r="J2877" s="114"/>
      <c r="K2877" s="60"/>
      <c r="L2877" s="109"/>
      <c r="M2877" s="109"/>
      <c r="N2877" s="109"/>
      <c r="O2877" s="109"/>
      <c r="P2877" s="109"/>
      <c r="Q2877" s="109"/>
      <c r="S2877" s="111"/>
      <c r="T2877" s="60"/>
      <c r="U2877" s="112"/>
    </row>
    <row r="2878" spans="4:21" s="110" customFormat="1" ht="15.75" customHeight="1">
      <c r="D2878" s="113"/>
      <c r="E2878" s="60"/>
      <c r="F2878" s="60"/>
      <c r="G2878" s="60"/>
      <c r="H2878" s="60"/>
      <c r="I2878" s="60"/>
      <c r="J2878" s="114"/>
      <c r="K2878" s="60"/>
      <c r="L2878" s="109"/>
      <c r="M2878" s="109"/>
      <c r="N2878" s="109"/>
      <c r="O2878" s="109"/>
      <c r="P2878" s="109"/>
      <c r="Q2878" s="109"/>
      <c r="S2878" s="111"/>
      <c r="T2878" s="60"/>
      <c r="U2878" s="112"/>
    </row>
    <row r="2879" spans="4:21" s="110" customFormat="1" ht="15.75" customHeight="1">
      <c r="D2879" s="113"/>
      <c r="E2879" s="60"/>
      <c r="F2879" s="60"/>
      <c r="G2879" s="60"/>
      <c r="H2879" s="60"/>
      <c r="I2879" s="60"/>
      <c r="J2879" s="114"/>
      <c r="K2879" s="60"/>
      <c r="L2879" s="109"/>
      <c r="M2879" s="109"/>
      <c r="N2879" s="109"/>
      <c r="O2879" s="109"/>
      <c r="P2879" s="109"/>
      <c r="Q2879" s="109"/>
      <c r="S2879" s="111"/>
      <c r="T2879" s="60"/>
      <c r="U2879" s="112"/>
    </row>
    <row r="2880" spans="4:21" s="110" customFormat="1" ht="15.75" customHeight="1">
      <c r="D2880" s="113"/>
      <c r="E2880" s="60"/>
      <c r="F2880" s="60"/>
      <c r="G2880" s="60"/>
      <c r="H2880" s="60"/>
      <c r="I2880" s="60"/>
      <c r="J2880" s="114"/>
      <c r="K2880" s="60"/>
      <c r="L2880" s="109"/>
      <c r="M2880" s="109"/>
      <c r="N2880" s="109"/>
      <c r="O2880" s="109"/>
      <c r="P2880" s="109"/>
      <c r="Q2880" s="109"/>
      <c r="S2880" s="111"/>
      <c r="T2880" s="60"/>
      <c r="U2880" s="112"/>
    </row>
    <row r="2881" spans="4:21" s="110" customFormat="1" ht="15.75" customHeight="1">
      <c r="D2881" s="113"/>
      <c r="E2881" s="60"/>
      <c r="F2881" s="60"/>
      <c r="G2881" s="60"/>
      <c r="H2881" s="60"/>
      <c r="I2881" s="60"/>
      <c r="J2881" s="114"/>
      <c r="K2881" s="60"/>
      <c r="L2881" s="109"/>
      <c r="M2881" s="109"/>
      <c r="N2881" s="109"/>
      <c r="O2881" s="109"/>
      <c r="P2881" s="109"/>
      <c r="Q2881" s="109"/>
      <c r="S2881" s="111"/>
      <c r="T2881" s="60"/>
      <c r="U2881" s="112"/>
    </row>
    <row r="2882" spans="4:21" s="110" customFormat="1" ht="15.75" customHeight="1">
      <c r="D2882" s="113"/>
      <c r="E2882" s="60"/>
      <c r="F2882" s="60"/>
      <c r="G2882" s="60"/>
      <c r="H2882" s="60"/>
      <c r="I2882" s="60"/>
      <c r="J2882" s="114"/>
      <c r="K2882" s="60"/>
      <c r="L2882" s="109"/>
      <c r="M2882" s="109"/>
      <c r="N2882" s="109"/>
      <c r="O2882" s="109"/>
      <c r="P2882" s="109"/>
      <c r="Q2882" s="109"/>
      <c r="S2882" s="111"/>
      <c r="T2882" s="60"/>
      <c r="U2882" s="112"/>
    </row>
    <row r="2883" spans="4:21" s="110" customFormat="1" ht="15.75" customHeight="1">
      <c r="D2883" s="113"/>
      <c r="E2883" s="60"/>
      <c r="F2883" s="60"/>
      <c r="G2883" s="60"/>
      <c r="H2883" s="60"/>
      <c r="I2883" s="60"/>
      <c r="J2883" s="114"/>
      <c r="K2883" s="60"/>
      <c r="L2883" s="109"/>
      <c r="M2883" s="109"/>
      <c r="N2883" s="109"/>
      <c r="O2883" s="109"/>
      <c r="P2883" s="109"/>
      <c r="Q2883" s="109"/>
      <c r="S2883" s="111"/>
      <c r="T2883" s="60"/>
      <c r="U2883" s="112"/>
    </row>
    <row r="2884" spans="4:21" s="110" customFormat="1" ht="15.75" customHeight="1">
      <c r="D2884" s="113"/>
      <c r="E2884" s="60"/>
      <c r="F2884" s="60"/>
      <c r="G2884" s="60"/>
      <c r="H2884" s="60"/>
      <c r="I2884" s="60"/>
      <c r="J2884" s="114"/>
      <c r="K2884" s="60"/>
      <c r="L2884" s="109"/>
      <c r="M2884" s="109"/>
      <c r="N2884" s="109"/>
      <c r="O2884" s="109"/>
      <c r="P2884" s="109"/>
      <c r="Q2884" s="109"/>
      <c r="S2884" s="111"/>
      <c r="T2884" s="60"/>
      <c r="U2884" s="112"/>
    </row>
    <row r="2885" spans="4:21" s="110" customFormat="1" ht="15.75" customHeight="1">
      <c r="D2885" s="113"/>
      <c r="E2885" s="60"/>
      <c r="F2885" s="60"/>
      <c r="G2885" s="60"/>
      <c r="H2885" s="60"/>
      <c r="I2885" s="60"/>
      <c r="J2885" s="114"/>
      <c r="K2885" s="60"/>
      <c r="L2885" s="109"/>
      <c r="M2885" s="109"/>
      <c r="N2885" s="109"/>
      <c r="O2885" s="109"/>
      <c r="P2885" s="109"/>
      <c r="Q2885" s="109"/>
      <c r="S2885" s="111"/>
      <c r="T2885" s="60"/>
      <c r="U2885" s="112"/>
    </row>
    <row r="2886" spans="4:21" s="110" customFormat="1" ht="15.75" customHeight="1">
      <c r="D2886" s="113"/>
      <c r="E2886" s="60"/>
      <c r="F2886" s="60"/>
      <c r="G2886" s="60"/>
      <c r="H2886" s="60"/>
      <c r="I2886" s="60"/>
      <c r="J2886" s="114"/>
      <c r="K2886" s="60"/>
      <c r="L2886" s="109"/>
      <c r="M2886" s="109"/>
      <c r="N2886" s="109"/>
      <c r="O2886" s="109"/>
      <c r="P2886" s="109"/>
      <c r="Q2886" s="109"/>
      <c r="S2886" s="111"/>
      <c r="T2886" s="60"/>
      <c r="U2886" s="112"/>
    </row>
    <row r="2887" spans="4:21" s="110" customFormat="1" ht="15.75" customHeight="1">
      <c r="D2887" s="113"/>
      <c r="E2887" s="60"/>
      <c r="F2887" s="60"/>
      <c r="G2887" s="60"/>
      <c r="H2887" s="60"/>
      <c r="I2887" s="60"/>
      <c r="J2887" s="114"/>
      <c r="K2887" s="60"/>
      <c r="L2887" s="109"/>
      <c r="M2887" s="109"/>
      <c r="N2887" s="109"/>
      <c r="O2887" s="109"/>
      <c r="P2887" s="109"/>
      <c r="Q2887" s="109"/>
      <c r="S2887" s="111"/>
      <c r="T2887" s="60"/>
      <c r="U2887" s="112"/>
    </row>
    <row r="2888" spans="4:21" s="110" customFormat="1" ht="15.75" customHeight="1">
      <c r="D2888" s="113"/>
      <c r="E2888" s="60"/>
      <c r="F2888" s="60"/>
      <c r="G2888" s="60"/>
      <c r="H2888" s="60"/>
      <c r="I2888" s="60"/>
      <c r="J2888" s="114"/>
      <c r="K2888" s="60"/>
      <c r="L2888" s="109"/>
      <c r="M2888" s="109"/>
      <c r="N2888" s="109"/>
      <c r="O2888" s="109"/>
      <c r="P2888" s="109"/>
      <c r="Q2888" s="109"/>
      <c r="S2888" s="111"/>
      <c r="T2888" s="60"/>
      <c r="U2888" s="112"/>
    </row>
    <row r="2889" spans="4:21" s="110" customFormat="1" ht="15.75" customHeight="1">
      <c r="D2889" s="113"/>
      <c r="E2889" s="60"/>
      <c r="F2889" s="60"/>
      <c r="G2889" s="60"/>
      <c r="H2889" s="60"/>
      <c r="I2889" s="60"/>
      <c r="J2889" s="114"/>
      <c r="K2889" s="60"/>
      <c r="L2889" s="109"/>
      <c r="M2889" s="109"/>
      <c r="N2889" s="109"/>
      <c r="O2889" s="109"/>
      <c r="P2889" s="109"/>
      <c r="Q2889" s="109"/>
      <c r="S2889" s="111"/>
      <c r="T2889" s="60"/>
      <c r="U2889" s="112"/>
    </row>
    <row r="2890" spans="4:21" s="110" customFormat="1" ht="15.75" customHeight="1">
      <c r="D2890" s="113"/>
      <c r="E2890" s="60"/>
      <c r="F2890" s="60"/>
      <c r="G2890" s="60"/>
      <c r="H2890" s="60"/>
      <c r="I2890" s="60"/>
      <c r="J2890" s="114"/>
      <c r="K2890" s="60"/>
      <c r="L2890" s="109"/>
      <c r="M2890" s="109"/>
      <c r="N2890" s="109"/>
      <c r="O2890" s="109"/>
      <c r="P2890" s="109"/>
      <c r="Q2890" s="109"/>
      <c r="S2890" s="111"/>
      <c r="T2890" s="60"/>
      <c r="U2890" s="112"/>
    </row>
    <row r="2891" spans="4:21" s="110" customFormat="1" ht="15.75" customHeight="1">
      <c r="D2891" s="113"/>
      <c r="E2891" s="60"/>
      <c r="F2891" s="60"/>
      <c r="G2891" s="60"/>
      <c r="H2891" s="60"/>
      <c r="I2891" s="60"/>
      <c r="J2891" s="114"/>
      <c r="K2891" s="60"/>
      <c r="L2891" s="109"/>
      <c r="M2891" s="109"/>
      <c r="N2891" s="109"/>
      <c r="O2891" s="109"/>
      <c r="P2891" s="109"/>
      <c r="Q2891" s="109"/>
      <c r="S2891" s="111"/>
      <c r="T2891" s="60"/>
      <c r="U2891" s="112"/>
    </row>
    <row r="2892" spans="4:21" s="110" customFormat="1" ht="15.75" customHeight="1">
      <c r="D2892" s="113"/>
      <c r="E2892" s="60"/>
      <c r="F2892" s="60"/>
      <c r="G2892" s="60"/>
      <c r="H2892" s="60"/>
      <c r="I2892" s="60"/>
      <c r="J2892" s="114"/>
      <c r="K2892" s="60"/>
      <c r="L2892" s="109"/>
      <c r="M2892" s="109"/>
      <c r="N2892" s="109"/>
      <c r="O2892" s="109"/>
      <c r="P2892" s="109"/>
      <c r="Q2892" s="109"/>
      <c r="S2892" s="111"/>
      <c r="T2892" s="60"/>
      <c r="U2892" s="112"/>
    </row>
    <row r="2893" spans="4:21" s="110" customFormat="1" ht="15.75" customHeight="1">
      <c r="D2893" s="113"/>
      <c r="E2893" s="60"/>
      <c r="F2893" s="60"/>
      <c r="G2893" s="60"/>
      <c r="H2893" s="60"/>
      <c r="I2893" s="60"/>
      <c r="J2893" s="114"/>
      <c r="K2893" s="60"/>
      <c r="L2893" s="109"/>
      <c r="M2893" s="109"/>
      <c r="N2893" s="109"/>
      <c r="O2893" s="109"/>
      <c r="P2893" s="109"/>
      <c r="Q2893" s="109"/>
      <c r="S2893" s="111"/>
      <c r="T2893" s="60"/>
      <c r="U2893" s="112"/>
    </row>
    <row r="2894" spans="4:21" s="110" customFormat="1" ht="15.75" customHeight="1">
      <c r="D2894" s="113"/>
      <c r="E2894" s="60"/>
      <c r="F2894" s="60"/>
      <c r="G2894" s="60"/>
      <c r="H2894" s="60"/>
      <c r="I2894" s="60"/>
      <c r="J2894" s="114"/>
      <c r="K2894" s="60"/>
      <c r="L2894" s="109"/>
      <c r="M2894" s="109"/>
      <c r="N2894" s="109"/>
      <c r="O2894" s="109"/>
      <c r="P2894" s="109"/>
      <c r="Q2894" s="109"/>
      <c r="S2894" s="111"/>
      <c r="T2894" s="60"/>
      <c r="U2894" s="112"/>
    </row>
    <row r="2895" spans="4:21" s="110" customFormat="1" ht="15.75" customHeight="1">
      <c r="D2895" s="113"/>
      <c r="E2895" s="60"/>
      <c r="F2895" s="60"/>
      <c r="G2895" s="60"/>
      <c r="H2895" s="60"/>
      <c r="I2895" s="60"/>
      <c r="J2895" s="114"/>
      <c r="K2895" s="60"/>
      <c r="L2895" s="109"/>
      <c r="M2895" s="109"/>
      <c r="N2895" s="109"/>
      <c r="O2895" s="109"/>
      <c r="P2895" s="109"/>
      <c r="Q2895" s="109"/>
      <c r="S2895" s="111"/>
      <c r="T2895" s="60"/>
      <c r="U2895" s="112"/>
    </row>
    <row r="2896" spans="4:21" s="110" customFormat="1" ht="15.75" customHeight="1">
      <c r="D2896" s="113"/>
      <c r="E2896" s="60"/>
      <c r="F2896" s="60"/>
      <c r="G2896" s="60"/>
      <c r="H2896" s="60"/>
      <c r="I2896" s="60"/>
      <c r="J2896" s="114"/>
      <c r="K2896" s="60"/>
      <c r="L2896" s="109"/>
      <c r="M2896" s="109"/>
      <c r="N2896" s="109"/>
      <c r="O2896" s="109"/>
      <c r="P2896" s="109"/>
      <c r="Q2896" s="109"/>
      <c r="S2896" s="111"/>
      <c r="T2896" s="60"/>
      <c r="U2896" s="112"/>
    </row>
    <row r="2897" spans="4:21" s="110" customFormat="1" ht="15.75" customHeight="1">
      <c r="D2897" s="113"/>
      <c r="E2897" s="60"/>
      <c r="F2897" s="60"/>
      <c r="G2897" s="60"/>
      <c r="H2897" s="60"/>
      <c r="I2897" s="60"/>
      <c r="J2897" s="114"/>
      <c r="K2897" s="60"/>
      <c r="L2897" s="109"/>
      <c r="M2897" s="109"/>
      <c r="N2897" s="109"/>
      <c r="O2897" s="109"/>
      <c r="P2897" s="109"/>
      <c r="Q2897" s="109"/>
      <c r="S2897" s="111"/>
      <c r="T2897" s="60"/>
      <c r="U2897" s="112"/>
    </row>
    <row r="2898" spans="4:21" s="110" customFormat="1" ht="15.75" customHeight="1">
      <c r="D2898" s="113"/>
      <c r="E2898" s="60"/>
      <c r="F2898" s="60"/>
      <c r="G2898" s="60"/>
      <c r="H2898" s="60"/>
      <c r="I2898" s="60"/>
      <c r="J2898" s="114"/>
      <c r="K2898" s="60"/>
      <c r="L2898" s="109"/>
      <c r="M2898" s="109"/>
      <c r="N2898" s="109"/>
      <c r="O2898" s="109"/>
      <c r="P2898" s="109"/>
      <c r="Q2898" s="109"/>
      <c r="S2898" s="111"/>
      <c r="T2898" s="60"/>
      <c r="U2898" s="112"/>
    </row>
    <row r="2899" spans="4:21" s="110" customFormat="1" ht="15.75" customHeight="1">
      <c r="D2899" s="113"/>
      <c r="E2899" s="60"/>
      <c r="F2899" s="60"/>
      <c r="G2899" s="60"/>
      <c r="H2899" s="60"/>
      <c r="I2899" s="60"/>
      <c r="J2899" s="114"/>
      <c r="K2899" s="60"/>
      <c r="L2899" s="109"/>
      <c r="M2899" s="109"/>
      <c r="N2899" s="109"/>
      <c r="O2899" s="109"/>
      <c r="P2899" s="109"/>
      <c r="Q2899" s="109"/>
      <c r="S2899" s="111"/>
      <c r="T2899" s="60"/>
      <c r="U2899" s="112"/>
    </row>
    <row r="2900" spans="4:21" s="110" customFormat="1" ht="15.75" customHeight="1">
      <c r="D2900" s="113"/>
      <c r="E2900" s="60"/>
      <c r="F2900" s="60"/>
      <c r="G2900" s="60"/>
      <c r="H2900" s="60"/>
      <c r="I2900" s="60"/>
      <c r="J2900" s="114"/>
      <c r="K2900" s="60"/>
      <c r="L2900" s="109"/>
      <c r="M2900" s="109"/>
      <c r="N2900" s="109"/>
      <c r="O2900" s="109"/>
      <c r="P2900" s="109"/>
      <c r="Q2900" s="109"/>
      <c r="S2900" s="111"/>
      <c r="T2900" s="60"/>
      <c r="U2900" s="112"/>
    </row>
    <row r="2901" spans="4:21" s="110" customFormat="1" ht="15.75" customHeight="1">
      <c r="D2901" s="113"/>
      <c r="E2901" s="60"/>
      <c r="F2901" s="60"/>
      <c r="G2901" s="60"/>
      <c r="H2901" s="60"/>
      <c r="I2901" s="60"/>
      <c r="J2901" s="114"/>
      <c r="K2901" s="60"/>
      <c r="L2901" s="109"/>
      <c r="M2901" s="109"/>
      <c r="N2901" s="109"/>
      <c r="O2901" s="109"/>
      <c r="P2901" s="109"/>
      <c r="Q2901" s="109"/>
      <c r="S2901" s="111"/>
      <c r="T2901" s="60"/>
      <c r="U2901" s="112"/>
    </row>
    <row r="2902" spans="4:21" s="110" customFormat="1" ht="15.75" customHeight="1">
      <c r="D2902" s="113"/>
      <c r="E2902" s="60"/>
      <c r="F2902" s="60"/>
      <c r="G2902" s="60"/>
      <c r="H2902" s="60"/>
      <c r="I2902" s="60"/>
      <c r="J2902" s="114"/>
      <c r="K2902" s="60"/>
      <c r="L2902" s="109"/>
      <c r="M2902" s="109"/>
      <c r="N2902" s="109"/>
      <c r="O2902" s="109"/>
      <c r="P2902" s="109"/>
      <c r="Q2902" s="109"/>
      <c r="S2902" s="111"/>
      <c r="T2902" s="60"/>
      <c r="U2902" s="112"/>
    </row>
    <row r="2903" spans="4:21" s="110" customFormat="1" ht="15.75" customHeight="1">
      <c r="D2903" s="113"/>
      <c r="E2903" s="60"/>
      <c r="F2903" s="60"/>
      <c r="G2903" s="60"/>
      <c r="H2903" s="60"/>
      <c r="I2903" s="60"/>
      <c r="J2903" s="114"/>
      <c r="K2903" s="60"/>
      <c r="L2903" s="109"/>
      <c r="M2903" s="109"/>
      <c r="N2903" s="109"/>
      <c r="O2903" s="109"/>
      <c r="P2903" s="109"/>
      <c r="Q2903" s="109"/>
      <c r="S2903" s="111"/>
      <c r="T2903" s="60"/>
      <c r="U2903" s="112"/>
    </row>
    <row r="2904" spans="4:21" s="110" customFormat="1" ht="15.75" customHeight="1">
      <c r="D2904" s="113"/>
      <c r="E2904" s="60"/>
      <c r="F2904" s="60"/>
      <c r="G2904" s="60"/>
      <c r="H2904" s="60"/>
      <c r="I2904" s="60"/>
      <c r="J2904" s="114"/>
      <c r="K2904" s="60"/>
      <c r="L2904" s="109"/>
      <c r="M2904" s="109"/>
      <c r="N2904" s="109"/>
      <c r="O2904" s="109"/>
      <c r="P2904" s="109"/>
      <c r="Q2904" s="109"/>
      <c r="S2904" s="111"/>
      <c r="T2904" s="60"/>
      <c r="U2904" s="112"/>
    </row>
    <row r="2905" spans="4:21" s="110" customFormat="1" ht="15.75" customHeight="1">
      <c r="D2905" s="113"/>
      <c r="E2905" s="60"/>
      <c r="F2905" s="60"/>
      <c r="G2905" s="60"/>
      <c r="H2905" s="60"/>
      <c r="I2905" s="60"/>
      <c r="J2905" s="114"/>
      <c r="K2905" s="60"/>
      <c r="L2905" s="109"/>
      <c r="M2905" s="109"/>
      <c r="N2905" s="109"/>
      <c r="O2905" s="109"/>
      <c r="P2905" s="109"/>
      <c r="Q2905" s="109"/>
      <c r="S2905" s="111"/>
      <c r="T2905" s="60"/>
      <c r="U2905" s="112"/>
    </row>
    <row r="2906" spans="4:21" s="110" customFormat="1" ht="15.75" customHeight="1">
      <c r="D2906" s="113"/>
      <c r="E2906" s="60"/>
      <c r="F2906" s="60"/>
      <c r="G2906" s="60"/>
      <c r="H2906" s="60"/>
      <c r="I2906" s="60"/>
      <c r="J2906" s="114"/>
      <c r="K2906" s="60"/>
      <c r="L2906" s="109"/>
      <c r="M2906" s="109"/>
      <c r="N2906" s="109"/>
      <c r="O2906" s="109"/>
      <c r="P2906" s="109"/>
      <c r="Q2906" s="109"/>
      <c r="S2906" s="111"/>
      <c r="T2906" s="60"/>
      <c r="U2906" s="112"/>
    </row>
    <row r="2907" spans="4:21" s="110" customFormat="1" ht="15.75" customHeight="1">
      <c r="D2907" s="113"/>
      <c r="E2907" s="60"/>
      <c r="F2907" s="60"/>
      <c r="G2907" s="60"/>
      <c r="H2907" s="60"/>
      <c r="I2907" s="60"/>
      <c r="J2907" s="114"/>
      <c r="K2907" s="60"/>
      <c r="L2907" s="109"/>
      <c r="M2907" s="109"/>
      <c r="N2907" s="109"/>
      <c r="O2907" s="109"/>
      <c r="P2907" s="109"/>
      <c r="Q2907" s="109"/>
      <c r="S2907" s="111"/>
      <c r="T2907" s="60"/>
      <c r="U2907" s="112"/>
    </row>
    <row r="2908" spans="4:21" s="110" customFormat="1" ht="15.75" customHeight="1">
      <c r="D2908" s="113"/>
      <c r="E2908" s="60"/>
      <c r="F2908" s="60"/>
      <c r="G2908" s="60"/>
      <c r="H2908" s="60"/>
      <c r="I2908" s="60"/>
      <c r="J2908" s="114"/>
      <c r="K2908" s="60"/>
      <c r="L2908" s="109"/>
      <c r="M2908" s="109"/>
      <c r="N2908" s="109"/>
      <c r="O2908" s="109"/>
      <c r="P2908" s="109"/>
      <c r="Q2908" s="109"/>
      <c r="S2908" s="111"/>
      <c r="T2908" s="60"/>
      <c r="U2908" s="112"/>
    </row>
    <row r="2909" spans="4:21" s="110" customFormat="1" ht="15.75" customHeight="1">
      <c r="D2909" s="113"/>
      <c r="E2909" s="60"/>
      <c r="F2909" s="60"/>
      <c r="G2909" s="60"/>
      <c r="H2909" s="60"/>
      <c r="I2909" s="60"/>
      <c r="J2909" s="114"/>
      <c r="K2909" s="60"/>
      <c r="L2909" s="109"/>
      <c r="M2909" s="109"/>
      <c r="N2909" s="109"/>
      <c r="O2909" s="109"/>
      <c r="P2909" s="109"/>
      <c r="Q2909" s="109"/>
      <c r="S2909" s="111"/>
      <c r="T2909" s="60"/>
      <c r="U2909" s="112"/>
    </row>
    <row r="2910" spans="4:21" s="110" customFormat="1" ht="15.75" customHeight="1">
      <c r="D2910" s="113"/>
      <c r="E2910" s="60"/>
      <c r="F2910" s="60"/>
      <c r="G2910" s="60"/>
      <c r="H2910" s="60"/>
      <c r="I2910" s="60"/>
      <c r="J2910" s="114"/>
      <c r="K2910" s="60"/>
      <c r="L2910" s="109"/>
      <c r="M2910" s="109"/>
      <c r="N2910" s="109"/>
      <c r="O2910" s="109"/>
      <c r="P2910" s="109"/>
      <c r="Q2910" s="109"/>
      <c r="S2910" s="111"/>
      <c r="T2910" s="60"/>
      <c r="U2910" s="112"/>
    </row>
    <row r="2911" spans="4:21" s="110" customFormat="1" ht="15.75" customHeight="1">
      <c r="D2911" s="113"/>
      <c r="E2911" s="60"/>
      <c r="F2911" s="60"/>
      <c r="G2911" s="60"/>
      <c r="H2911" s="60"/>
      <c r="I2911" s="60"/>
      <c r="J2911" s="114"/>
      <c r="K2911" s="60"/>
      <c r="L2911" s="109"/>
      <c r="M2911" s="109"/>
      <c r="N2911" s="109"/>
      <c r="O2911" s="109"/>
      <c r="P2911" s="109"/>
      <c r="Q2911" s="109"/>
      <c r="S2911" s="111"/>
      <c r="T2911" s="60"/>
      <c r="U2911" s="112"/>
    </row>
    <row r="2912" spans="4:21" s="110" customFormat="1" ht="15.75" customHeight="1">
      <c r="D2912" s="113"/>
      <c r="E2912" s="60"/>
      <c r="F2912" s="60"/>
      <c r="G2912" s="60"/>
      <c r="H2912" s="60"/>
      <c r="I2912" s="60"/>
      <c r="J2912" s="114"/>
      <c r="K2912" s="60"/>
      <c r="L2912" s="109"/>
      <c r="M2912" s="109"/>
      <c r="N2912" s="109"/>
      <c r="O2912" s="109"/>
      <c r="P2912" s="109"/>
      <c r="Q2912" s="109"/>
      <c r="S2912" s="111"/>
      <c r="T2912" s="60"/>
      <c r="U2912" s="112"/>
    </row>
    <row r="2913" spans="4:21" s="110" customFormat="1" ht="15.75" customHeight="1">
      <c r="D2913" s="113"/>
      <c r="E2913" s="60"/>
      <c r="F2913" s="60"/>
      <c r="G2913" s="60"/>
      <c r="H2913" s="60"/>
      <c r="I2913" s="60"/>
      <c r="J2913" s="114"/>
      <c r="K2913" s="60"/>
      <c r="L2913" s="109"/>
      <c r="M2913" s="109"/>
      <c r="N2913" s="109"/>
      <c r="O2913" s="109"/>
      <c r="P2913" s="109"/>
      <c r="Q2913" s="109"/>
      <c r="S2913" s="111"/>
      <c r="T2913" s="60"/>
      <c r="U2913" s="112"/>
    </row>
    <row r="2914" spans="4:21" s="110" customFormat="1" ht="15.75" customHeight="1">
      <c r="D2914" s="113"/>
      <c r="E2914" s="60"/>
      <c r="F2914" s="60"/>
      <c r="G2914" s="60"/>
      <c r="H2914" s="60"/>
      <c r="I2914" s="60"/>
      <c r="J2914" s="114"/>
      <c r="K2914" s="60"/>
      <c r="L2914" s="109"/>
      <c r="M2914" s="109"/>
      <c r="N2914" s="109"/>
      <c r="O2914" s="109"/>
      <c r="P2914" s="109"/>
      <c r="Q2914" s="109"/>
      <c r="S2914" s="111"/>
      <c r="T2914" s="60"/>
      <c r="U2914" s="112"/>
    </row>
    <row r="2915" spans="4:21" s="110" customFormat="1" ht="15.75" customHeight="1">
      <c r="D2915" s="113"/>
      <c r="E2915" s="60"/>
      <c r="F2915" s="60"/>
      <c r="G2915" s="60"/>
      <c r="H2915" s="60"/>
      <c r="I2915" s="60"/>
      <c r="J2915" s="114"/>
      <c r="K2915" s="60"/>
      <c r="L2915" s="109"/>
      <c r="M2915" s="109"/>
      <c r="N2915" s="109"/>
      <c r="O2915" s="109"/>
      <c r="P2915" s="109"/>
      <c r="Q2915" s="109"/>
      <c r="S2915" s="111"/>
      <c r="T2915" s="60"/>
      <c r="U2915" s="112"/>
    </row>
    <row r="2916" spans="4:21" s="110" customFormat="1" ht="15.75" customHeight="1">
      <c r="D2916" s="113"/>
      <c r="E2916" s="60"/>
      <c r="F2916" s="60"/>
      <c r="G2916" s="60"/>
      <c r="H2916" s="60"/>
      <c r="I2916" s="60"/>
      <c r="J2916" s="114"/>
      <c r="K2916" s="60"/>
      <c r="L2916" s="109"/>
      <c r="M2916" s="109"/>
      <c r="N2916" s="109"/>
      <c r="O2916" s="109"/>
      <c r="P2916" s="109"/>
      <c r="Q2916" s="109"/>
      <c r="S2916" s="111"/>
      <c r="T2916" s="60"/>
      <c r="U2916" s="112"/>
    </row>
    <row r="2917" spans="4:21" s="110" customFormat="1" ht="15.75" customHeight="1">
      <c r="D2917" s="113"/>
      <c r="E2917" s="60"/>
      <c r="F2917" s="60"/>
      <c r="G2917" s="60"/>
      <c r="H2917" s="60"/>
      <c r="I2917" s="60"/>
      <c r="J2917" s="114"/>
      <c r="K2917" s="60"/>
      <c r="L2917" s="109"/>
      <c r="M2917" s="109"/>
      <c r="N2917" s="109"/>
      <c r="O2917" s="109"/>
      <c r="P2917" s="109"/>
      <c r="Q2917" s="109"/>
      <c r="S2917" s="111"/>
      <c r="T2917" s="60"/>
      <c r="U2917" s="112"/>
    </row>
    <row r="2918" spans="4:21" s="110" customFormat="1" ht="15.75" customHeight="1">
      <c r="D2918" s="113"/>
      <c r="E2918" s="60"/>
      <c r="F2918" s="60"/>
      <c r="G2918" s="60"/>
      <c r="H2918" s="60"/>
      <c r="I2918" s="60"/>
      <c r="J2918" s="114"/>
      <c r="K2918" s="60"/>
      <c r="L2918" s="109"/>
      <c r="M2918" s="109"/>
      <c r="N2918" s="109"/>
      <c r="O2918" s="109"/>
      <c r="P2918" s="109"/>
      <c r="Q2918" s="109"/>
      <c r="S2918" s="111"/>
      <c r="T2918" s="60"/>
      <c r="U2918" s="112"/>
    </row>
    <row r="2919" spans="4:21" s="110" customFormat="1" ht="15.75" customHeight="1">
      <c r="D2919" s="113"/>
      <c r="E2919" s="60"/>
      <c r="F2919" s="60"/>
      <c r="G2919" s="60"/>
      <c r="H2919" s="60"/>
      <c r="I2919" s="60"/>
      <c r="J2919" s="114"/>
      <c r="K2919" s="60"/>
      <c r="L2919" s="109"/>
      <c r="M2919" s="109"/>
      <c r="N2919" s="109"/>
      <c r="O2919" s="109"/>
      <c r="P2919" s="109"/>
      <c r="Q2919" s="109"/>
      <c r="S2919" s="111"/>
      <c r="T2919" s="60"/>
      <c r="U2919" s="112"/>
    </row>
    <row r="2920" spans="4:21" s="110" customFormat="1" ht="15.75" customHeight="1">
      <c r="D2920" s="113"/>
      <c r="E2920" s="60"/>
      <c r="F2920" s="60"/>
      <c r="G2920" s="60"/>
      <c r="H2920" s="60"/>
      <c r="I2920" s="60"/>
      <c r="J2920" s="114"/>
      <c r="K2920" s="60"/>
      <c r="L2920" s="109"/>
      <c r="M2920" s="109"/>
      <c r="N2920" s="109"/>
      <c r="O2920" s="109"/>
      <c r="P2920" s="109"/>
      <c r="Q2920" s="109"/>
      <c r="S2920" s="111"/>
      <c r="T2920" s="60"/>
      <c r="U2920" s="112"/>
    </row>
    <row r="2921" spans="4:21" s="110" customFormat="1" ht="15.75" customHeight="1">
      <c r="D2921" s="113"/>
      <c r="E2921" s="60"/>
      <c r="F2921" s="60"/>
      <c r="G2921" s="60"/>
      <c r="H2921" s="60"/>
      <c r="I2921" s="60"/>
      <c r="J2921" s="114"/>
      <c r="K2921" s="60"/>
      <c r="L2921" s="109"/>
      <c r="M2921" s="109"/>
      <c r="N2921" s="109"/>
      <c r="O2921" s="109"/>
      <c r="P2921" s="109"/>
      <c r="Q2921" s="109"/>
      <c r="S2921" s="111"/>
      <c r="T2921" s="60"/>
      <c r="U2921" s="112"/>
    </row>
    <row r="2922" spans="4:21" s="110" customFormat="1" ht="15.75" customHeight="1">
      <c r="D2922" s="113"/>
      <c r="E2922" s="60"/>
      <c r="F2922" s="60"/>
      <c r="G2922" s="60"/>
      <c r="H2922" s="60"/>
      <c r="I2922" s="60"/>
      <c r="J2922" s="114"/>
      <c r="K2922" s="60"/>
      <c r="L2922" s="109"/>
      <c r="M2922" s="109"/>
      <c r="N2922" s="109"/>
      <c r="O2922" s="109"/>
      <c r="P2922" s="109"/>
      <c r="Q2922" s="109"/>
      <c r="S2922" s="111"/>
      <c r="T2922" s="60"/>
      <c r="U2922" s="112"/>
    </row>
    <row r="2923" spans="4:21" s="110" customFormat="1" ht="15.75" customHeight="1">
      <c r="D2923" s="113"/>
      <c r="E2923" s="60"/>
      <c r="F2923" s="60"/>
      <c r="G2923" s="60"/>
      <c r="H2923" s="60"/>
      <c r="I2923" s="60"/>
      <c r="J2923" s="114"/>
      <c r="K2923" s="60"/>
      <c r="L2923" s="109"/>
      <c r="M2923" s="109"/>
      <c r="N2923" s="109"/>
      <c r="O2923" s="109"/>
      <c r="P2923" s="109"/>
      <c r="Q2923" s="109"/>
      <c r="S2923" s="111"/>
      <c r="T2923" s="60"/>
      <c r="U2923" s="112"/>
    </row>
    <row r="2924" spans="4:21" s="110" customFormat="1" ht="15.75" customHeight="1">
      <c r="D2924" s="113"/>
      <c r="E2924" s="60"/>
      <c r="F2924" s="60"/>
      <c r="G2924" s="60"/>
      <c r="H2924" s="60"/>
      <c r="I2924" s="60"/>
      <c r="J2924" s="114"/>
      <c r="K2924" s="60"/>
      <c r="L2924" s="109"/>
      <c r="M2924" s="109"/>
      <c r="N2924" s="109"/>
      <c r="O2924" s="109"/>
      <c r="P2924" s="109"/>
      <c r="Q2924" s="109"/>
      <c r="S2924" s="111"/>
      <c r="T2924" s="60"/>
      <c r="U2924" s="112"/>
    </row>
    <row r="2925" spans="4:21" s="110" customFormat="1" ht="15.75" customHeight="1">
      <c r="D2925" s="113"/>
      <c r="E2925" s="60"/>
      <c r="F2925" s="60"/>
      <c r="G2925" s="60"/>
      <c r="H2925" s="60"/>
      <c r="I2925" s="60"/>
      <c r="J2925" s="114"/>
      <c r="K2925" s="60"/>
      <c r="L2925" s="109"/>
      <c r="M2925" s="109"/>
      <c r="N2925" s="109"/>
      <c r="O2925" s="109"/>
      <c r="P2925" s="109"/>
      <c r="Q2925" s="109"/>
      <c r="S2925" s="111"/>
      <c r="T2925" s="60"/>
      <c r="U2925" s="112"/>
    </row>
    <row r="2926" spans="4:21" s="110" customFormat="1" ht="15.75" customHeight="1">
      <c r="D2926" s="113"/>
      <c r="E2926" s="60"/>
      <c r="F2926" s="60"/>
      <c r="G2926" s="60"/>
      <c r="H2926" s="60"/>
      <c r="I2926" s="60"/>
      <c r="J2926" s="114"/>
      <c r="K2926" s="60"/>
      <c r="L2926" s="109"/>
      <c r="M2926" s="109"/>
      <c r="N2926" s="109"/>
      <c r="O2926" s="109"/>
      <c r="P2926" s="109"/>
      <c r="Q2926" s="109"/>
      <c r="S2926" s="111"/>
      <c r="T2926" s="60"/>
      <c r="U2926" s="112"/>
    </row>
    <row r="2927" spans="4:21" s="110" customFormat="1" ht="15.75" customHeight="1">
      <c r="D2927" s="113"/>
      <c r="E2927" s="60"/>
      <c r="F2927" s="60"/>
      <c r="G2927" s="60"/>
      <c r="H2927" s="60"/>
      <c r="I2927" s="60"/>
      <c r="J2927" s="114"/>
      <c r="K2927" s="60"/>
      <c r="L2927" s="109"/>
      <c r="M2927" s="109"/>
      <c r="N2927" s="109"/>
      <c r="O2927" s="109"/>
      <c r="P2927" s="109"/>
      <c r="Q2927" s="109"/>
      <c r="S2927" s="111"/>
      <c r="T2927" s="60"/>
      <c r="U2927" s="112"/>
    </row>
    <row r="2928" spans="4:21" s="110" customFormat="1" ht="15.75" customHeight="1">
      <c r="D2928" s="113"/>
      <c r="E2928" s="60"/>
      <c r="F2928" s="60"/>
      <c r="G2928" s="60"/>
      <c r="H2928" s="60"/>
      <c r="I2928" s="60"/>
      <c r="J2928" s="114"/>
      <c r="K2928" s="60"/>
      <c r="L2928" s="109"/>
      <c r="M2928" s="109"/>
      <c r="N2928" s="109"/>
      <c r="O2928" s="109"/>
      <c r="P2928" s="109"/>
      <c r="Q2928" s="109"/>
      <c r="S2928" s="111"/>
      <c r="T2928" s="60"/>
      <c r="U2928" s="112"/>
    </row>
    <row r="2929" spans="4:21" s="110" customFormat="1" ht="15.75" customHeight="1">
      <c r="D2929" s="113"/>
      <c r="E2929" s="60"/>
      <c r="F2929" s="60"/>
      <c r="G2929" s="60"/>
      <c r="H2929" s="60"/>
      <c r="I2929" s="60"/>
      <c r="J2929" s="114"/>
      <c r="K2929" s="60"/>
      <c r="L2929" s="109"/>
      <c r="M2929" s="109"/>
      <c r="N2929" s="109"/>
      <c r="O2929" s="109"/>
      <c r="P2929" s="109"/>
      <c r="Q2929" s="109"/>
      <c r="S2929" s="111"/>
      <c r="T2929" s="60"/>
      <c r="U2929" s="112"/>
    </row>
    <row r="2930" spans="4:21" s="110" customFormat="1" ht="15.75" customHeight="1">
      <c r="D2930" s="113"/>
      <c r="E2930" s="60"/>
      <c r="F2930" s="60"/>
      <c r="G2930" s="60"/>
      <c r="H2930" s="60"/>
      <c r="I2930" s="60"/>
      <c r="J2930" s="114"/>
      <c r="K2930" s="60"/>
      <c r="L2930" s="109"/>
      <c r="M2930" s="109"/>
      <c r="N2930" s="109"/>
      <c r="O2930" s="109"/>
      <c r="P2930" s="109"/>
      <c r="Q2930" s="109"/>
      <c r="S2930" s="111"/>
      <c r="T2930" s="60"/>
      <c r="U2930" s="112"/>
    </row>
    <row r="2931" spans="4:21" s="110" customFormat="1" ht="15.75" customHeight="1">
      <c r="D2931" s="113"/>
      <c r="E2931" s="60"/>
      <c r="F2931" s="60"/>
      <c r="G2931" s="60"/>
      <c r="H2931" s="60"/>
      <c r="I2931" s="60"/>
      <c r="J2931" s="114"/>
      <c r="K2931" s="60"/>
      <c r="L2931" s="109"/>
      <c r="M2931" s="109"/>
      <c r="N2931" s="109"/>
      <c r="O2931" s="109"/>
      <c r="P2931" s="109"/>
      <c r="Q2931" s="109"/>
      <c r="S2931" s="111"/>
      <c r="T2931" s="60"/>
      <c r="U2931" s="112"/>
    </row>
    <row r="2932" spans="4:21" s="110" customFormat="1" ht="15.75" customHeight="1">
      <c r="D2932" s="113"/>
      <c r="E2932" s="60"/>
      <c r="F2932" s="60"/>
      <c r="G2932" s="60"/>
      <c r="H2932" s="60"/>
      <c r="I2932" s="60"/>
      <c r="J2932" s="114"/>
      <c r="K2932" s="60"/>
      <c r="L2932" s="109"/>
      <c r="M2932" s="109"/>
      <c r="N2932" s="109"/>
      <c r="O2932" s="109"/>
      <c r="P2932" s="109"/>
      <c r="Q2932" s="109"/>
      <c r="S2932" s="111"/>
      <c r="T2932" s="60"/>
      <c r="U2932" s="112"/>
    </row>
    <row r="2933" spans="4:21" s="110" customFormat="1" ht="15.75" customHeight="1">
      <c r="D2933" s="113"/>
      <c r="E2933" s="60"/>
      <c r="F2933" s="60"/>
      <c r="G2933" s="60"/>
      <c r="H2933" s="60"/>
      <c r="I2933" s="60"/>
      <c r="J2933" s="114"/>
      <c r="K2933" s="60"/>
      <c r="L2933" s="109"/>
      <c r="M2933" s="109"/>
      <c r="N2933" s="109"/>
      <c r="O2933" s="109"/>
      <c r="P2933" s="109"/>
      <c r="Q2933" s="109"/>
      <c r="S2933" s="111"/>
      <c r="T2933" s="60"/>
      <c r="U2933" s="112"/>
    </row>
    <row r="2934" spans="4:21" s="110" customFormat="1" ht="15.75" customHeight="1">
      <c r="D2934" s="113"/>
      <c r="E2934" s="60"/>
      <c r="F2934" s="60"/>
      <c r="G2934" s="60"/>
      <c r="H2934" s="60"/>
      <c r="I2934" s="60"/>
      <c r="J2934" s="114"/>
      <c r="K2934" s="60"/>
      <c r="L2934" s="109"/>
      <c r="M2934" s="109"/>
      <c r="N2934" s="109"/>
      <c r="O2934" s="109"/>
      <c r="P2934" s="109"/>
      <c r="Q2934" s="109"/>
      <c r="S2934" s="111"/>
      <c r="T2934" s="60"/>
      <c r="U2934" s="112"/>
    </row>
    <row r="2935" spans="4:21" s="110" customFormat="1" ht="15.75" customHeight="1">
      <c r="D2935" s="113"/>
      <c r="E2935" s="60"/>
      <c r="F2935" s="60"/>
      <c r="G2935" s="60"/>
      <c r="H2935" s="60"/>
      <c r="I2935" s="60"/>
      <c r="J2935" s="114"/>
      <c r="K2935" s="60"/>
      <c r="L2935" s="109"/>
      <c r="M2935" s="109"/>
      <c r="N2935" s="109"/>
      <c r="O2935" s="109"/>
      <c r="P2935" s="109"/>
      <c r="Q2935" s="109"/>
      <c r="S2935" s="111"/>
      <c r="T2935" s="60"/>
      <c r="U2935" s="112"/>
    </row>
    <row r="2936" spans="4:21" s="110" customFormat="1" ht="15.75" customHeight="1">
      <c r="D2936" s="113"/>
      <c r="E2936" s="60"/>
      <c r="F2936" s="60"/>
      <c r="G2936" s="60"/>
      <c r="H2936" s="60"/>
      <c r="I2936" s="60"/>
      <c r="J2936" s="114"/>
      <c r="K2936" s="60"/>
      <c r="L2936" s="109"/>
      <c r="M2936" s="109"/>
      <c r="N2936" s="109"/>
      <c r="O2936" s="109"/>
      <c r="P2936" s="109"/>
      <c r="Q2936" s="109"/>
      <c r="S2936" s="111"/>
      <c r="T2936" s="60"/>
      <c r="U2936" s="112"/>
    </row>
    <row r="2937" spans="4:21" s="110" customFormat="1" ht="15.75" customHeight="1">
      <c r="D2937" s="113"/>
      <c r="E2937" s="60"/>
      <c r="F2937" s="60"/>
      <c r="G2937" s="60"/>
      <c r="H2937" s="60"/>
      <c r="I2937" s="60"/>
      <c r="J2937" s="114"/>
      <c r="K2937" s="60"/>
      <c r="L2937" s="109"/>
      <c r="M2937" s="109"/>
      <c r="N2937" s="109"/>
      <c r="O2937" s="109"/>
      <c r="P2937" s="109"/>
      <c r="Q2937" s="109"/>
      <c r="S2937" s="111"/>
      <c r="T2937" s="60"/>
      <c r="U2937" s="112"/>
    </row>
    <row r="2938" spans="4:21" s="110" customFormat="1" ht="15.75" customHeight="1">
      <c r="D2938" s="113"/>
      <c r="E2938" s="60"/>
      <c r="F2938" s="60"/>
      <c r="G2938" s="60"/>
      <c r="H2938" s="60"/>
      <c r="I2938" s="60"/>
      <c r="J2938" s="114"/>
      <c r="K2938" s="60"/>
      <c r="L2938" s="109"/>
      <c r="M2938" s="109"/>
      <c r="N2938" s="109"/>
      <c r="O2938" s="109"/>
      <c r="P2938" s="109"/>
      <c r="Q2938" s="109"/>
      <c r="S2938" s="111"/>
      <c r="T2938" s="60"/>
      <c r="U2938" s="112"/>
    </row>
    <row r="2939" spans="4:21" s="110" customFormat="1" ht="15.75" customHeight="1">
      <c r="D2939" s="113"/>
      <c r="E2939" s="60"/>
      <c r="F2939" s="60"/>
      <c r="G2939" s="60"/>
      <c r="H2939" s="60"/>
      <c r="I2939" s="60"/>
      <c r="J2939" s="114"/>
      <c r="K2939" s="60"/>
      <c r="L2939" s="109"/>
      <c r="M2939" s="109"/>
      <c r="N2939" s="109"/>
      <c r="O2939" s="109"/>
      <c r="P2939" s="109"/>
      <c r="Q2939" s="109"/>
      <c r="S2939" s="111"/>
      <c r="T2939" s="60"/>
      <c r="U2939" s="112"/>
    </row>
    <row r="2940" spans="4:21" s="110" customFormat="1" ht="15.75" customHeight="1">
      <c r="D2940" s="113"/>
      <c r="E2940" s="60"/>
      <c r="F2940" s="60"/>
      <c r="G2940" s="60"/>
      <c r="H2940" s="60"/>
      <c r="I2940" s="60"/>
      <c r="J2940" s="114"/>
      <c r="K2940" s="60"/>
      <c r="L2940" s="109"/>
      <c r="M2940" s="109"/>
      <c r="N2940" s="109"/>
      <c r="O2940" s="109"/>
      <c r="P2940" s="109"/>
      <c r="Q2940" s="109"/>
      <c r="S2940" s="111"/>
      <c r="T2940" s="60"/>
      <c r="U2940" s="112"/>
    </row>
    <row r="2941" spans="4:21" s="110" customFormat="1" ht="15.75" customHeight="1">
      <c r="D2941" s="113"/>
      <c r="E2941" s="60"/>
      <c r="F2941" s="60"/>
      <c r="G2941" s="60"/>
      <c r="H2941" s="60"/>
      <c r="I2941" s="60"/>
      <c r="J2941" s="114"/>
      <c r="K2941" s="60"/>
      <c r="L2941" s="109"/>
      <c r="M2941" s="109"/>
      <c r="N2941" s="109"/>
      <c r="O2941" s="109"/>
      <c r="P2941" s="109"/>
      <c r="Q2941" s="109"/>
      <c r="S2941" s="111"/>
      <c r="T2941" s="60"/>
      <c r="U2941" s="112"/>
    </row>
    <row r="2942" spans="4:21" s="110" customFormat="1" ht="15.75" customHeight="1">
      <c r="D2942" s="113"/>
      <c r="E2942" s="60"/>
      <c r="F2942" s="60"/>
      <c r="G2942" s="60"/>
      <c r="H2942" s="60"/>
      <c r="I2942" s="60"/>
      <c r="J2942" s="114"/>
      <c r="K2942" s="60"/>
      <c r="L2942" s="109"/>
      <c r="M2942" s="109"/>
      <c r="N2942" s="109"/>
      <c r="O2942" s="109"/>
      <c r="P2942" s="109"/>
      <c r="Q2942" s="109"/>
      <c r="S2942" s="111"/>
      <c r="T2942" s="60"/>
      <c r="U2942" s="112"/>
    </row>
    <row r="2943" spans="4:21" s="110" customFormat="1" ht="15.75" customHeight="1">
      <c r="D2943" s="113"/>
      <c r="E2943" s="60"/>
      <c r="F2943" s="60"/>
      <c r="G2943" s="60"/>
      <c r="H2943" s="60"/>
      <c r="I2943" s="60"/>
      <c r="J2943" s="114"/>
      <c r="K2943" s="60"/>
      <c r="L2943" s="109"/>
      <c r="M2943" s="109"/>
      <c r="N2943" s="109"/>
      <c r="O2943" s="109"/>
      <c r="P2943" s="109"/>
      <c r="Q2943" s="109"/>
      <c r="S2943" s="111"/>
      <c r="T2943" s="60"/>
      <c r="U2943" s="112"/>
    </row>
    <row r="2944" spans="4:21" s="110" customFormat="1" ht="15.75" customHeight="1">
      <c r="D2944" s="113"/>
      <c r="E2944" s="60"/>
      <c r="F2944" s="60"/>
      <c r="G2944" s="60"/>
      <c r="H2944" s="60"/>
      <c r="I2944" s="60"/>
      <c r="J2944" s="114"/>
      <c r="K2944" s="60"/>
      <c r="L2944" s="109"/>
      <c r="M2944" s="109"/>
      <c r="N2944" s="109"/>
      <c r="O2944" s="109"/>
      <c r="P2944" s="109"/>
      <c r="Q2944" s="109"/>
      <c r="S2944" s="111"/>
      <c r="T2944" s="60"/>
      <c r="U2944" s="112"/>
    </row>
    <row r="2945" spans="4:21" s="110" customFormat="1" ht="15.75" customHeight="1">
      <c r="D2945" s="113"/>
      <c r="E2945" s="60"/>
      <c r="F2945" s="60"/>
      <c r="G2945" s="60"/>
      <c r="H2945" s="60"/>
      <c r="I2945" s="60"/>
      <c r="J2945" s="114"/>
      <c r="K2945" s="60"/>
      <c r="L2945" s="109"/>
      <c r="M2945" s="109"/>
      <c r="N2945" s="109"/>
      <c r="O2945" s="109"/>
      <c r="P2945" s="109"/>
      <c r="Q2945" s="109"/>
      <c r="S2945" s="111"/>
      <c r="T2945" s="60"/>
      <c r="U2945" s="112"/>
    </row>
    <row r="2946" spans="4:21" s="110" customFormat="1" ht="15.75" customHeight="1">
      <c r="D2946" s="113"/>
      <c r="E2946" s="60"/>
      <c r="F2946" s="60"/>
      <c r="G2946" s="60"/>
      <c r="H2946" s="60"/>
      <c r="I2946" s="60"/>
      <c r="J2946" s="114"/>
      <c r="K2946" s="60"/>
      <c r="L2946" s="109"/>
      <c r="M2946" s="109"/>
      <c r="N2946" s="109"/>
      <c r="O2946" s="109"/>
      <c r="P2946" s="109"/>
      <c r="Q2946" s="109"/>
      <c r="S2946" s="111"/>
      <c r="T2946" s="60"/>
      <c r="U2946" s="112"/>
    </row>
    <row r="2947" spans="4:21" s="110" customFormat="1" ht="15.75" customHeight="1">
      <c r="D2947" s="113"/>
      <c r="E2947" s="60"/>
      <c r="F2947" s="60"/>
      <c r="G2947" s="60"/>
      <c r="H2947" s="60"/>
      <c r="I2947" s="60"/>
      <c r="J2947" s="114"/>
      <c r="K2947" s="60"/>
      <c r="L2947" s="109"/>
      <c r="M2947" s="109"/>
      <c r="N2947" s="109"/>
      <c r="O2947" s="109"/>
      <c r="P2947" s="109"/>
      <c r="Q2947" s="109"/>
      <c r="S2947" s="111"/>
      <c r="T2947" s="60"/>
      <c r="U2947" s="112"/>
    </row>
    <row r="2948" spans="4:21" s="110" customFormat="1" ht="15.75" customHeight="1">
      <c r="D2948" s="113"/>
      <c r="E2948" s="60"/>
      <c r="F2948" s="60"/>
      <c r="G2948" s="60"/>
      <c r="H2948" s="60"/>
      <c r="I2948" s="60"/>
      <c r="J2948" s="114"/>
      <c r="K2948" s="60"/>
      <c r="L2948" s="109"/>
      <c r="M2948" s="109"/>
      <c r="N2948" s="109"/>
      <c r="O2948" s="109"/>
      <c r="P2948" s="109"/>
      <c r="Q2948" s="109"/>
      <c r="S2948" s="111"/>
      <c r="T2948" s="60"/>
      <c r="U2948" s="112"/>
    </row>
    <row r="2949" spans="4:21" s="110" customFormat="1" ht="15.75" customHeight="1">
      <c r="D2949" s="113"/>
      <c r="E2949" s="60"/>
      <c r="F2949" s="60"/>
      <c r="G2949" s="60"/>
      <c r="H2949" s="60"/>
      <c r="I2949" s="60"/>
      <c r="J2949" s="114"/>
      <c r="K2949" s="60"/>
      <c r="L2949" s="109"/>
      <c r="M2949" s="109"/>
      <c r="N2949" s="109"/>
      <c r="O2949" s="109"/>
      <c r="P2949" s="109"/>
      <c r="Q2949" s="109"/>
      <c r="S2949" s="111"/>
      <c r="T2949" s="60"/>
      <c r="U2949" s="112"/>
    </row>
    <row r="2950" spans="4:21" s="110" customFormat="1" ht="15.75" customHeight="1">
      <c r="D2950" s="113"/>
      <c r="E2950" s="60"/>
      <c r="F2950" s="60"/>
      <c r="G2950" s="60"/>
      <c r="H2950" s="60"/>
      <c r="I2950" s="60"/>
      <c r="J2950" s="114"/>
      <c r="K2950" s="60"/>
      <c r="L2950" s="109"/>
      <c r="M2950" s="109"/>
      <c r="N2950" s="109"/>
      <c r="O2950" s="109"/>
      <c r="P2950" s="109"/>
      <c r="Q2950" s="109"/>
      <c r="S2950" s="111"/>
      <c r="T2950" s="60"/>
      <c r="U2950" s="112"/>
    </row>
    <row r="2951" spans="4:21" s="110" customFormat="1" ht="15.75" customHeight="1">
      <c r="D2951" s="113"/>
      <c r="E2951" s="60"/>
      <c r="F2951" s="60"/>
      <c r="G2951" s="60"/>
      <c r="H2951" s="60"/>
      <c r="I2951" s="60"/>
      <c r="J2951" s="114"/>
      <c r="K2951" s="60"/>
      <c r="L2951" s="109"/>
      <c r="M2951" s="109"/>
      <c r="N2951" s="109"/>
      <c r="O2951" s="109"/>
      <c r="P2951" s="109"/>
      <c r="Q2951" s="109"/>
      <c r="S2951" s="111"/>
      <c r="T2951" s="60"/>
      <c r="U2951" s="112"/>
    </row>
    <row r="2952" spans="4:21" s="110" customFormat="1" ht="15.75" customHeight="1">
      <c r="D2952" s="113"/>
      <c r="E2952" s="60"/>
      <c r="F2952" s="60"/>
      <c r="G2952" s="60"/>
      <c r="H2952" s="60"/>
      <c r="I2952" s="60"/>
      <c r="J2952" s="114"/>
      <c r="K2952" s="60"/>
      <c r="L2952" s="109"/>
      <c r="M2952" s="109"/>
      <c r="N2952" s="109"/>
      <c r="O2952" s="109"/>
      <c r="P2952" s="109"/>
      <c r="Q2952" s="109"/>
      <c r="S2952" s="111"/>
      <c r="T2952" s="60"/>
      <c r="U2952" s="112"/>
    </row>
    <row r="2953" spans="4:21" s="110" customFormat="1" ht="15.75" customHeight="1">
      <c r="D2953" s="113"/>
      <c r="E2953" s="60"/>
      <c r="F2953" s="60"/>
      <c r="G2953" s="60"/>
      <c r="H2953" s="60"/>
      <c r="I2953" s="60"/>
      <c r="J2953" s="114"/>
      <c r="K2953" s="60"/>
      <c r="L2953" s="109"/>
      <c r="M2953" s="109"/>
      <c r="N2953" s="109"/>
      <c r="O2953" s="109"/>
      <c r="P2953" s="109"/>
      <c r="Q2953" s="109"/>
      <c r="S2953" s="111"/>
      <c r="T2953" s="60"/>
      <c r="U2953" s="112"/>
    </row>
    <row r="2954" spans="4:21" s="110" customFormat="1" ht="15.75" customHeight="1">
      <c r="D2954" s="113"/>
      <c r="E2954" s="60"/>
      <c r="F2954" s="60"/>
      <c r="G2954" s="60"/>
      <c r="H2954" s="60"/>
      <c r="I2954" s="60"/>
      <c r="J2954" s="114"/>
      <c r="K2954" s="60"/>
      <c r="L2954" s="109"/>
      <c r="M2954" s="109"/>
      <c r="N2954" s="109"/>
      <c r="O2954" s="109"/>
      <c r="P2954" s="109"/>
      <c r="Q2954" s="109"/>
      <c r="S2954" s="111"/>
      <c r="T2954" s="60"/>
      <c r="U2954" s="112"/>
    </row>
    <row r="2955" spans="4:21" s="110" customFormat="1" ht="15.75" customHeight="1">
      <c r="D2955" s="113"/>
      <c r="E2955" s="60"/>
      <c r="F2955" s="60"/>
      <c r="G2955" s="60"/>
      <c r="H2955" s="60"/>
      <c r="I2955" s="60"/>
      <c r="J2955" s="114"/>
      <c r="K2955" s="60"/>
      <c r="L2955" s="109"/>
      <c r="M2955" s="109"/>
      <c r="N2955" s="109"/>
      <c r="O2955" s="109"/>
      <c r="P2955" s="109"/>
      <c r="Q2955" s="109"/>
      <c r="S2955" s="111"/>
      <c r="T2955" s="60"/>
      <c r="U2955" s="112"/>
    </row>
    <row r="2956" spans="4:21" s="110" customFormat="1" ht="15.75" customHeight="1">
      <c r="D2956" s="113"/>
      <c r="E2956" s="60"/>
      <c r="F2956" s="60"/>
      <c r="G2956" s="60"/>
      <c r="H2956" s="60"/>
      <c r="I2956" s="60"/>
      <c r="J2956" s="114"/>
      <c r="K2956" s="60"/>
      <c r="L2956" s="109"/>
      <c r="M2956" s="109"/>
      <c r="N2956" s="109"/>
      <c r="O2956" s="109"/>
      <c r="P2956" s="109"/>
      <c r="Q2956" s="109"/>
      <c r="S2956" s="111"/>
      <c r="T2956" s="60"/>
      <c r="U2956" s="112"/>
    </row>
    <row r="2957" spans="4:21" s="110" customFormat="1" ht="15.75" customHeight="1">
      <c r="D2957" s="113"/>
      <c r="E2957" s="60"/>
      <c r="F2957" s="60"/>
      <c r="G2957" s="60"/>
      <c r="H2957" s="60"/>
      <c r="I2957" s="60"/>
      <c r="J2957" s="114"/>
      <c r="K2957" s="60"/>
      <c r="L2957" s="109"/>
      <c r="M2957" s="109"/>
      <c r="N2957" s="109"/>
      <c r="O2957" s="109"/>
      <c r="P2957" s="109"/>
      <c r="Q2957" s="109"/>
      <c r="S2957" s="111"/>
      <c r="T2957" s="60"/>
      <c r="U2957" s="112"/>
    </row>
    <row r="2958" spans="4:21" s="110" customFormat="1" ht="15.75" customHeight="1">
      <c r="D2958" s="113"/>
      <c r="E2958" s="60"/>
      <c r="F2958" s="60"/>
      <c r="G2958" s="60"/>
      <c r="H2958" s="60"/>
      <c r="I2958" s="60"/>
      <c r="J2958" s="114"/>
      <c r="K2958" s="60"/>
      <c r="L2958" s="109"/>
      <c r="M2958" s="109"/>
      <c r="N2958" s="109"/>
      <c r="O2958" s="109"/>
      <c r="P2958" s="109"/>
      <c r="Q2958" s="109"/>
      <c r="S2958" s="111"/>
      <c r="T2958" s="60"/>
      <c r="U2958" s="112"/>
    </row>
    <row r="2959" spans="4:21" s="110" customFormat="1" ht="15.75" customHeight="1">
      <c r="D2959" s="113"/>
      <c r="E2959" s="60"/>
      <c r="F2959" s="60"/>
      <c r="G2959" s="60"/>
      <c r="H2959" s="60"/>
      <c r="I2959" s="60"/>
      <c r="J2959" s="114"/>
      <c r="K2959" s="60"/>
      <c r="L2959" s="109"/>
      <c r="M2959" s="109"/>
      <c r="N2959" s="109"/>
      <c r="O2959" s="109"/>
      <c r="P2959" s="109"/>
      <c r="Q2959" s="109"/>
      <c r="S2959" s="111"/>
      <c r="T2959" s="60"/>
      <c r="U2959" s="112"/>
    </row>
    <row r="2960" spans="4:21" s="110" customFormat="1" ht="15.75" customHeight="1">
      <c r="D2960" s="113"/>
      <c r="E2960" s="60"/>
      <c r="F2960" s="60"/>
      <c r="G2960" s="60"/>
      <c r="H2960" s="60"/>
      <c r="I2960" s="60"/>
      <c r="J2960" s="114"/>
      <c r="K2960" s="60"/>
      <c r="L2960" s="109"/>
      <c r="M2960" s="109"/>
      <c r="N2960" s="109"/>
      <c r="O2960" s="109"/>
      <c r="P2960" s="109"/>
      <c r="Q2960" s="109"/>
      <c r="S2960" s="111"/>
      <c r="T2960" s="60"/>
      <c r="U2960" s="112"/>
    </row>
    <row r="2961" spans="4:21" s="110" customFormat="1" ht="15.75" customHeight="1">
      <c r="D2961" s="113"/>
      <c r="E2961" s="60"/>
      <c r="F2961" s="60"/>
      <c r="G2961" s="60"/>
      <c r="H2961" s="60"/>
      <c r="I2961" s="60"/>
      <c r="J2961" s="114"/>
      <c r="K2961" s="60"/>
      <c r="L2961" s="109"/>
      <c r="M2961" s="109"/>
      <c r="N2961" s="109"/>
      <c r="O2961" s="109"/>
      <c r="P2961" s="109"/>
      <c r="Q2961" s="109"/>
      <c r="S2961" s="111"/>
      <c r="T2961" s="60"/>
      <c r="U2961" s="112"/>
    </row>
    <row r="2962" spans="4:21" s="110" customFormat="1" ht="15.75" customHeight="1">
      <c r="D2962" s="113"/>
      <c r="E2962" s="60"/>
      <c r="F2962" s="60"/>
      <c r="G2962" s="60"/>
      <c r="H2962" s="60"/>
      <c r="I2962" s="60"/>
      <c r="J2962" s="114"/>
      <c r="K2962" s="60"/>
      <c r="L2962" s="109"/>
      <c r="M2962" s="109"/>
      <c r="N2962" s="109"/>
      <c r="O2962" s="109"/>
      <c r="P2962" s="109"/>
      <c r="Q2962" s="109"/>
      <c r="S2962" s="111"/>
      <c r="T2962" s="60"/>
      <c r="U2962" s="112"/>
    </row>
    <row r="2963" spans="4:21" s="110" customFormat="1" ht="15.75" customHeight="1">
      <c r="D2963" s="113"/>
      <c r="E2963" s="60"/>
      <c r="F2963" s="60"/>
      <c r="G2963" s="60"/>
      <c r="H2963" s="60"/>
      <c r="I2963" s="60"/>
      <c r="J2963" s="114"/>
      <c r="K2963" s="60"/>
      <c r="L2963" s="109"/>
      <c r="M2963" s="109"/>
      <c r="N2963" s="109"/>
      <c r="O2963" s="109"/>
      <c r="P2963" s="109"/>
      <c r="Q2963" s="109"/>
      <c r="S2963" s="111"/>
      <c r="T2963" s="60"/>
      <c r="U2963" s="112"/>
    </row>
    <row r="2964" spans="4:21" s="110" customFormat="1" ht="15.75" customHeight="1">
      <c r="D2964" s="113"/>
      <c r="E2964" s="60"/>
      <c r="F2964" s="60"/>
      <c r="G2964" s="60"/>
      <c r="H2964" s="60"/>
      <c r="I2964" s="60"/>
      <c r="J2964" s="114"/>
      <c r="K2964" s="60"/>
      <c r="L2964" s="109"/>
      <c r="M2964" s="109"/>
      <c r="N2964" s="109"/>
      <c r="O2964" s="109"/>
      <c r="P2964" s="109"/>
      <c r="Q2964" s="109"/>
      <c r="S2964" s="111"/>
      <c r="T2964" s="60"/>
      <c r="U2964" s="112"/>
    </row>
    <row r="2965" spans="4:21" s="110" customFormat="1" ht="15.75" customHeight="1">
      <c r="D2965" s="113"/>
      <c r="E2965" s="60"/>
      <c r="F2965" s="60"/>
      <c r="G2965" s="60"/>
      <c r="H2965" s="60"/>
      <c r="I2965" s="60"/>
      <c r="J2965" s="114"/>
      <c r="K2965" s="60"/>
      <c r="L2965" s="109"/>
      <c r="M2965" s="109"/>
      <c r="N2965" s="109"/>
      <c r="O2965" s="109"/>
      <c r="P2965" s="109"/>
      <c r="Q2965" s="109"/>
      <c r="S2965" s="111"/>
      <c r="T2965" s="60"/>
      <c r="U2965" s="112"/>
    </row>
    <row r="2966" spans="4:21" s="110" customFormat="1" ht="15.75" customHeight="1">
      <c r="D2966" s="113"/>
      <c r="E2966" s="60"/>
      <c r="F2966" s="60"/>
      <c r="G2966" s="60"/>
      <c r="H2966" s="60"/>
      <c r="I2966" s="60"/>
      <c r="J2966" s="114"/>
      <c r="K2966" s="60"/>
      <c r="L2966" s="109"/>
      <c r="M2966" s="109"/>
      <c r="N2966" s="109"/>
      <c r="O2966" s="109"/>
      <c r="P2966" s="109"/>
      <c r="Q2966" s="109"/>
      <c r="S2966" s="111"/>
      <c r="T2966" s="60"/>
      <c r="U2966" s="112"/>
    </row>
    <row r="2967" spans="4:21" s="110" customFormat="1" ht="15.75" customHeight="1">
      <c r="D2967" s="113"/>
      <c r="E2967" s="60"/>
      <c r="F2967" s="60"/>
      <c r="G2967" s="60"/>
      <c r="H2967" s="60"/>
      <c r="I2967" s="60"/>
      <c r="J2967" s="114"/>
      <c r="K2967" s="60"/>
      <c r="L2967" s="109"/>
      <c r="M2967" s="109"/>
      <c r="N2967" s="109"/>
      <c r="O2967" s="109"/>
      <c r="P2967" s="109"/>
      <c r="Q2967" s="109"/>
      <c r="S2967" s="111"/>
      <c r="T2967" s="60"/>
      <c r="U2967" s="112"/>
    </row>
    <row r="2968" spans="4:21" s="110" customFormat="1" ht="15.75" customHeight="1">
      <c r="D2968" s="113"/>
      <c r="E2968" s="60"/>
      <c r="F2968" s="60"/>
      <c r="G2968" s="60"/>
      <c r="H2968" s="60"/>
      <c r="I2968" s="60"/>
      <c r="J2968" s="114"/>
      <c r="K2968" s="60"/>
      <c r="L2968" s="109"/>
      <c r="M2968" s="109"/>
      <c r="N2968" s="109"/>
      <c r="O2968" s="109"/>
      <c r="P2968" s="109"/>
      <c r="Q2968" s="109"/>
      <c r="S2968" s="111"/>
      <c r="T2968" s="60"/>
      <c r="U2968" s="112"/>
    </row>
    <row r="2969" spans="4:21" s="110" customFormat="1" ht="15.75" customHeight="1">
      <c r="D2969" s="113"/>
      <c r="E2969" s="60"/>
      <c r="F2969" s="60"/>
      <c r="G2969" s="60"/>
      <c r="H2969" s="60"/>
      <c r="I2969" s="60"/>
      <c r="J2969" s="114"/>
      <c r="K2969" s="60"/>
      <c r="L2969" s="109"/>
      <c r="M2969" s="109"/>
      <c r="N2969" s="109"/>
      <c r="O2969" s="109"/>
      <c r="P2969" s="109"/>
      <c r="Q2969" s="109"/>
      <c r="S2969" s="111"/>
      <c r="T2969" s="60"/>
      <c r="U2969" s="112"/>
    </row>
    <row r="2970" spans="4:21" s="110" customFormat="1" ht="15.75" customHeight="1">
      <c r="D2970" s="113"/>
      <c r="E2970" s="60"/>
      <c r="F2970" s="60"/>
      <c r="G2970" s="60"/>
      <c r="H2970" s="60"/>
      <c r="I2970" s="60"/>
      <c r="J2970" s="114"/>
      <c r="K2970" s="60"/>
      <c r="L2970" s="109"/>
      <c r="M2970" s="109"/>
      <c r="N2970" s="109"/>
      <c r="O2970" s="109"/>
      <c r="P2970" s="109"/>
      <c r="Q2970" s="109"/>
      <c r="S2970" s="111"/>
      <c r="T2970" s="60"/>
      <c r="U2970" s="112"/>
    </row>
    <row r="2971" spans="4:21" s="110" customFormat="1" ht="15.75" customHeight="1">
      <c r="D2971" s="113"/>
      <c r="E2971" s="60"/>
      <c r="F2971" s="60"/>
      <c r="G2971" s="60"/>
      <c r="H2971" s="60"/>
      <c r="I2971" s="60"/>
      <c r="J2971" s="114"/>
      <c r="K2971" s="60"/>
      <c r="L2971" s="109"/>
      <c r="M2971" s="109"/>
      <c r="N2971" s="109"/>
      <c r="O2971" s="109"/>
      <c r="P2971" s="109"/>
      <c r="Q2971" s="109"/>
      <c r="S2971" s="111"/>
      <c r="T2971" s="60"/>
      <c r="U2971" s="112"/>
    </row>
    <row r="2972" spans="4:21" s="110" customFormat="1" ht="15.75" customHeight="1">
      <c r="D2972" s="113"/>
      <c r="E2972" s="60"/>
      <c r="F2972" s="60"/>
      <c r="G2972" s="60"/>
      <c r="H2972" s="60"/>
      <c r="I2972" s="60"/>
      <c r="J2972" s="114"/>
      <c r="K2972" s="60"/>
      <c r="L2972" s="109"/>
      <c r="M2972" s="109"/>
      <c r="N2972" s="109"/>
      <c r="O2972" s="109"/>
      <c r="P2972" s="109"/>
      <c r="Q2972" s="109"/>
      <c r="S2972" s="111"/>
      <c r="T2972" s="60"/>
      <c r="U2972" s="112"/>
    </row>
    <row r="2973" spans="4:21" s="110" customFormat="1" ht="15.75" customHeight="1">
      <c r="D2973" s="113"/>
      <c r="E2973" s="60"/>
      <c r="F2973" s="60"/>
      <c r="G2973" s="60"/>
      <c r="H2973" s="60"/>
      <c r="I2973" s="60"/>
      <c r="J2973" s="114"/>
      <c r="K2973" s="60"/>
      <c r="L2973" s="109"/>
      <c r="M2973" s="109"/>
      <c r="N2973" s="109"/>
      <c r="O2973" s="109"/>
      <c r="P2973" s="109"/>
      <c r="Q2973" s="109"/>
      <c r="S2973" s="111"/>
      <c r="T2973" s="60"/>
      <c r="U2973" s="112"/>
    </row>
    <row r="2974" spans="4:21" s="110" customFormat="1" ht="15.75" customHeight="1">
      <c r="D2974" s="113"/>
      <c r="E2974" s="60"/>
      <c r="F2974" s="60"/>
      <c r="G2974" s="60"/>
      <c r="H2974" s="60"/>
      <c r="I2974" s="60"/>
      <c r="J2974" s="114"/>
      <c r="K2974" s="60"/>
      <c r="L2974" s="109"/>
      <c r="M2974" s="109"/>
      <c r="N2974" s="109"/>
      <c r="O2974" s="109"/>
      <c r="P2974" s="109"/>
      <c r="Q2974" s="109"/>
      <c r="S2974" s="111"/>
      <c r="T2974" s="60"/>
      <c r="U2974" s="112"/>
    </row>
    <row r="2975" spans="4:21" s="110" customFormat="1" ht="15.75" customHeight="1">
      <c r="D2975" s="113"/>
      <c r="E2975" s="60"/>
      <c r="F2975" s="60"/>
      <c r="G2975" s="60"/>
      <c r="H2975" s="60"/>
      <c r="I2975" s="60"/>
      <c r="J2975" s="114"/>
      <c r="K2975" s="60"/>
      <c r="L2975" s="109"/>
      <c r="M2975" s="109"/>
      <c r="N2975" s="109"/>
      <c r="O2975" s="109"/>
      <c r="P2975" s="109"/>
      <c r="Q2975" s="109"/>
      <c r="S2975" s="111"/>
      <c r="T2975" s="60"/>
      <c r="U2975" s="112"/>
    </row>
    <row r="2976" spans="4:21" s="110" customFormat="1" ht="15.75" customHeight="1">
      <c r="D2976" s="113"/>
      <c r="E2976" s="60"/>
      <c r="F2976" s="60"/>
      <c r="G2976" s="60"/>
      <c r="H2976" s="60"/>
      <c r="I2976" s="60"/>
      <c r="J2976" s="114"/>
      <c r="K2976" s="60"/>
      <c r="L2976" s="109"/>
      <c r="M2976" s="109"/>
      <c r="N2976" s="109"/>
      <c r="O2976" s="109"/>
      <c r="P2976" s="109"/>
      <c r="Q2976" s="109"/>
      <c r="S2976" s="111"/>
      <c r="T2976" s="60"/>
      <c r="U2976" s="112"/>
    </row>
    <row r="2977" spans="4:21" s="110" customFormat="1" ht="15.75" customHeight="1">
      <c r="D2977" s="113"/>
      <c r="E2977" s="60"/>
      <c r="F2977" s="60"/>
      <c r="G2977" s="60"/>
      <c r="H2977" s="60"/>
      <c r="I2977" s="60"/>
      <c r="J2977" s="114"/>
      <c r="K2977" s="60"/>
      <c r="L2977" s="109"/>
      <c r="M2977" s="109"/>
      <c r="N2977" s="109"/>
      <c r="O2977" s="109"/>
      <c r="P2977" s="109"/>
      <c r="Q2977" s="109"/>
      <c r="S2977" s="111"/>
      <c r="T2977" s="60"/>
      <c r="U2977" s="112"/>
    </row>
    <row r="2978" spans="4:21" s="110" customFormat="1" ht="15.75" customHeight="1">
      <c r="D2978" s="113"/>
      <c r="E2978" s="60"/>
      <c r="F2978" s="60"/>
      <c r="G2978" s="60"/>
      <c r="H2978" s="60"/>
      <c r="I2978" s="60"/>
      <c r="J2978" s="114"/>
      <c r="K2978" s="60"/>
      <c r="L2978" s="109"/>
      <c r="M2978" s="109"/>
      <c r="N2978" s="109"/>
      <c r="O2978" s="109"/>
      <c r="P2978" s="109"/>
      <c r="Q2978" s="109"/>
      <c r="S2978" s="111"/>
      <c r="T2978" s="60"/>
      <c r="U2978" s="112"/>
    </row>
    <row r="2979" spans="4:21" s="110" customFormat="1" ht="15.75" customHeight="1">
      <c r="D2979" s="113"/>
      <c r="E2979" s="60"/>
      <c r="F2979" s="60"/>
      <c r="G2979" s="60"/>
      <c r="H2979" s="60"/>
      <c r="I2979" s="60"/>
      <c r="J2979" s="114"/>
      <c r="K2979" s="60"/>
      <c r="L2979" s="109"/>
      <c r="M2979" s="109"/>
      <c r="N2979" s="109"/>
      <c r="O2979" s="109"/>
      <c r="P2979" s="109"/>
      <c r="Q2979" s="109"/>
      <c r="S2979" s="111"/>
      <c r="T2979" s="60"/>
      <c r="U2979" s="112"/>
    </row>
    <row r="2980" spans="4:21" s="110" customFormat="1" ht="15.75" customHeight="1">
      <c r="D2980" s="113"/>
      <c r="E2980" s="60"/>
      <c r="F2980" s="60"/>
      <c r="G2980" s="60"/>
      <c r="H2980" s="60"/>
      <c r="I2980" s="60"/>
      <c r="J2980" s="114"/>
      <c r="K2980" s="60"/>
      <c r="L2980" s="109"/>
      <c r="M2980" s="109"/>
      <c r="N2980" s="109"/>
      <c r="O2980" s="109"/>
      <c r="P2980" s="109"/>
      <c r="Q2980" s="109"/>
      <c r="S2980" s="111"/>
      <c r="T2980" s="60"/>
      <c r="U2980" s="112"/>
    </row>
    <row r="2981" spans="4:21" s="110" customFormat="1" ht="15.75" customHeight="1">
      <c r="D2981" s="113"/>
      <c r="E2981" s="60"/>
      <c r="F2981" s="60"/>
      <c r="G2981" s="60"/>
      <c r="H2981" s="60"/>
      <c r="I2981" s="60"/>
      <c r="J2981" s="114"/>
      <c r="K2981" s="60"/>
      <c r="L2981" s="109"/>
      <c r="M2981" s="109"/>
      <c r="N2981" s="109"/>
      <c r="O2981" s="109"/>
      <c r="P2981" s="109"/>
      <c r="Q2981" s="109"/>
      <c r="S2981" s="111"/>
      <c r="T2981" s="60"/>
      <c r="U2981" s="112"/>
    </row>
    <row r="2982" spans="4:21" s="110" customFormat="1" ht="15.75" customHeight="1">
      <c r="D2982" s="113"/>
      <c r="E2982" s="60"/>
      <c r="F2982" s="60"/>
      <c r="G2982" s="60"/>
      <c r="H2982" s="60"/>
      <c r="I2982" s="60"/>
      <c r="J2982" s="114"/>
      <c r="K2982" s="60"/>
      <c r="L2982" s="109"/>
      <c r="M2982" s="109"/>
      <c r="N2982" s="109"/>
      <c r="O2982" s="109"/>
      <c r="P2982" s="109"/>
      <c r="Q2982" s="109"/>
      <c r="S2982" s="111"/>
      <c r="T2982" s="60"/>
      <c r="U2982" s="112"/>
    </row>
    <row r="2983" spans="4:21" s="110" customFormat="1" ht="15.75" customHeight="1">
      <c r="D2983" s="113"/>
      <c r="E2983" s="60"/>
      <c r="F2983" s="60"/>
      <c r="G2983" s="60"/>
      <c r="H2983" s="60"/>
      <c r="I2983" s="60"/>
      <c r="J2983" s="114"/>
      <c r="K2983" s="60"/>
      <c r="L2983" s="109"/>
      <c r="M2983" s="109"/>
      <c r="N2983" s="109"/>
      <c r="O2983" s="109"/>
      <c r="P2983" s="109"/>
      <c r="Q2983" s="109"/>
      <c r="S2983" s="111"/>
      <c r="T2983" s="60"/>
      <c r="U2983" s="112"/>
    </row>
    <row r="2984" spans="4:21" s="110" customFormat="1" ht="15.75" customHeight="1">
      <c r="D2984" s="113"/>
      <c r="E2984" s="60"/>
      <c r="F2984" s="60"/>
      <c r="G2984" s="60"/>
      <c r="H2984" s="60"/>
      <c r="I2984" s="60"/>
      <c r="J2984" s="114"/>
      <c r="K2984" s="60"/>
      <c r="L2984" s="109"/>
      <c r="M2984" s="109"/>
      <c r="N2984" s="109"/>
      <c r="O2984" s="109"/>
      <c r="P2984" s="109"/>
      <c r="Q2984" s="109"/>
      <c r="S2984" s="111"/>
      <c r="T2984" s="60"/>
      <c r="U2984" s="112"/>
    </row>
    <row r="2985" spans="4:21" s="110" customFormat="1" ht="15.75" customHeight="1">
      <c r="D2985" s="113"/>
      <c r="E2985" s="60"/>
      <c r="F2985" s="60"/>
      <c r="G2985" s="60"/>
      <c r="H2985" s="60"/>
      <c r="I2985" s="60"/>
      <c r="J2985" s="114"/>
      <c r="K2985" s="60"/>
      <c r="L2985" s="109"/>
      <c r="M2985" s="109"/>
      <c r="N2985" s="109"/>
      <c r="O2985" s="109"/>
      <c r="P2985" s="109"/>
      <c r="Q2985" s="109"/>
      <c r="S2985" s="111"/>
      <c r="T2985" s="60"/>
      <c r="U2985" s="112"/>
    </row>
    <row r="2986" spans="4:21" s="110" customFormat="1" ht="15.75" customHeight="1">
      <c r="D2986" s="113"/>
      <c r="E2986" s="60"/>
      <c r="F2986" s="60"/>
      <c r="G2986" s="60"/>
      <c r="H2986" s="60"/>
      <c r="I2986" s="60"/>
      <c r="J2986" s="114"/>
      <c r="K2986" s="60"/>
      <c r="L2986" s="109"/>
      <c r="M2986" s="109"/>
      <c r="N2986" s="109"/>
      <c r="O2986" s="109"/>
      <c r="P2986" s="109"/>
      <c r="Q2986" s="109"/>
      <c r="S2986" s="111"/>
      <c r="T2986" s="60"/>
      <c r="U2986" s="112"/>
    </row>
    <row r="2987" spans="4:21" s="110" customFormat="1" ht="15.75" customHeight="1">
      <c r="D2987" s="113"/>
      <c r="E2987" s="60"/>
      <c r="F2987" s="60"/>
      <c r="G2987" s="60"/>
      <c r="H2987" s="60"/>
      <c r="I2987" s="60"/>
      <c r="J2987" s="114"/>
      <c r="K2987" s="60"/>
      <c r="L2987" s="109"/>
      <c r="M2987" s="109"/>
      <c r="N2987" s="109"/>
      <c r="O2987" s="109"/>
      <c r="P2987" s="109"/>
      <c r="Q2987" s="109"/>
      <c r="S2987" s="111"/>
      <c r="T2987" s="60"/>
      <c r="U2987" s="112"/>
    </row>
    <row r="2988" spans="4:21" s="110" customFormat="1" ht="15.75" customHeight="1">
      <c r="D2988" s="113"/>
      <c r="E2988" s="60"/>
      <c r="F2988" s="60"/>
      <c r="G2988" s="60"/>
      <c r="H2988" s="60"/>
      <c r="I2988" s="60"/>
      <c r="J2988" s="114"/>
      <c r="K2988" s="60"/>
      <c r="L2988" s="109"/>
      <c r="M2988" s="109"/>
      <c r="N2988" s="109"/>
      <c r="O2988" s="109"/>
      <c r="P2988" s="109"/>
      <c r="Q2988" s="109"/>
      <c r="S2988" s="111"/>
      <c r="T2988" s="60"/>
      <c r="U2988" s="112"/>
    </row>
    <row r="2989" spans="4:21" s="110" customFormat="1" ht="15.75" customHeight="1">
      <c r="D2989" s="113"/>
      <c r="E2989" s="60"/>
      <c r="F2989" s="60"/>
      <c r="G2989" s="60"/>
      <c r="H2989" s="60"/>
      <c r="I2989" s="60"/>
      <c r="J2989" s="114"/>
      <c r="K2989" s="60"/>
      <c r="L2989" s="109"/>
      <c r="M2989" s="109"/>
      <c r="N2989" s="109"/>
      <c r="O2989" s="109"/>
      <c r="P2989" s="109"/>
      <c r="Q2989" s="109"/>
      <c r="S2989" s="111"/>
      <c r="T2989" s="60"/>
      <c r="U2989" s="112"/>
    </row>
    <row r="2990" spans="4:21" s="110" customFormat="1" ht="15.75" customHeight="1">
      <c r="D2990" s="113"/>
      <c r="E2990" s="60"/>
      <c r="F2990" s="60"/>
      <c r="G2990" s="60"/>
      <c r="H2990" s="60"/>
      <c r="I2990" s="60"/>
      <c r="J2990" s="114"/>
      <c r="K2990" s="60"/>
      <c r="L2990" s="109"/>
      <c r="M2990" s="109"/>
      <c r="N2990" s="109"/>
      <c r="O2990" s="109"/>
      <c r="P2990" s="109"/>
      <c r="Q2990" s="109"/>
      <c r="S2990" s="111"/>
      <c r="T2990" s="60"/>
      <c r="U2990" s="112"/>
    </row>
    <row r="2991" spans="4:21" s="110" customFormat="1" ht="15.75" customHeight="1">
      <c r="D2991" s="113"/>
      <c r="E2991" s="60"/>
      <c r="F2991" s="60"/>
      <c r="G2991" s="60"/>
      <c r="H2991" s="60"/>
      <c r="I2991" s="60"/>
      <c r="J2991" s="114"/>
      <c r="K2991" s="60"/>
      <c r="L2991" s="109"/>
      <c r="M2991" s="109"/>
      <c r="N2991" s="109"/>
      <c r="O2991" s="109"/>
      <c r="P2991" s="109"/>
      <c r="Q2991" s="109"/>
      <c r="S2991" s="111"/>
      <c r="T2991" s="60"/>
      <c r="U2991" s="112"/>
    </row>
    <row r="2992" spans="4:21" s="110" customFormat="1" ht="15.75" customHeight="1">
      <c r="D2992" s="113"/>
      <c r="E2992" s="60"/>
      <c r="F2992" s="60"/>
      <c r="G2992" s="60"/>
      <c r="H2992" s="60"/>
      <c r="I2992" s="60"/>
      <c r="J2992" s="114"/>
      <c r="K2992" s="60"/>
      <c r="L2992" s="109"/>
      <c r="M2992" s="109"/>
      <c r="N2992" s="109"/>
      <c r="O2992" s="109"/>
      <c r="P2992" s="109"/>
      <c r="Q2992" s="109"/>
      <c r="S2992" s="111"/>
      <c r="T2992" s="60"/>
      <c r="U2992" s="112"/>
    </row>
    <row r="2993" spans="4:21" s="110" customFormat="1" ht="15.75" customHeight="1">
      <c r="D2993" s="113"/>
      <c r="E2993" s="60"/>
      <c r="F2993" s="60"/>
      <c r="G2993" s="60"/>
      <c r="H2993" s="60"/>
      <c r="I2993" s="60"/>
      <c r="J2993" s="114"/>
      <c r="K2993" s="60"/>
      <c r="L2993" s="109"/>
      <c r="M2993" s="109"/>
      <c r="N2993" s="109"/>
      <c r="O2993" s="109"/>
      <c r="P2993" s="109"/>
      <c r="Q2993" s="109"/>
      <c r="S2993" s="111"/>
      <c r="T2993" s="60"/>
      <c r="U2993" s="112"/>
    </row>
    <row r="2994" spans="4:21" s="110" customFormat="1" ht="15.75" customHeight="1">
      <c r="D2994" s="113"/>
      <c r="E2994" s="60"/>
      <c r="F2994" s="60"/>
      <c r="G2994" s="60"/>
      <c r="H2994" s="60"/>
      <c r="I2994" s="60"/>
      <c r="J2994" s="114"/>
      <c r="K2994" s="60"/>
      <c r="L2994" s="109"/>
      <c r="M2994" s="109"/>
      <c r="N2994" s="109"/>
      <c r="O2994" s="109"/>
      <c r="P2994" s="109"/>
      <c r="Q2994" s="109"/>
      <c r="S2994" s="111"/>
      <c r="T2994" s="60"/>
      <c r="U2994" s="112"/>
    </row>
    <row r="2995" spans="4:21" s="110" customFormat="1" ht="15.75" customHeight="1">
      <c r="D2995" s="113"/>
      <c r="E2995" s="60"/>
      <c r="F2995" s="60"/>
      <c r="G2995" s="60"/>
      <c r="H2995" s="60"/>
      <c r="I2995" s="60"/>
      <c r="J2995" s="114"/>
      <c r="K2995" s="60"/>
      <c r="L2995" s="109"/>
      <c r="M2995" s="109"/>
      <c r="N2995" s="109"/>
      <c r="O2995" s="109"/>
      <c r="P2995" s="109"/>
      <c r="Q2995" s="109"/>
      <c r="S2995" s="111"/>
      <c r="T2995" s="60"/>
      <c r="U2995" s="112"/>
    </row>
    <row r="2996" spans="4:21" s="110" customFormat="1" ht="15.75" customHeight="1">
      <c r="D2996" s="113"/>
      <c r="E2996" s="60"/>
      <c r="F2996" s="60"/>
      <c r="G2996" s="60"/>
      <c r="H2996" s="60"/>
      <c r="I2996" s="60"/>
      <c r="J2996" s="114"/>
      <c r="K2996" s="60"/>
      <c r="L2996" s="109"/>
      <c r="M2996" s="109"/>
      <c r="N2996" s="109"/>
      <c r="O2996" s="109"/>
      <c r="P2996" s="109"/>
      <c r="Q2996" s="109"/>
      <c r="S2996" s="111"/>
      <c r="T2996" s="60"/>
      <c r="U2996" s="112"/>
    </row>
    <row r="2997" spans="4:21" s="110" customFormat="1" ht="15.75" customHeight="1">
      <c r="D2997" s="113"/>
      <c r="E2997" s="60"/>
      <c r="F2997" s="60"/>
      <c r="G2997" s="60"/>
      <c r="H2997" s="60"/>
      <c r="I2997" s="60"/>
      <c r="J2997" s="114"/>
      <c r="K2997" s="60"/>
      <c r="L2997" s="109"/>
      <c r="M2997" s="109"/>
      <c r="N2997" s="109"/>
      <c r="O2997" s="109"/>
      <c r="P2997" s="109"/>
      <c r="Q2997" s="109"/>
      <c r="S2997" s="111"/>
      <c r="T2997" s="60"/>
      <c r="U2997" s="112"/>
    </row>
    <row r="2998" spans="4:21" s="110" customFormat="1" ht="15.75" customHeight="1">
      <c r="D2998" s="113"/>
      <c r="E2998" s="60"/>
      <c r="F2998" s="60"/>
      <c r="G2998" s="60"/>
      <c r="H2998" s="60"/>
      <c r="I2998" s="60"/>
      <c r="J2998" s="114"/>
      <c r="K2998" s="60"/>
      <c r="L2998" s="109"/>
      <c r="M2998" s="109"/>
      <c r="N2998" s="109"/>
      <c r="O2998" s="109"/>
      <c r="P2998" s="109"/>
      <c r="Q2998" s="109"/>
      <c r="S2998" s="111"/>
      <c r="T2998" s="60"/>
      <c r="U2998" s="112"/>
    </row>
    <row r="2999" spans="4:21" s="110" customFormat="1" ht="15.75" customHeight="1">
      <c r="D2999" s="113"/>
      <c r="E2999" s="60"/>
      <c r="F2999" s="60"/>
      <c r="G2999" s="60"/>
      <c r="H2999" s="60"/>
      <c r="I2999" s="60"/>
      <c r="J2999" s="114"/>
      <c r="K2999" s="60"/>
      <c r="L2999" s="109"/>
      <c r="M2999" s="109"/>
      <c r="N2999" s="109"/>
      <c r="O2999" s="109"/>
      <c r="P2999" s="109"/>
      <c r="Q2999" s="109"/>
      <c r="S2999" s="111"/>
      <c r="T2999" s="60"/>
      <c r="U2999" s="112"/>
    </row>
    <row r="3000" spans="4:21" s="110" customFormat="1" ht="15.75" customHeight="1">
      <c r="D3000" s="113"/>
      <c r="E3000" s="60"/>
      <c r="F3000" s="60"/>
      <c r="G3000" s="60"/>
      <c r="H3000" s="60"/>
      <c r="I3000" s="60"/>
      <c r="J3000" s="114"/>
      <c r="K3000" s="60"/>
      <c r="L3000" s="109"/>
      <c r="M3000" s="109"/>
      <c r="N3000" s="109"/>
      <c r="O3000" s="109"/>
      <c r="P3000" s="109"/>
      <c r="Q3000" s="109"/>
      <c r="S3000" s="111"/>
      <c r="T3000" s="60"/>
      <c r="U3000" s="112"/>
    </row>
    <row r="3001" spans="4:21" s="110" customFormat="1" ht="15.75" customHeight="1">
      <c r="D3001" s="113"/>
      <c r="E3001" s="60"/>
      <c r="F3001" s="60"/>
      <c r="G3001" s="60"/>
      <c r="H3001" s="60"/>
      <c r="I3001" s="60"/>
      <c r="J3001" s="114"/>
      <c r="K3001" s="60"/>
      <c r="L3001" s="109"/>
      <c r="M3001" s="109"/>
      <c r="N3001" s="109"/>
      <c r="O3001" s="109"/>
      <c r="P3001" s="109"/>
      <c r="Q3001" s="109"/>
      <c r="S3001" s="111"/>
      <c r="T3001" s="60"/>
      <c r="U3001" s="112"/>
    </row>
    <row r="3002" spans="4:21" s="110" customFormat="1" ht="15.75" customHeight="1">
      <c r="D3002" s="113"/>
      <c r="E3002" s="60"/>
      <c r="F3002" s="60"/>
      <c r="G3002" s="60"/>
      <c r="H3002" s="60"/>
      <c r="I3002" s="60"/>
      <c r="J3002" s="114"/>
      <c r="K3002" s="60"/>
      <c r="L3002" s="109"/>
      <c r="M3002" s="109"/>
      <c r="N3002" s="109"/>
      <c r="O3002" s="109"/>
      <c r="P3002" s="109"/>
      <c r="Q3002" s="109"/>
      <c r="S3002" s="111"/>
      <c r="T3002" s="60"/>
      <c r="U3002" s="112"/>
    </row>
    <row r="3003" spans="4:21" s="110" customFormat="1" ht="15.75" customHeight="1">
      <c r="D3003" s="113"/>
      <c r="E3003" s="60"/>
      <c r="F3003" s="60"/>
      <c r="G3003" s="60"/>
      <c r="H3003" s="60"/>
      <c r="I3003" s="60"/>
      <c r="J3003" s="114"/>
      <c r="K3003" s="60"/>
      <c r="L3003" s="109"/>
      <c r="M3003" s="109"/>
      <c r="N3003" s="109"/>
      <c r="O3003" s="109"/>
      <c r="P3003" s="109"/>
      <c r="Q3003" s="109"/>
      <c r="S3003" s="111"/>
      <c r="T3003" s="60"/>
      <c r="U3003" s="112"/>
    </row>
    <row r="3004" spans="4:21" s="110" customFormat="1" ht="15.75" customHeight="1">
      <c r="D3004" s="113"/>
      <c r="E3004" s="60"/>
      <c r="F3004" s="60"/>
      <c r="G3004" s="60"/>
      <c r="H3004" s="60"/>
      <c r="I3004" s="60"/>
      <c r="J3004" s="114"/>
      <c r="K3004" s="60"/>
      <c r="L3004" s="109"/>
      <c r="M3004" s="109"/>
      <c r="N3004" s="109"/>
      <c r="O3004" s="109"/>
      <c r="P3004" s="109"/>
      <c r="Q3004" s="109"/>
      <c r="S3004" s="111"/>
      <c r="T3004" s="60"/>
      <c r="U3004" s="112"/>
    </row>
    <row r="3005" spans="4:21" s="110" customFormat="1" ht="15.75" customHeight="1">
      <c r="D3005" s="113"/>
      <c r="E3005" s="60"/>
      <c r="F3005" s="60"/>
      <c r="G3005" s="60"/>
      <c r="H3005" s="60"/>
      <c r="I3005" s="60"/>
      <c r="J3005" s="114"/>
      <c r="K3005" s="60"/>
      <c r="L3005" s="109"/>
      <c r="M3005" s="109"/>
      <c r="N3005" s="109"/>
      <c r="O3005" s="109"/>
      <c r="P3005" s="109"/>
      <c r="Q3005" s="109"/>
      <c r="S3005" s="111"/>
      <c r="T3005" s="60"/>
      <c r="U3005" s="112"/>
    </row>
    <row r="3006" spans="4:21" s="110" customFormat="1" ht="15.75" customHeight="1">
      <c r="D3006" s="113"/>
      <c r="E3006" s="60"/>
      <c r="F3006" s="60"/>
      <c r="G3006" s="60"/>
      <c r="H3006" s="60"/>
      <c r="I3006" s="60"/>
      <c r="J3006" s="114"/>
      <c r="K3006" s="60"/>
      <c r="L3006" s="109"/>
      <c r="M3006" s="109"/>
      <c r="N3006" s="109"/>
      <c r="O3006" s="109"/>
      <c r="P3006" s="109"/>
      <c r="Q3006" s="109"/>
      <c r="S3006" s="111"/>
      <c r="T3006" s="60"/>
      <c r="U3006" s="112"/>
    </row>
    <row r="3007" spans="4:21" s="110" customFormat="1" ht="15.75" customHeight="1">
      <c r="D3007" s="113"/>
      <c r="E3007" s="60"/>
      <c r="F3007" s="60"/>
      <c r="G3007" s="60"/>
      <c r="H3007" s="60"/>
      <c r="I3007" s="60"/>
      <c r="J3007" s="114"/>
      <c r="K3007" s="60"/>
      <c r="L3007" s="109"/>
      <c r="M3007" s="109"/>
      <c r="N3007" s="109"/>
      <c r="O3007" s="109"/>
      <c r="P3007" s="109"/>
      <c r="Q3007" s="109"/>
      <c r="S3007" s="111"/>
      <c r="T3007" s="60"/>
      <c r="U3007" s="112"/>
    </row>
    <row r="3008" spans="4:21" s="110" customFormat="1" ht="15.75" customHeight="1">
      <c r="D3008" s="113"/>
      <c r="E3008" s="60"/>
      <c r="F3008" s="60"/>
      <c r="G3008" s="60"/>
      <c r="H3008" s="60"/>
      <c r="I3008" s="60"/>
      <c r="J3008" s="114"/>
      <c r="K3008" s="60"/>
      <c r="L3008" s="109"/>
      <c r="M3008" s="109"/>
      <c r="N3008" s="109"/>
      <c r="O3008" s="109"/>
      <c r="P3008" s="109"/>
      <c r="Q3008" s="109"/>
      <c r="S3008" s="111"/>
      <c r="T3008" s="60"/>
      <c r="U3008" s="112"/>
    </row>
    <row r="3009" spans="4:21" s="110" customFormat="1" ht="15.75" customHeight="1">
      <c r="D3009" s="113"/>
      <c r="E3009" s="60"/>
      <c r="F3009" s="60"/>
      <c r="G3009" s="60"/>
      <c r="H3009" s="60"/>
      <c r="I3009" s="60"/>
      <c r="J3009" s="114"/>
      <c r="K3009" s="60"/>
      <c r="L3009" s="109"/>
      <c r="M3009" s="109"/>
      <c r="N3009" s="109"/>
      <c r="O3009" s="109"/>
      <c r="P3009" s="109"/>
      <c r="Q3009" s="109"/>
      <c r="S3009" s="111"/>
      <c r="T3009" s="60"/>
      <c r="U3009" s="112"/>
    </row>
    <row r="3010" spans="4:21" s="110" customFormat="1" ht="15.75" customHeight="1">
      <c r="D3010" s="113"/>
      <c r="E3010" s="60"/>
      <c r="F3010" s="60"/>
      <c r="G3010" s="60"/>
      <c r="H3010" s="60"/>
      <c r="I3010" s="60"/>
      <c r="J3010" s="114"/>
      <c r="K3010" s="60"/>
      <c r="L3010" s="109"/>
      <c r="M3010" s="109"/>
      <c r="N3010" s="109"/>
      <c r="O3010" s="109"/>
      <c r="P3010" s="109"/>
      <c r="Q3010" s="109"/>
      <c r="S3010" s="111"/>
      <c r="T3010" s="60"/>
      <c r="U3010" s="112"/>
    </row>
    <row r="3011" spans="4:21" s="110" customFormat="1" ht="15.75" customHeight="1">
      <c r="D3011" s="113"/>
      <c r="E3011" s="60"/>
      <c r="F3011" s="60"/>
      <c r="G3011" s="60"/>
      <c r="H3011" s="60"/>
      <c r="I3011" s="60"/>
      <c r="J3011" s="114"/>
      <c r="K3011" s="60"/>
      <c r="L3011" s="109"/>
      <c r="M3011" s="109"/>
      <c r="N3011" s="109"/>
      <c r="O3011" s="109"/>
      <c r="P3011" s="109"/>
      <c r="Q3011" s="109"/>
      <c r="S3011" s="111"/>
      <c r="T3011" s="60"/>
      <c r="U3011" s="112"/>
    </row>
    <row r="3012" spans="4:21" s="110" customFormat="1" ht="15.75" customHeight="1">
      <c r="D3012" s="113"/>
      <c r="E3012" s="60"/>
      <c r="F3012" s="60"/>
      <c r="G3012" s="60"/>
      <c r="H3012" s="60"/>
      <c r="I3012" s="60"/>
      <c r="J3012" s="114"/>
      <c r="K3012" s="60"/>
      <c r="L3012" s="109"/>
      <c r="M3012" s="109"/>
      <c r="N3012" s="109"/>
      <c r="O3012" s="109"/>
      <c r="P3012" s="109"/>
      <c r="Q3012" s="109"/>
      <c r="S3012" s="111"/>
      <c r="T3012" s="60"/>
      <c r="U3012" s="112"/>
    </row>
    <row r="3013" spans="4:21" s="110" customFormat="1" ht="15.75" customHeight="1">
      <c r="D3013" s="113"/>
      <c r="E3013" s="60"/>
      <c r="F3013" s="60"/>
      <c r="G3013" s="60"/>
      <c r="H3013" s="60"/>
      <c r="I3013" s="60"/>
      <c r="J3013" s="114"/>
      <c r="K3013" s="60"/>
      <c r="L3013" s="109"/>
      <c r="M3013" s="109"/>
      <c r="N3013" s="109"/>
      <c r="O3013" s="109"/>
      <c r="P3013" s="109"/>
      <c r="Q3013" s="109"/>
      <c r="S3013" s="111"/>
      <c r="T3013" s="60"/>
      <c r="U3013" s="112"/>
    </row>
    <row r="3014" spans="4:21" s="110" customFormat="1" ht="15.75" customHeight="1">
      <c r="D3014" s="113"/>
      <c r="E3014" s="60"/>
      <c r="F3014" s="60"/>
      <c r="G3014" s="60"/>
      <c r="H3014" s="60"/>
      <c r="I3014" s="60"/>
      <c r="J3014" s="114"/>
      <c r="K3014" s="60"/>
      <c r="L3014" s="109"/>
      <c r="M3014" s="109"/>
      <c r="N3014" s="109"/>
      <c r="O3014" s="109"/>
      <c r="P3014" s="109"/>
      <c r="Q3014" s="109"/>
      <c r="S3014" s="111"/>
      <c r="T3014" s="60"/>
      <c r="U3014" s="112"/>
    </row>
    <row r="3015" spans="4:21" s="110" customFormat="1" ht="15.75" customHeight="1">
      <c r="D3015" s="113"/>
      <c r="E3015" s="60"/>
      <c r="F3015" s="60"/>
      <c r="G3015" s="60"/>
      <c r="H3015" s="60"/>
      <c r="I3015" s="60"/>
      <c r="J3015" s="114"/>
      <c r="K3015" s="60"/>
      <c r="L3015" s="109"/>
      <c r="M3015" s="109"/>
      <c r="N3015" s="109"/>
      <c r="O3015" s="109"/>
      <c r="P3015" s="109"/>
      <c r="Q3015" s="109"/>
      <c r="S3015" s="111"/>
      <c r="T3015" s="60"/>
      <c r="U3015" s="112"/>
    </row>
    <row r="3016" spans="4:21" s="110" customFormat="1" ht="15.75" customHeight="1">
      <c r="D3016" s="113"/>
      <c r="E3016" s="60"/>
      <c r="F3016" s="60"/>
      <c r="G3016" s="60"/>
      <c r="H3016" s="60"/>
      <c r="I3016" s="60"/>
      <c r="J3016" s="114"/>
      <c r="K3016" s="60"/>
      <c r="L3016" s="109"/>
      <c r="M3016" s="109"/>
      <c r="N3016" s="109"/>
      <c r="O3016" s="109"/>
      <c r="P3016" s="109"/>
      <c r="Q3016" s="109"/>
      <c r="S3016" s="111"/>
      <c r="T3016" s="60"/>
      <c r="U3016" s="112"/>
    </row>
    <row r="3017" spans="4:21" s="110" customFormat="1" ht="15.75" customHeight="1">
      <c r="D3017" s="113"/>
      <c r="E3017" s="60"/>
      <c r="F3017" s="60"/>
      <c r="G3017" s="60"/>
      <c r="H3017" s="60"/>
      <c r="I3017" s="60"/>
      <c r="J3017" s="114"/>
      <c r="K3017" s="60"/>
      <c r="L3017" s="109"/>
      <c r="M3017" s="109"/>
      <c r="N3017" s="109"/>
      <c r="O3017" s="109"/>
      <c r="P3017" s="109"/>
      <c r="Q3017" s="109"/>
      <c r="S3017" s="111"/>
      <c r="T3017" s="60"/>
      <c r="U3017" s="112"/>
    </row>
    <row r="3018" spans="4:21" s="110" customFormat="1" ht="15.75" customHeight="1">
      <c r="D3018" s="113"/>
      <c r="E3018" s="60"/>
      <c r="F3018" s="60"/>
      <c r="G3018" s="60"/>
      <c r="H3018" s="60"/>
      <c r="I3018" s="60"/>
      <c r="J3018" s="114"/>
      <c r="K3018" s="60"/>
      <c r="L3018" s="109"/>
      <c r="M3018" s="109"/>
      <c r="N3018" s="109"/>
      <c r="O3018" s="109"/>
      <c r="P3018" s="109"/>
      <c r="Q3018" s="109"/>
      <c r="S3018" s="111"/>
      <c r="T3018" s="60"/>
      <c r="U3018" s="112"/>
    </row>
    <row r="3019" spans="4:21" s="110" customFormat="1" ht="15.75" customHeight="1">
      <c r="D3019" s="113"/>
      <c r="E3019" s="60"/>
      <c r="F3019" s="60"/>
      <c r="G3019" s="60"/>
      <c r="H3019" s="60"/>
      <c r="I3019" s="60"/>
      <c r="J3019" s="114"/>
      <c r="K3019" s="60"/>
      <c r="L3019" s="109"/>
      <c r="M3019" s="109"/>
      <c r="N3019" s="109"/>
      <c r="O3019" s="109"/>
      <c r="P3019" s="109"/>
      <c r="Q3019" s="109"/>
      <c r="S3019" s="111"/>
      <c r="T3019" s="60"/>
      <c r="U3019" s="112"/>
    </row>
    <row r="3020" spans="4:21" s="110" customFormat="1" ht="15.75" customHeight="1">
      <c r="D3020" s="113"/>
      <c r="E3020" s="60"/>
      <c r="F3020" s="60"/>
      <c r="G3020" s="60"/>
      <c r="H3020" s="60"/>
      <c r="I3020" s="60"/>
      <c r="J3020" s="114"/>
      <c r="K3020" s="60"/>
      <c r="L3020" s="109"/>
      <c r="M3020" s="109"/>
      <c r="N3020" s="109"/>
      <c r="O3020" s="109"/>
      <c r="P3020" s="109"/>
      <c r="Q3020" s="109"/>
      <c r="S3020" s="111"/>
      <c r="T3020" s="60"/>
      <c r="U3020" s="112"/>
    </row>
    <row r="3021" spans="4:21" s="110" customFormat="1" ht="15.75" customHeight="1">
      <c r="D3021" s="113"/>
      <c r="E3021" s="60"/>
      <c r="F3021" s="60"/>
      <c r="G3021" s="60"/>
      <c r="H3021" s="60"/>
      <c r="I3021" s="60"/>
      <c r="J3021" s="114"/>
      <c r="K3021" s="60"/>
      <c r="L3021" s="109"/>
      <c r="M3021" s="109"/>
      <c r="N3021" s="109"/>
      <c r="O3021" s="109"/>
      <c r="P3021" s="109"/>
      <c r="Q3021" s="109"/>
      <c r="S3021" s="111"/>
      <c r="T3021" s="60"/>
      <c r="U3021" s="112"/>
    </row>
    <row r="3022" spans="4:21" s="110" customFormat="1" ht="15.75" customHeight="1">
      <c r="D3022" s="113"/>
      <c r="E3022" s="60"/>
      <c r="F3022" s="60"/>
      <c r="G3022" s="60"/>
      <c r="H3022" s="60"/>
      <c r="I3022" s="60"/>
      <c r="J3022" s="114"/>
      <c r="K3022" s="60"/>
      <c r="L3022" s="109"/>
      <c r="M3022" s="109"/>
      <c r="N3022" s="109"/>
      <c r="O3022" s="109"/>
      <c r="P3022" s="109"/>
      <c r="Q3022" s="109"/>
      <c r="S3022" s="111"/>
      <c r="T3022" s="60"/>
      <c r="U3022" s="112"/>
    </row>
    <row r="3023" spans="4:21" s="110" customFormat="1" ht="15.75" customHeight="1">
      <c r="D3023" s="113"/>
      <c r="E3023" s="60"/>
      <c r="F3023" s="60"/>
      <c r="G3023" s="60"/>
      <c r="H3023" s="60"/>
      <c r="I3023" s="60"/>
      <c r="J3023" s="114"/>
      <c r="K3023" s="60"/>
      <c r="L3023" s="109"/>
      <c r="M3023" s="109"/>
      <c r="N3023" s="109"/>
      <c r="O3023" s="109"/>
      <c r="P3023" s="109"/>
      <c r="Q3023" s="109"/>
      <c r="S3023" s="111"/>
      <c r="T3023" s="60"/>
      <c r="U3023" s="112"/>
    </row>
    <row r="3024" spans="4:21" s="110" customFormat="1" ht="15.75" customHeight="1">
      <c r="D3024" s="113"/>
      <c r="E3024" s="60"/>
      <c r="F3024" s="60"/>
      <c r="G3024" s="60"/>
      <c r="H3024" s="60"/>
      <c r="I3024" s="60"/>
      <c r="J3024" s="114"/>
      <c r="K3024" s="60"/>
      <c r="L3024" s="109"/>
      <c r="M3024" s="109"/>
      <c r="N3024" s="109"/>
      <c r="O3024" s="109"/>
      <c r="P3024" s="109"/>
      <c r="Q3024" s="109"/>
      <c r="S3024" s="111"/>
      <c r="T3024" s="60"/>
      <c r="U3024" s="112"/>
    </row>
    <row r="3025" spans="4:21" s="110" customFormat="1" ht="15.75" customHeight="1">
      <c r="D3025" s="113"/>
      <c r="E3025" s="60"/>
      <c r="F3025" s="60"/>
      <c r="G3025" s="60"/>
      <c r="H3025" s="60"/>
      <c r="I3025" s="60"/>
      <c r="J3025" s="114"/>
      <c r="K3025" s="60"/>
      <c r="L3025" s="109"/>
      <c r="M3025" s="109"/>
      <c r="N3025" s="109"/>
      <c r="O3025" s="109"/>
      <c r="P3025" s="109"/>
      <c r="Q3025" s="109"/>
      <c r="S3025" s="111"/>
      <c r="T3025" s="60"/>
      <c r="U3025" s="112"/>
    </row>
    <row r="3026" spans="4:21" s="110" customFormat="1" ht="15.75" customHeight="1">
      <c r="D3026" s="113"/>
      <c r="E3026" s="60"/>
      <c r="F3026" s="60"/>
      <c r="G3026" s="60"/>
      <c r="H3026" s="60"/>
      <c r="I3026" s="60"/>
      <c r="J3026" s="114"/>
      <c r="K3026" s="60"/>
      <c r="L3026" s="109"/>
      <c r="M3026" s="109"/>
      <c r="N3026" s="109"/>
      <c r="O3026" s="109"/>
      <c r="P3026" s="109"/>
      <c r="Q3026" s="109"/>
      <c r="S3026" s="111"/>
      <c r="T3026" s="60"/>
      <c r="U3026" s="112"/>
    </row>
    <row r="3027" spans="4:21" s="110" customFormat="1" ht="15.75" customHeight="1">
      <c r="D3027" s="113"/>
      <c r="E3027" s="60"/>
      <c r="F3027" s="60"/>
      <c r="G3027" s="60"/>
      <c r="H3027" s="60"/>
      <c r="I3027" s="60"/>
      <c r="J3027" s="114"/>
      <c r="K3027" s="60"/>
      <c r="L3027" s="109"/>
      <c r="M3027" s="109"/>
      <c r="N3027" s="109"/>
      <c r="O3027" s="109"/>
      <c r="P3027" s="109"/>
      <c r="Q3027" s="109"/>
      <c r="S3027" s="111"/>
      <c r="T3027" s="60"/>
      <c r="U3027" s="112"/>
    </row>
    <row r="3028" spans="4:21" s="110" customFormat="1" ht="15.75" customHeight="1">
      <c r="D3028" s="113"/>
      <c r="E3028" s="60"/>
      <c r="F3028" s="60"/>
      <c r="G3028" s="60"/>
      <c r="H3028" s="60"/>
      <c r="I3028" s="60"/>
      <c r="J3028" s="114"/>
      <c r="K3028" s="60"/>
      <c r="L3028" s="109"/>
      <c r="M3028" s="109"/>
      <c r="N3028" s="109"/>
      <c r="O3028" s="109"/>
      <c r="P3028" s="109"/>
      <c r="Q3028" s="109"/>
      <c r="S3028" s="111"/>
      <c r="T3028" s="60"/>
      <c r="U3028" s="112"/>
    </row>
    <row r="3029" spans="4:21" s="110" customFormat="1" ht="15.75" customHeight="1">
      <c r="D3029" s="113"/>
      <c r="E3029" s="60"/>
      <c r="F3029" s="60"/>
      <c r="G3029" s="60"/>
      <c r="H3029" s="60"/>
      <c r="I3029" s="60"/>
      <c r="J3029" s="114"/>
      <c r="K3029" s="60"/>
      <c r="L3029" s="109"/>
      <c r="M3029" s="109"/>
      <c r="N3029" s="109"/>
      <c r="O3029" s="109"/>
      <c r="P3029" s="109"/>
      <c r="Q3029" s="109"/>
      <c r="S3029" s="111"/>
      <c r="T3029" s="60"/>
      <c r="U3029" s="112"/>
    </row>
    <row r="3030" spans="4:21" s="110" customFormat="1" ht="15.75" customHeight="1">
      <c r="D3030" s="113"/>
      <c r="E3030" s="60"/>
      <c r="F3030" s="60"/>
      <c r="G3030" s="60"/>
      <c r="H3030" s="60"/>
      <c r="I3030" s="60"/>
      <c r="J3030" s="114"/>
      <c r="K3030" s="60"/>
      <c r="L3030" s="109"/>
      <c r="M3030" s="109"/>
      <c r="N3030" s="109"/>
      <c r="O3030" s="109"/>
      <c r="P3030" s="109"/>
      <c r="Q3030" s="109"/>
      <c r="S3030" s="111"/>
      <c r="T3030" s="60"/>
      <c r="U3030" s="112"/>
    </row>
    <row r="3031" spans="4:21" s="110" customFormat="1" ht="15.75" customHeight="1">
      <c r="D3031" s="113"/>
      <c r="E3031" s="60"/>
      <c r="F3031" s="60"/>
      <c r="G3031" s="60"/>
      <c r="H3031" s="60"/>
      <c r="I3031" s="60"/>
      <c r="J3031" s="114"/>
      <c r="K3031" s="60"/>
      <c r="L3031" s="109"/>
      <c r="M3031" s="109"/>
      <c r="N3031" s="109"/>
      <c r="O3031" s="109"/>
      <c r="P3031" s="109"/>
      <c r="Q3031" s="109"/>
      <c r="S3031" s="111"/>
      <c r="T3031" s="60"/>
      <c r="U3031" s="112"/>
    </row>
    <row r="3032" spans="4:21" s="110" customFormat="1" ht="15.75" customHeight="1">
      <c r="D3032" s="113"/>
      <c r="E3032" s="60"/>
      <c r="F3032" s="60"/>
      <c r="G3032" s="60"/>
      <c r="H3032" s="60"/>
      <c r="I3032" s="60"/>
      <c r="J3032" s="114"/>
      <c r="K3032" s="60"/>
      <c r="L3032" s="109"/>
      <c r="M3032" s="109"/>
      <c r="N3032" s="109"/>
      <c r="O3032" s="109"/>
      <c r="P3032" s="109"/>
      <c r="Q3032" s="109"/>
      <c r="S3032" s="111"/>
      <c r="T3032" s="60"/>
      <c r="U3032" s="112"/>
    </row>
    <row r="3033" spans="4:21" s="110" customFormat="1" ht="15.75" customHeight="1">
      <c r="D3033" s="113"/>
      <c r="E3033" s="60"/>
      <c r="F3033" s="60"/>
      <c r="G3033" s="60"/>
      <c r="H3033" s="60"/>
      <c r="I3033" s="60"/>
      <c r="J3033" s="114"/>
      <c r="K3033" s="60"/>
      <c r="L3033" s="109"/>
      <c r="M3033" s="109"/>
      <c r="N3033" s="109"/>
      <c r="O3033" s="109"/>
      <c r="P3033" s="109"/>
      <c r="Q3033" s="109"/>
      <c r="S3033" s="111"/>
      <c r="T3033" s="60"/>
      <c r="U3033" s="112"/>
    </row>
    <row r="3034" spans="4:21" s="110" customFormat="1" ht="15.75" customHeight="1">
      <c r="D3034" s="113"/>
      <c r="E3034" s="60"/>
      <c r="F3034" s="60"/>
      <c r="G3034" s="60"/>
      <c r="H3034" s="60"/>
      <c r="I3034" s="60"/>
      <c r="J3034" s="114"/>
      <c r="K3034" s="60"/>
      <c r="L3034" s="109"/>
      <c r="M3034" s="109"/>
      <c r="N3034" s="109"/>
      <c r="O3034" s="109"/>
      <c r="P3034" s="109"/>
      <c r="Q3034" s="109"/>
      <c r="S3034" s="111"/>
      <c r="T3034" s="60"/>
      <c r="U3034" s="112"/>
    </row>
    <row r="3035" spans="4:21" s="110" customFormat="1" ht="15.75" customHeight="1">
      <c r="D3035" s="113"/>
      <c r="E3035" s="60"/>
      <c r="F3035" s="60"/>
      <c r="G3035" s="60"/>
      <c r="H3035" s="60"/>
      <c r="I3035" s="60"/>
      <c r="J3035" s="114"/>
      <c r="K3035" s="60"/>
      <c r="L3035" s="109"/>
      <c r="M3035" s="109"/>
      <c r="N3035" s="109"/>
      <c r="O3035" s="109"/>
      <c r="P3035" s="109"/>
      <c r="Q3035" s="109"/>
      <c r="S3035" s="111"/>
      <c r="T3035" s="60"/>
      <c r="U3035" s="112"/>
    </row>
    <row r="3036" spans="4:21" s="110" customFormat="1" ht="15.75" customHeight="1">
      <c r="D3036" s="113"/>
      <c r="E3036" s="60"/>
      <c r="F3036" s="60"/>
      <c r="G3036" s="60"/>
      <c r="H3036" s="60"/>
      <c r="I3036" s="60"/>
      <c r="J3036" s="114"/>
      <c r="K3036" s="60"/>
      <c r="L3036" s="109"/>
      <c r="M3036" s="109"/>
      <c r="N3036" s="109"/>
      <c r="O3036" s="109"/>
      <c r="P3036" s="109"/>
      <c r="Q3036" s="109"/>
      <c r="S3036" s="111"/>
      <c r="T3036" s="60"/>
      <c r="U3036" s="112"/>
    </row>
    <row r="3037" spans="4:21" s="110" customFormat="1" ht="15.75" customHeight="1">
      <c r="D3037" s="113"/>
      <c r="E3037" s="60"/>
      <c r="F3037" s="60"/>
      <c r="G3037" s="60"/>
      <c r="H3037" s="60"/>
      <c r="I3037" s="60"/>
      <c r="J3037" s="114"/>
      <c r="K3037" s="60"/>
      <c r="L3037" s="109"/>
      <c r="M3037" s="109"/>
      <c r="N3037" s="109"/>
      <c r="O3037" s="109"/>
      <c r="P3037" s="109"/>
      <c r="Q3037" s="109"/>
      <c r="S3037" s="111"/>
      <c r="T3037" s="60"/>
      <c r="U3037" s="112"/>
    </row>
    <row r="3038" spans="4:21" s="110" customFormat="1" ht="15.75" customHeight="1">
      <c r="D3038" s="113"/>
      <c r="E3038" s="60"/>
      <c r="F3038" s="60"/>
      <c r="G3038" s="60"/>
      <c r="H3038" s="60"/>
      <c r="I3038" s="60"/>
      <c r="J3038" s="114"/>
      <c r="K3038" s="60"/>
      <c r="L3038" s="109"/>
      <c r="M3038" s="109"/>
      <c r="N3038" s="109"/>
      <c r="O3038" s="109"/>
      <c r="P3038" s="109"/>
      <c r="Q3038" s="109"/>
      <c r="S3038" s="111"/>
      <c r="T3038" s="60"/>
      <c r="U3038" s="112"/>
    </row>
    <row r="3039" spans="4:21" s="110" customFormat="1" ht="15.75" customHeight="1">
      <c r="D3039" s="113"/>
      <c r="E3039" s="60"/>
      <c r="F3039" s="60"/>
      <c r="G3039" s="60"/>
      <c r="H3039" s="60"/>
      <c r="I3039" s="60"/>
      <c r="J3039" s="114"/>
      <c r="K3039" s="60"/>
      <c r="L3039" s="109"/>
      <c r="M3039" s="109"/>
      <c r="N3039" s="109"/>
      <c r="O3039" s="109"/>
      <c r="P3039" s="109"/>
      <c r="Q3039" s="109"/>
      <c r="S3039" s="111"/>
      <c r="T3039" s="60"/>
      <c r="U3039" s="112"/>
    </row>
    <row r="3040" spans="4:21" s="110" customFormat="1" ht="15.75" customHeight="1">
      <c r="D3040" s="113"/>
      <c r="E3040" s="60"/>
      <c r="F3040" s="60"/>
      <c r="G3040" s="60"/>
      <c r="H3040" s="60"/>
      <c r="I3040" s="60"/>
      <c r="J3040" s="114"/>
      <c r="K3040" s="60"/>
      <c r="L3040" s="109"/>
      <c r="M3040" s="109"/>
      <c r="N3040" s="109"/>
      <c r="O3040" s="109"/>
      <c r="P3040" s="109"/>
      <c r="Q3040" s="109"/>
      <c r="S3040" s="111"/>
      <c r="T3040" s="60"/>
      <c r="U3040" s="112"/>
    </row>
    <row r="3041" spans="4:21" s="110" customFormat="1" ht="15.75" customHeight="1">
      <c r="D3041" s="113"/>
      <c r="E3041" s="60"/>
      <c r="F3041" s="60"/>
      <c r="G3041" s="60"/>
      <c r="H3041" s="60"/>
      <c r="I3041" s="60"/>
      <c r="J3041" s="114"/>
      <c r="K3041" s="60"/>
      <c r="L3041" s="109"/>
      <c r="M3041" s="109"/>
      <c r="N3041" s="109"/>
      <c r="O3041" s="109"/>
      <c r="P3041" s="109"/>
      <c r="Q3041" s="109"/>
      <c r="S3041" s="111"/>
      <c r="T3041" s="60"/>
      <c r="U3041" s="112"/>
    </row>
    <row r="3042" spans="4:21" s="110" customFormat="1" ht="15.75" customHeight="1">
      <c r="D3042" s="113"/>
      <c r="E3042" s="60"/>
      <c r="F3042" s="60"/>
      <c r="G3042" s="60"/>
      <c r="H3042" s="60"/>
      <c r="I3042" s="60"/>
      <c r="J3042" s="114"/>
      <c r="K3042" s="60"/>
      <c r="L3042" s="109"/>
      <c r="M3042" s="109"/>
      <c r="N3042" s="109"/>
      <c r="O3042" s="109"/>
      <c r="P3042" s="109"/>
      <c r="Q3042" s="109"/>
      <c r="S3042" s="111"/>
      <c r="T3042" s="60"/>
      <c r="U3042" s="112"/>
    </row>
    <row r="3043" spans="4:21" s="110" customFormat="1" ht="15.75" customHeight="1">
      <c r="D3043" s="113"/>
      <c r="E3043" s="60"/>
      <c r="F3043" s="60"/>
      <c r="G3043" s="60"/>
      <c r="H3043" s="60"/>
      <c r="I3043" s="60"/>
      <c r="J3043" s="114"/>
      <c r="K3043" s="60"/>
      <c r="L3043" s="109"/>
      <c r="M3043" s="109"/>
      <c r="N3043" s="109"/>
      <c r="O3043" s="109"/>
      <c r="P3043" s="109"/>
      <c r="Q3043" s="109"/>
      <c r="S3043" s="111"/>
      <c r="T3043" s="60"/>
      <c r="U3043" s="112"/>
    </row>
    <row r="3044" spans="4:21" s="110" customFormat="1" ht="15.75" customHeight="1">
      <c r="D3044" s="113"/>
      <c r="E3044" s="60"/>
      <c r="F3044" s="60"/>
      <c r="G3044" s="60"/>
      <c r="H3044" s="60"/>
      <c r="I3044" s="60"/>
      <c r="J3044" s="114"/>
      <c r="K3044" s="60"/>
      <c r="L3044" s="109"/>
      <c r="M3044" s="109"/>
      <c r="N3044" s="109"/>
      <c r="O3044" s="109"/>
      <c r="P3044" s="109"/>
      <c r="Q3044" s="109"/>
      <c r="S3044" s="111"/>
      <c r="T3044" s="60"/>
      <c r="U3044" s="112"/>
    </row>
    <row r="3045" spans="4:21" s="110" customFormat="1" ht="15.75" customHeight="1">
      <c r="D3045" s="113"/>
      <c r="E3045" s="60"/>
      <c r="F3045" s="60"/>
      <c r="G3045" s="60"/>
      <c r="H3045" s="60"/>
      <c r="I3045" s="60"/>
      <c r="J3045" s="114"/>
      <c r="K3045" s="60"/>
      <c r="L3045" s="109"/>
      <c r="M3045" s="109"/>
      <c r="N3045" s="109"/>
      <c r="O3045" s="109"/>
      <c r="P3045" s="109"/>
      <c r="Q3045" s="109"/>
      <c r="S3045" s="111"/>
      <c r="T3045" s="60"/>
      <c r="U3045" s="112"/>
    </row>
    <row r="3046" spans="4:21" s="110" customFormat="1" ht="15.75" customHeight="1">
      <c r="D3046" s="113"/>
      <c r="E3046" s="60"/>
      <c r="F3046" s="60"/>
      <c r="G3046" s="60"/>
      <c r="H3046" s="60"/>
      <c r="I3046" s="60"/>
      <c r="J3046" s="114"/>
      <c r="K3046" s="60"/>
      <c r="L3046" s="109"/>
      <c r="M3046" s="109"/>
      <c r="N3046" s="109"/>
      <c r="O3046" s="109"/>
      <c r="P3046" s="109"/>
      <c r="Q3046" s="109"/>
      <c r="S3046" s="111"/>
      <c r="T3046" s="60"/>
      <c r="U3046" s="112"/>
    </row>
    <row r="3047" spans="4:21" s="110" customFormat="1" ht="15.75" customHeight="1">
      <c r="D3047" s="113"/>
      <c r="E3047" s="60"/>
      <c r="F3047" s="60"/>
      <c r="G3047" s="60"/>
      <c r="H3047" s="60"/>
      <c r="I3047" s="60"/>
      <c r="J3047" s="114"/>
      <c r="K3047" s="60"/>
      <c r="L3047" s="109"/>
      <c r="M3047" s="109"/>
      <c r="N3047" s="109"/>
      <c r="O3047" s="109"/>
      <c r="P3047" s="109"/>
      <c r="Q3047" s="109"/>
      <c r="S3047" s="111"/>
      <c r="T3047" s="60"/>
      <c r="U3047" s="112"/>
    </row>
    <row r="3048" spans="4:21" s="110" customFormat="1" ht="15.75" customHeight="1">
      <c r="D3048" s="113"/>
      <c r="E3048" s="60"/>
      <c r="F3048" s="60"/>
      <c r="G3048" s="60"/>
      <c r="H3048" s="60"/>
      <c r="I3048" s="60"/>
      <c r="J3048" s="114"/>
      <c r="K3048" s="60"/>
      <c r="L3048" s="109"/>
      <c r="M3048" s="109"/>
      <c r="N3048" s="109"/>
      <c r="O3048" s="109"/>
      <c r="P3048" s="109"/>
      <c r="Q3048" s="109"/>
      <c r="S3048" s="111"/>
      <c r="T3048" s="60"/>
      <c r="U3048" s="112"/>
    </row>
    <row r="3049" spans="4:21" s="110" customFormat="1" ht="15.75" customHeight="1">
      <c r="D3049" s="113"/>
      <c r="E3049" s="60"/>
      <c r="F3049" s="60"/>
      <c r="G3049" s="60"/>
      <c r="H3049" s="60"/>
      <c r="I3049" s="60"/>
      <c r="J3049" s="114"/>
      <c r="K3049" s="60"/>
      <c r="L3049" s="109"/>
      <c r="M3049" s="109"/>
      <c r="N3049" s="109"/>
      <c r="O3049" s="109"/>
      <c r="P3049" s="109"/>
      <c r="Q3049" s="109"/>
      <c r="S3049" s="111"/>
      <c r="T3049" s="60"/>
      <c r="U3049" s="112"/>
    </row>
    <row r="3050" spans="4:21" s="110" customFormat="1" ht="15.75" customHeight="1">
      <c r="D3050" s="113"/>
      <c r="E3050" s="60"/>
      <c r="F3050" s="60"/>
      <c r="G3050" s="60"/>
      <c r="H3050" s="60"/>
      <c r="I3050" s="60"/>
      <c r="J3050" s="114"/>
      <c r="K3050" s="60"/>
      <c r="L3050" s="109"/>
      <c r="M3050" s="109"/>
      <c r="N3050" s="109"/>
      <c r="O3050" s="109"/>
      <c r="P3050" s="109"/>
      <c r="Q3050" s="109"/>
      <c r="S3050" s="111"/>
      <c r="T3050" s="60"/>
      <c r="U3050" s="112"/>
    </row>
    <row r="3051" spans="4:21" s="110" customFormat="1" ht="15.75" customHeight="1">
      <c r="D3051" s="113"/>
      <c r="E3051" s="60"/>
      <c r="F3051" s="60"/>
      <c r="G3051" s="60"/>
      <c r="H3051" s="60"/>
      <c r="I3051" s="60"/>
      <c r="J3051" s="114"/>
      <c r="K3051" s="60"/>
      <c r="L3051" s="109"/>
      <c r="M3051" s="109"/>
      <c r="N3051" s="109"/>
      <c r="O3051" s="109"/>
      <c r="P3051" s="109"/>
      <c r="Q3051" s="109"/>
      <c r="S3051" s="111"/>
      <c r="T3051" s="60"/>
      <c r="U3051" s="112"/>
    </row>
    <row r="3052" spans="4:21" s="110" customFormat="1" ht="15.75" customHeight="1">
      <c r="D3052" s="113"/>
      <c r="E3052" s="60"/>
      <c r="F3052" s="60"/>
      <c r="G3052" s="60"/>
      <c r="H3052" s="60"/>
      <c r="I3052" s="60"/>
      <c r="J3052" s="114"/>
      <c r="K3052" s="60"/>
      <c r="L3052" s="109"/>
      <c r="M3052" s="109"/>
      <c r="N3052" s="109"/>
      <c r="O3052" s="109"/>
      <c r="P3052" s="109"/>
      <c r="Q3052" s="109"/>
      <c r="S3052" s="111"/>
      <c r="T3052" s="60"/>
      <c r="U3052" s="112"/>
    </row>
    <row r="3053" spans="4:21" s="110" customFormat="1" ht="15.75" customHeight="1">
      <c r="D3053" s="113"/>
      <c r="E3053" s="60"/>
      <c r="F3053" s="60"/>
      <c r="G3053" s="60"/>
      <c r="H3053" s="60"/>
      <c r="I3053" s="60"/>
      <c r="J3053" s="114"/>
      <c r="K3053" s="60"/>
      <c r="L3053" s="109"/>
      <c r="M3053" s="109"/>
      <c r="N3053" s="109"/>
      <c r="O3053" s="109"/>
      <c r="P3053" s="109"/>
      <c r="Q3053" s="109"/>
      <c r="S3053" s="111"/>
      <c r="T3053" s="60"/>
      <c r="U3053" s="112"/>
    </row>
    <row r="3054" spans="4:21" s="110" customFormat="1" ht="15.75" customHeight="1">
      <c r="D3054" s="113"/>
      <c r="E3054" s="60"/>
      <c r="F3054" s="60"/>
      <c r="G3054" s="60"/>
      <c r="H3054" s="60"/>
      <c r="I3054" s="60"/>
      <c r="J3054" s="114"/>
      <c r="K3054" s="60"/>
      <c r="L3054" s="109"/>
      <c r="M3054" s="109"/>
      <c r="N3054" s="109"/>
      <c r="O3054" s="109"/>
      <c r="P3054" s="109"/>
      <c r="Q3054" s="109"/>
      <c r="S3054" s="111"/>
      <c r="T3054" s="60"/>
      <c r="U3054" s="112"/>
    </row>
    <row r="3055" spans="4:21" s="110" customFormat="1" ht="15.75" customHeight="1">
      <c r="D3055" s="113"/>
      <c r="E3055" s="60"/>
      <c r="F3055" s="60"/>
      <c r="G3055" s="60"/>
      <c r="H3055" s="60"/>
      <c r="I3055" s="60"/>
      <c r="J3055" s="114"/>
      <c r="K3055" s="60"/>
      <c r="L3055" s="109"/>
      <c r="M3055" s="109"/>
      <c r="N3055" s="109"/>
      <c r="O3055" s="109"/>
      <c r="P3055" s="109"/>
      <c r="Q3055" s="109"/>
      <c r="S3055" s="111"/>
      <c r="T3055" s="60"/>
      <c r="U3055" s="112"/>
    </row>
    <row r="3056" spans="4:21" s="110" customFormat="1" ht="15.75" customHeight="1">
      <c r="D3056" s="113"/>
      <c r="E3056" s="60"/>
      <c r="F3056" s="60"/>
      <c r="G3056" s="60"/>
      <c r="H3056" s="60"/>
      <c r="I3056" s="60"/>
      <c r="J3056" s="114"/>
      <c r="K3056" s="60"/>
      <c r="L3056" s="109"/>
      <c r="M3056" s="109"/>
      <c r="N3056" s="109"/>
      <c r="O3056" s="109"/>
      <c r="P3056" s="109"/>
      <c r="Q3056" s="109"/>
      <c r="S3056" s="111"/>
      <c r="T3056" s="60"/>
      <c r="U3056" s="112"/>
    </row>
    <row r="3057" spans="4:21" s="110" customFormat="1" ht="15.75" customHeight="1">
      <c r="D3057" s="113"/>
      <c r="E3057" s="60"/>
      <c r="F3057" s="60"/>
      <c r="G3057" s="60"/>
      <c r="H3057" s="60"/>
      <c r="I3057" s="60"/>
      <c r="J3057" s="114"/>
      <c r="K3057" s="60"/>
      <c r="L3057" s="109"/>
      <c r="M3057" s="109"/>
      <c r="N3057" s="109"/>
      <c r="O3057" s="109"/>
      <c r="P3057" s="109"/>
      <c r="Q3057" s="109"/>
      <c r="S3057" s="111"/>
      <c r="T3057" s="60"/>
      <c r="U3057" s="112"/>
    </row>
    <row r="3058" spans="4:21" s="110" customFormat="1" ht="15.75" customHeight="1">
      <c r="D3058" s="113"/>
      <c r="E3058" s="60"/>
      <c r="F3058" s="60"/>
      <c r="G3058" s="60"/>
      <c r="H3058" s="60"/>
      <c r="I3058" s="60"/>
      <c r="J3058" s="114"/>
      <c r="K3058" s="60"/>
      <c r="L3058" s="109"/>
      <c r="M3058" s="109"/>
      <c r="N3058" s="109"/>
      <c r="O3058" s="109"/>
      <c r="P3058" s="109"/>
      <c r="Q3058" s="109"/>
      <c r="S3058" s="111"/>
      <c r="T3058" s="60"/>
      <c r="U3058" s="112"/>
    </row>
    <row r="3059" spans="4:21" s="110" customFormat="1" ht="15.75" customHeight="1">
      <c r="D3059" s="113"/>
      <c r="E3059" s="60"/>
      <c r="F3059" s="60"/>
      <c r="G3059" s="60"/>
      <c r="H3059" s="60"/>
      <c r="I3059" s="60"/>
      <c r="J3059" s="114"/>
      <c r="K3059" s="60"/>
      <c r="L3059" s="109"/>
      <c r="M3059" s="109"/>
      <c r="N3059" s="109"/>
      <c r="O3059" s="109"/>
      <c r="P3059" s="109"/>
      <c r="Q3059" s="109"/>
      <c r="S3059" s="111"/>
      <c r="T3059" s="60"/>
      <c r="U3059" s="112"/>
    </row>
    <row r="3060" spans="4:21" s="110" customFormat="1" ht="15.75" customHeight="1">
      <c r="D3060" s="113"/>
      <c r="E3060" s="60"/>
      <c r="F3060" s="60"/>
      <c r="G3060" s="60"/>
      <c r="H3060" s="60"/>
      <c r="I3060" s="60"/>
      <c r="J3060" s="114"/>
      <c r="K3060" s="60"/>
      <c r="L3060" s="109"/>
      <c r="M3060" s="109"/>
      <c r="N3060" s="109"/>
      <c r="O3060" s="109"/>
      <c r="P3060" s="109"/>
      <c r="Q3060" s="109"/>
      <c r="S3060" s="111"/>
      <c r="T3060" s="60"/>
      <c r="U3060" s="112"/>
    </row>
    <row r="3061" spans="4:21" s="110" customFormat="1" ht="15.75" customHeight="1">
      <c r="D3061" s="113"/>
      <c r="E3061" s="60"/>
      <c r="F3061" s="60"/>
      <c r="G3061" s="60"/>
      <c r="H3061" s="60"/>
      <c r="I3061" s="60"/>
      <c r="J3061" s="114"/>
      <c r="K3061" s="60"/>
      <c r="L3061" s="109"/>
      <c r="M3061" s="109"/>
      <c r="N3061" s="109"/>
      <c r="O3061" s="109"/>
      <c r="P3061" s="109"/>
      <c r="Q3061" s="109"/>
      <c r="S3061" s="111"/>
      <c r="T3061" s="60"/>
      <c r="U3061" s="112"/>
    </row>
    <row r="3062" spans="4:21" s="110" customFormat="1" ht="15.75" customHeight="1">
      <c r="D3062" s="113"/>
      <c r="E3062" s="60"/>
      <c r="F3062" s="60"/>
      <c r="G3062" s="60"/>
      <c r="H3062" s="60"/>
      <c r="I3062" s="60"/>
      <c r="J3062" s="114"/>
      <c r="K3062" s="60"/>
      <c r="L3062" s="109"/>
      <c r="M3062" s="109"/>
      <c r="N3062" s="109"/>
      <c r="O3062" s="109"/>
      <c r="P3062" s="109"/>
      <c r="Q3062" s="109"/>
      <c r="S3062" s="111"/>
      <c r="T3062" s="60"/>
      <c r="U3062" s="112"/>
    </row>
    <row r="3063" spans="4:21" s="110" customFormat="1" ht="15.75" customHeight="1">
      <c r="D3063" s="113"/>
      <c r="E3063" s="60"/>
      <c r="F3063" s="60"/>
      <c r="G3063" s="60"/>
      <c r="H3063" s="60"/>
      <c r="I3063" s="60"/>
      <c r="J3063" s="114"/>
      <c r="K3063" s="60"/>
      <c r="L3063" s="109"/>
      <c r="M3063" s="109"/>
      <c r="N3063" s="109"/>
      <c r="O3063" s="109"/>
      <c r="P3063" s="109"/>
      <c r="Q3063" s="109"/>
      <c r="S3063" s="111"/>
      <c r="T3063" s="60"/>
      <c r="U3063" s="112"/>
    </row>
    <row r="3064" spans="4:21" s="110" customFormat="1" ht="15.75" customHeight="1">
      <c r="D3064" s="113"/>
      <c r="E3064" s="60"/>
      <c r="F3064" s="60"/>
      <c r="G3064" s="60"/>
      <c r="H3064" s="60"/>
      <c r="I3064" s="60"/>
      <c r="J3064" s="114"/>
      <c r="K3064" s="60"/>
      <c r="L3064" s="109"/>
      <c r="M3064" s="109"/>
      <c r="N3064" s="109"/>
      <c r="O3064" s="109"/>
      <c r="P3064" s="109"/>
      <c r="Q3064" s="109"/>
      <c r="S3064" s="111"/>
      <c r="T3064" s="60"/>
      <c r="U3064" s="112"/>
    </row>
    <row r="3065" spans="4:21" s="110" customFormat="1" ht="15.75" customHeight="1">
      <c r="D3065" s="113"/>
      <c r="E3065" s="60"/>
      <c r="F3065" s="60"/>
      <c r="G3065" s="60"/>
      <c r="H3065" s="60"/>
      <c r="I3065" s="60"/>
      <c r="J3065" s="114"/>
      <c r="K3065" s="60"/>
      <c r="L3065" s="109"/>
      <c r="M3065" s="109"/>
      <c r="N3065" s="109"/>
      <c r="O3065" s="109"/>
      <c r="P3065" s="109"/>
      <c r="Q3065" s="109"/>
      <c r="S3065" s="111"/>
      <c r="T3065" s="60"/>
      <c r="U3065" s="112"/>
    </row>
    <row r="3066" spans="4:21" s="110" customFormat="1" ht="15.75" customHeight="1">
      <c r="D3066" s="113"/>
      <c r="E3066" s="60"/>
      <c r="F3066" s="60"/>
      <c r="G3066" s="60"/>
      <c r="H3066" s="60"/>
      <c r="I3066" s="60"/>
      <c r="J3066" s="114"/>
      <c r="K3066" s="60"/>
      <c r="L3066" s="109"/>
      <c r="M3066" s="109"/>
      <c r="N3066" s="109"/>
      <c r="O3066" s="109"/>
      <c r="P3066" s="109"/>
      <c r="Q3066" s="109"/>
      <c r="S3066" s="111"/>
      <c r="T3066" s="60"/>
      <c r="U3066" s="112"/>
    </row>
    <row r="3067" spans="4:21" s="110" customFormat="1" ht="15.75" customHeight="1">
      <c r="D3067" s="113"/>
      <c r="E3067" s="60"/>
      <c r="F3067" s="60"/>
      <c r="G3067" s="60"/>
      <c r="H3067" s="60"/>
      <c r="I3067" s="60"/>
      <c r="J3067" s="114"/>
      <c r="K3067" s="60"/>
      <c r="L3067" s="109"/>
      <c r="M3067" s="109"/>
      <c r="N3067" s="109"/>
      <c r="O3067" s="109"/>
      <c r="P3067" s="109"/>
      <c r="Q3067" s="109"/>
      <c r="S3067" s="111"/>
      <c r="T3067" s="60"/>
      <c r="U3067" s="112"/>
    </row>
    <row r="3068" spans="4:21" s="110" customFormat="1" ht="15.75" customHeight="1">
      <c r="D3068" s="113"/>
      <c r="E3068" s="60"/>
      <c r="F3068" s="60"/>
      <c r="G3068" s="60"/>
      <c r="H3068" s="60"/>
      <c r="I3068" s="60"/>
      <c r="J3068" s="114"/>
      <c r="K3068" s="60"/>
      <c r="L3068" s="109"/>
      <c r="M3068" s="109"/>
      <c r="N3068" s="109"/>
      <c r="O3068" s="109"/>
      <c r="P3068" s="109"/>
      <c r="Q3068" s="109"/>
      <c r="S3068" s="111"/>
      <c r="T3068" s="60"/>
      <c r="U3068" s="112"/>
    </row>
    <row r="3069" spans="4:21" s="110" customFormat="1" ht="15.75" customHeight="1">
      <c r="D3069" s="113"/>
      <c r="E3069" s="60"/>
      <c r="F3069" s="60"/>
      <c r="G3069" s="60"/>
      <c r="H3069" s="60"/>
      <c r="I3069" s="60"/>
      <c r="J3069" s="114"/>
      <c r="K3069" s="60"/>
      <c r="L3069" s="109"/>
      <c r="M3069" s="109"/>
      <c r="N3069" s="109"/>
      <c r="O3069" s="109"/>
      <c r="P3069" s="109"/>
      <c r="Q3069" s="109"/>
      <c r="S3069" s="111"/>
      <c r="T3069" s="60"/>
      <c r="U3069" s="112"/>
    </row>
    <row r="3070" spans="4:21" s="110" customFormat="1" ht="15.75" customHeight="1">
      <c r="D3070" s="113"/>
      <c r="E3070" s="60"/>
      <c r="F3070" s="60"/>
      <c r="G3070" s="60"/>
      <c r="H3070" s="60"/>
      <c r="I3070" s="60"/>
      <c r="J3070" s="114"/>
      <c r="K3070" s="60"/>
      <c r="L3070" s="109"/>
      <c r="M3070" s="109"/>
      <c r="N3070" s="109"/>
      <c r="O3070" s="109"/>
      <c r="P3070" s="109"/>
      <c r="Q3070" s="109"/>
      <c r="S3070" s="111"/>
      <c r="T3070" s="60"/>
      <c r="U3070" s="112"/>
    </row>
    <row r="3071" spans="4:21" s="110" customFormat="1" ht="15.75" customHeight="1">
      <c r="D3071" s="113"/>
      <c r="E3071" s="60"/>
      <c r="F3071" s="60"/>
      <c r="G3071" s="60"/>
      <c r="H3071" s="60"/>
      <c r="I3071" s="60"/>
      <c r="J3071" s="114"/>
      <c r="K3071" s="60"/>
      <c r="L3071" s="109"/>
      <c r="M3071" s="109"/>
      <c r="N3071" s="109"/>
      <c r="O3071" s="109"/>
      <c r="P3071" s="109"/>
      <c r="Q3071" s="109"/>
      <c r="S3071" s="111"/>
      <c r="T3071" s="60"/>
      <c r="U3071" s="112"/>
    </row>
    <row r="3072" spans="4:21" s="110" customFormat="1" ht="15.75" customHeight="1">
      <c r="D3072" s="113"/>
      <c r="E3072" s="60"/>
      <c r="F3072" s="60"/>
      <c r="G3072" s="60"/>
      <c r="H3072" s="60"/>
      <c r="I3072" s="60"/>
      <c r="J3072" s="114"/>
      <c r="K3072" s="60"/>
      <c r="L3072" s="109"/>
      <c r="M3072" s="109"/>
      <c r="N3072" s="109"/>
      <c r="O3072" s="109"/>
      <c r="P3072" s="109"/>
      <c r="Q3072" s="109"/>
      <c r="S3072" s="111"/>
      <c r="T3072" s="60"/>
      <c r="U3072" s="112"/>
    </row>
    <row r="3073" spans="4:21" s="110" customFormat="1" ht="15.75" customHeight="1">
      <c r="D3073" s="113"/>
      <c r="E3073" s="60"/>
      <c r="F3073" s="60"/>
      <c r="G3073" s="60"/>
      <c r="H3073" s="60"/>
      <c r="I3073" s="60"/>
      <c r="J3073" s="114"/>
      <c r="K3073" s="60"/>
      <c r="L3073" s="109"/>
      <c r="M3073" s="109"/>
      <c r="N3073" s="109"/>
      <c r="O3073" s="109"/>
      <c r="P3073" s="109"/>
      <c r="Q3073" s="109"/>
      <c r="S3073" s="111"/>
      <c r="T3073" s="60"/>
      <c r="U3073" s="112"/>
    </row>
    <row r="3074" spans="4:21" s="110" customFormat="1" ht="15.75" customHeight="1">
      <c r="D3074" s="113"/>
      <c r="E3074" s="60"/>
      <c r="F3074" s="60"/>
      <c r="G3074" s="60"/>
      <c r="H3074" s="60"/>
      <c r="I3074" s="60"/>
      <c r="J3074" s="114"/>
      <c r="K3074" s="60"/>
      <c r="L3074" s="109"/>
      <c r="M3074" s="109"/>
      <c r="N3074" s="109"/>
      <c r="O3074" s="109"/>
      <c r="P3074" s="109"/>
      <c r="Q3074" s="109"/>
      <c r="S3074" s="111"/>
      <c r="T3074" s="60"/>
      <c r="U3074" s="112"/>
    </row>
    <row r="3075" spans="4:21" s="110" customFormat="1" ht="15.75" customHeight="1">
      <c r="D3075" s="113"/>
      <c r="E3075" s="60"/>
      <c r="F3075" s="60"/>
      <c r="G3075" s="60"/>
      <c r="H3075" s="60"/>
      <c r="I3075" s="60"/>
      <c r="J3075" s="114"/>
      <c r="K3075" s="60"/>
      <c r="L3075" s="109"/>
      <c r="M3075" s="109"/>
      <c r="N3075" s="109"/>
      <c r="O3075" s="109"/>
      <c r="P3075" s="109"/>
      <c r="Q3075" s="109"/>
      <c r="S3075" s="111"/>
      <c r="T3075" s="60"/>
      <c r="U3075" s="112"/>
    </row>
    <row r="3076" spans="4:21" s="110" customFormat="1" ht="15.75" customHeight="1">
      <c r="D3076" s="113"/>
      <c r="E3076" s="60"/>
      <c r="F3076" s="60"/>
      <c r="G3076" s="60"/>
      <c r="H3076" s="60"/>
      <c r="I3076" s="60"/>
      <c r="J3076" s="114"/>
      <c r="K3076" s="60"/>
      <c r="L3076" s="109"/>
      <c r="M3076" s="109"/>
      <c r="N3076" s="109"/>
      <c r="O3076" s="109"/>
      <c r="P3076" s="109"/>
      <c r="Q3076" s="109"/>
      <c r="S3076" s="111"/>
      <c r="T3076" s="60"/>
      <c r="U3076" s="112"/>
    </row>
    <row r="3077" spans="4:21" s="110" customFormat="1" ht="15.75" customHeight="1">
      <c r="D3077" s="113"/>
      <c r="E3077" s="60"/>
      <c r="F3077" s="60"/>
      <c r="G3077" s="60"/>
      <c r="H3077" s="60"/>
      <c r="I3077" s="60"/>
      <c r="J3077" s="114"/>
      <c r="K3077" s="60"/>
      <c r="L3077" s="109"/>
      <c r="M3077" s="109"/>
      <c r="N3077" s="109"/>
      <c r="O3077" s="109"/>
      <c r="P3077" s="109"/>
      <c r="Q3077" s="109"/>
      <c r="S3077" s="111"/>
      <c r="T3077" s="60"/>
      <c r="U3077" s="112"/>
    </row>
    <row r="3078" spans="4:21" s="110" customFormat="1" ht="15.75" customHeight="1">
      <c r="D3078" s="113"/>
      <c r="E3078" s="60"/>
      <c r="F3078" s="60"/>
      <c r="G3078" s="60"/>
      <c r="H3078" s="60"/>
      <c r="I3078" s="60"/>
      <c r="J3078" s="114"/>
      <c r="K3078" s="60"/>
      <c r="L3078" s="109"/>
      <c r="M3078" s="109"/>
      <c r="N3078" s="109"/>
      <c r="O3078" s="109"/>
      <c r="P3078" s="109"/>
      <c r="Q3078" s="109"/>
      <c r="S3078" s="111"/>
      <c r="T3078" s="60"/>
      <c r="U3078" s="112"/>
    </row>
    <row r="3079" spans="4:21" s="110" customFormat="1" ht="15.75" customHeight="1">
      <c r="D3079" s="113"/>
      <c r="E3079" s="60"/>
      <c r="F3079" s="60"/>
      <c r="G3079" s="60"/>
      <c r="H3079" s="60"/>
      <c r="I3079" s="60"/>
      <c r="J3079" s="114"/>
      <c r="K3079" s="60"/>
      <c r="L3079" s="109"/>
      <c r="M3079" s="109"/>
      <c r="N3079" s="109"/>
      <c r="O3079" s="109"/>
      <c r="P3079" s="109"/>
      <c r="Q3079" s="109"/>
      <c r="S3079" s="111"/>
      <c r="T3079" s="60"/>
      <c r="U3079" s="112"/>
    </row>
    <row r="3080" spans="4:21" s="110" customFormat="1" ht="15.75" customHeight="1">
      <c r="D3080" s="113"/>
      <c r="E3080" s="60"/>
      <c r="F3080" s="60"/>
      <c r="G3080" s="60"/>
      <c r="H3080" s="60"/>
      <c r="I3080" s="60"/>
      <c r="J3080" s="114"/>
      <c r="K3080" s="60"/>
      <c r="L3080" s="109"/>
      <c r="M3080" s="109"/>
      <c r="N3080" s="109"/>
      <c r="O3080" s="109"/>
      <c r="P3080" s="109"/>
      <c r="Q3080" s="109"/>
      <c r="S3080" s="111"/>
      <c r="T3080" s="60"/>
      <c r="U3080" s="112"/>
    </row>
    <row r="3081" spans="4:21" s="110" customFormat="1" ht="15.75" customHeight="1">
      <c r="D3081" s="113"/>
      <c r="E3081" s="60"/>
      <c r="F3081" s="60"/>
      <c r="G3081" s="60"/>
      <c r="H3081" s="60"/>
      <c r="I3081" s="60"/>
      <c r="J3081" s="114"/>
      <c r="K3081" s="60"/>
      <c r="L3081" s="109"/>
      <c r="M3081" s="109"/>
      <c r="N3081" s="109"/>
      <c r="O3081" s="109"/>
      <c r="P3081" s="109"/>
      <c r="Q3081" s="109"/>
      <c r="S3081" s="111"/>
      <c r="T3081" s="60"/>
      <c r="U3081" s="112"/>
    </row>
    <row r="3082" spans="4:21" s="110" customFormat="1" ht="15.75" customHeight="1">
      <c r="D3082" s="113"/>
      <c r="E3082" s="60"/>
      <c r="F3082" s="60"/>
      <c r="G3082" s="60"/>
      <c r="H3082" s="60"/>
      <c r="I3082" s="60"/>
      <c r="J3082" s="114"/>
      <c r="K3082" s="60"/>
      <c r="L3082" s="109"/>
      <c r="M3082" s="109"/>
      <c r="N3082" s="109"/>
      <c r="O3082" s="109"/>
      <c r="P3082" s="109"/>
      <c r="Q3082" s="109"/>
      <c r="S3082" s="111"/>
      <c r="T3082" s="60"/>
      <c r="U3082" s="112"/>
    </row>
    <row r="3083" spans="4:21" s="110" customFormat="1" ht="15.75" customHeight="1">
      <c r="D3083" s="113"/>
      <c r="E3083" s="60"/>
      <c r="F3083" s="60"/>
      <c r="G3083" s="60"/>
      <c r="H3083" s="60"/>
      <c r="I3083" s="60"/>
      <c r="J3083" s="114"/>
      <c r="K3083" s="60"/>
      <c r="L3083" s="109"/>
      <c r="M3083" s="109"/>
      <c r="N3083" s="109"/>
      <c r="O3083" s="109"/>
      <c r="P3083" s="109"/>
      <c r="Q3083" s="109"/>
      <c r="S3083" s="111"/>
      <c r="T3083" s="60"/>
      <c r="U3083" s="112"/>
    </row>
    <row r="3084" spans="4:21" s="110" customFormat="1" ht="15.75" customHeight="1">
      <c r="D3084" s="113"/>
      <c r="E3084" s="60"/>
      <c r="F3084" s="60"/>
      <c r="G3084" s="60"/>
      <c r="H3084" s="60"/>
      <c r="I3084" s="60"/>
      <c r="J3084" s="114"/>
      <c r="K3084" s="60"/>
      <c r="L3084" s="109"/>
      <c r="M3084" s="109"/>
      <c r="N3084" s="109"/>
      <c r="O3084" s="109"/>
      <c r="P3084" s="109"/>
      <c r="Q3084" s="109"/>
      <c r="S3084" s="111"/>
      <c r="T3084" s="60"/>
      <c r="U3084" s="112"/>
    </row>
    <row r="3085" spans="4:21" s="110" customFormat="1" ht="15.75" customHeight="1">
      <c r="D3085" s="113"/>
      <c r="E3085" s="60"/>
      <c r="F3085" s="60"/>
      <c r="G3085" s="60"/>
      <c r="H3085" s="60"/>
      <c r="I3085" s="60"/>
      <c r="J3085" s="114"/>
      <c r="K3085" s="60"/>
      <c r="L3085" s="109"/>
      <c r="M3085" s="109"/>
      <c r="N3085" s="109"/>
      <c r="O3085" s="109"/>
      <c r="P3085" s="109"/>
      <c r="Q3085" s="109"/>
      <c r="S3085" s="111"/>
      <c r="T3085" s="60"/>
      <c r="U3085" s="112"/>
    </row>
    <row r="3086" spans="4:21" s="110" customFormat="1" ht="15.75" customHeight="1">
      <c r="D3086" s="113"/>
      <c r="E3086" s="60"/>
      <c r="F3086" s="60"/>
      <c r="G3086" s="60"/>
      <c r="H3086" s="60"/>
      <c r="I3086" s="60"/>
      <c r="J3086" s="114"/>
      <c r="K3086" s="60"/>
      <c r="L3086" s="109"/>
      <c r="M3086" s="109"/>
      <c r="N3086" s="109"/>
      <c r="O3086" s="109"/>
      <c r="P3086" s="109"/>
      <c r="Q3086" s="109"/>
      <c r="S3086" s="111"/>
      <c r="T3086" s="60"/>
      <c r="U3086" s="112"/>
    </row>
    <row r="3087" spans="4:21" s="110" customFormat="1" ht="15.75" customHeight="1">
      <c r="D3087" s="113"/>
      <c r="E3087" s="60"/>
      <c r="F3087" s="60"/>
      <c r="G3087" s="60"/>
      <c r="H3087" s="60"/>
      <c r="I3087" s="60"/>
      <c r="J3087" s="114"/>
      <c r="K3087" s="60"/>
      <c r="L3087" s="109"/>
      <c r="M3087" s="109"/>
      <c r="N3087" s="109"/>
      <c r="O3087" s="109"/>
      <c r="P3087" s="109"/>
      <c r="Q3087" s="109"/>
      <c r="S3087" s="111"/>
      <c r="T3087" s="60"/>
      <c r="U3087" s="112"/>
    </row>
    <row r="3088" spans="4:21" s="110" customFormat="1" ht="15.75" customHeight="1">
      <c r="D3088" s="113"/>
      <c r="E3088" s="60"/>
      <c r="F3088" s="60"/>
      <c r="G3088" s="60"/>
      <c r="H3088" s="60"/>
      <c r="I3088" s="60"/>
      <c r="J3088" s="114"/>
      <c r="K3088" s="60"/>
      <c r="L3088" s="109"/>
      <c r="M3088" s="109"/>
      <c r="N3088" s="109"/>
      <c r="O3088" s="109"/>
      <c r="P3088" s="109"/>
      <c r="Q3088" s="109"/>
      <c r="S3088" s="111"/>
      <c r="T3088" s="60"/>
      <c r="U3088" s="112"/>
    </row>
    <row r="3089" spans="4:21" s="110" customFormat="1" ht="15.75" customHeight="1">
      <c r="D3089" s="113"/>
      <c r="E3089" s="60"/>
      <c r="F3089" s="60"/>
      <c r="G3089" s="60"/>
      <c r="H3089" s="60"/>
      <c r="I3089" s="60"/>
      <c r="J3089" s="114"/>
      <c r="K3089" s="60"/>
      <c r="L3089" s="109"/>
      <c r="M3089" s="109"/>
      <c r="N3089" s="109"/>
      <c r="O3089" s="109"/>
      <c r="P3089" s="109"/>
      <c r="Q3089" s="109"/>
      <c r="S3089" s="111"/>
      <c r="T3089" s="60"/>
      <c r="U3089" s="112"/>
    </row>
    <row r="3090" spans="4:21" s="110" customFormat="1" ht="15.75" customHeight="1">
      <c r="D3090" s="113"/>
      <c r="E3090" s="60"/>
      <c r="F3090" s="60"/>
      <c r="G3090" s="60"/>
      <c r="H3090" s="60"/>
      <c r="I3090" s="60"/>
      <c r="J3090" s="114"/>
      <c r="K3090" s="60"/>
      <c r="L3090" s="109"/>
      <c r="M3090" s="109"/>
      <c r="N3090" s="109"/>
      <c r="O3090" s="109"/>
      <c r="P3090" s="109"/>
      <c r="Q3090" s="109"/>
      <c r="S3090" s="111"/>
      <c r="T3090" s="60"/>
      <c r="U3090" s="112"/>
    </row>
    <row r="3091" spans="4:21" s="110" customFormat="1" ht="15.75" customHeight="1">
      <c r="D3091" s="113"/>
      <c r="E3091" s="60"/>
      <c r="F3091" s="60"/>
      <c r="G3091" s="60"/>
      <c r="H3091" s="60"/>
      <c r="I3091" s="60"/>
      <c r="J3091" s="114"/>
      <c r="K3091" s="60"/>
      <c r="L3091" s="109"/>
      <c r="M3091" s="109"/>
      <c r="N3091" s="109"/>
      <c r="O3091" s="109"/>
      <c r="P3091" s="109"/>
      <c r="Q3091" s="109"/>
      <c r="S3091" s="111"/>
      <c r="T3091" s="60"/>
      <c r="U3091" s="112"/>
    </row>
    <row r="3092" spans="4:21" s="110" customFormat="1" ht="15.75" customHeight="1">
      <c r="D3092" s="113"/>
      <c r="E3092" s="60"/>
      <c r="F3092" s="60"/>
      <c r="G3092" s="60"/>
      <c r="H3092" s="60"/>
      <c r="I3092" s="60"/>
      <c r="J3092" s="114"/>
      <c r="K3092" s="60"/>
      <c r="L3092" s="109"/>
      <c r="M3092" s="109"/>
      <c r="N3092" s="109"/>
      <c r="O3092" s="109"/>
      <c r="P3092" s="109"/>
      <c r="Q3092" s="109"/>
      <c r="S3092" s="111"/>
      <c r="T3092" s="60"/>
      <c r="U3092" s="112"/>
    </row>
    <row r="3093" spans="4:21" s="110" customFormat="1" ht="15.75" customHeight="1">
      <c r="D3093" s="113"/>
      <c r="E3093" s="60"/>
      <c r="F3093" s="60"/>
      <c r="G3093" s="60"/>
      <c r="H3093" s="60"/>
      <c r="I3093" s="60"/>
      <c r="J3093" s="114"/>
      <c r="K3093" s="60"/>
      <c r="L3093" s="109"/>
      <c r="M3093" s="109"/>
      <c r="N3093" s="109"/>
      <c r="O3093" s="109"/>
      <c r="P3093" s="109"/>
      <c r="Q3093" s="109"/>
      <c r="S3093" s="111"/>
      <c r="T3093" s="60"/>
      <c r="U3093" s="112"/>
    </row>
    <row r="3094" spans="4:21" s="110" customFormat="1" ht="15.75" customHeight="1">
      <c r="D3094" s="113"/>
      <c r="E3094" s="60"/>
      <c r="F3094" s="60"/>
      <c r="G3094" s="60"/>
      <c r="H3094" s="60"/>
      <c r="I3094" s="60"/>
      <c r="J3094" s="114"/>
      <c r="K3094" s="60"/>
      <c r="L3094" s="109"/>
      <c r="M3094" s="109"/>
      <c r="N3094" s="109"/>
      <c r="O3094" s="109"/>
      <c r="P3094" s="109"/>
      <c r="Q3094" s="109"/>
      <c r="S3094" s="111"/>
      <c r="T3094" s="60"/>
      <c r="U3094" s="112"/>
    </row>
    <row r="3095" spans="4:21" s="110" customFormat="1" ht="15.75" customHeight="1">
      <c r="D3095" s="113"/>
      <c r="E3095" s="60"/>
      <c r="F3095" s="60"/>
      <c r="G3095" s="60"/>
      <c r="H3095" s="60"/>
      <c r="I3095" s="60"/>
      <c r="J3095" s="114"/>
      <c r="K3095" s="60"/>
      <c r="L3095" s="109"/>
      <c r="M3095" s="109"/>
      <c r="N3095" s="109"/>
      <c r="O3095" s="109"/>
      <c r="P3095" s="109"/>
      <c r="Q3095" s="109"/>
      <c r="S3095" s="111"/>
      <c r="T3095" s="60"/>
      <c r="U3095" s="112"/>
    </row>
    <row r="3096" spans="4:21" s="110" customFormat="1" ht="15.75" customHeight="1">
      <c r="D3096" s="113"/>
      <c r="E3096" s="60"/>
      <c r="F3096" s="60"/>
      <c r="G3096" s="60"/>
      <c r="H3096" s="60"/>
      <c r="I3096" s="60"/>
      <c r="J3096" s="114"/>
      <c r="K3096" s="60"/>
      <c r="L3096" s="109"/>
      <c r="M3096" s="109"/>
      <c r="N3096" s="109"/>
      <c r="O3096" s="109"/>
      <c r="P3096" s="109"/>
      <c r="Q3096" s="109"/>
      <c r="S3096" s="111"/>
      <c r="T3096" s="60"/>
      <c r="U3096" s="112"/>
    </row>
    <row r="3097" spans="4:21" s="110" customFormat="1" ht="15.75" customHeight="1">
      <c r="D3097" s="113"/>
      <c r="E3097" s="60"/>
      <c r="F3097" s="60"/>
      <c r="G3097" s="60"/>
      <c r="H3097" s="60"/>
      <c r="I3097" s="60"/>
      <c r="J3097" s="114"/>
      <c r="K3097" s="60"/>
      <c r="L3097" s="109"/>
      <c r="M3097" s="109"/>
      <c r="N3097" s="109"/>
      <c r="O3097" s="109"/>
      <c r="P3097" s="109"/>
      <c r="Q3097" s="109"/>
      <c r="S3097" s="111"/>
      <c r="T3097" s="60"/>
      <c r="U3097" s="112"/>
    </row>
    <row r="3098" spans="4:21" s="110" customFormat="1" ht="15.75" customHeight="1">
      <c r="D3098" s="113"/>
      <c r="E3098" s="60"/>
      <c r="F3098" s="60"/>
      <c r="G3098" s="60"/>
      <c r="H3098" s="60"/>
      <c r="I3098" s="60"/>
      <c r="J3098" s="114"/>
      <c r="K3098" s="60"/>
      <c r="L3098" s="109"/>
      <c r="M3098" s="109"/>
      <c r="N3098" s="109"/>
      <c r="O3098" s="109"/>
      <c r="P3098" s="109"/>
      <c r="Q3098" s="109"/>
      <c r="S3098" s="111"/>
      <c r="T3098" s="60"/>
      <c r="U3098" s="112"/>
    </row>
    <row r="3099" spans="4:21" s="110" customFormat="1" ht="15.75" customHeight="1">
      <c r="D3099" s="113"/>
      <c r="E3099" s="60"/>
      <c r="F3099" s="60"/>
      <c r="G3099" s="60"/>
      <c r="H3099" s="60"/>
      <c r="I3099" s="60"/>
      <c r="J3099" s="114"/>
      <c r="K3099" s="60"/>
      <c r="L3099" s="109"/>
      <c r="M3099" s="109"/>
      <c r="N3099" s="109"/>
      <c r="O3099" s="109"/>
      <c r="P3099" s="109"/>
      <c r="Q3099" s="109"/>
      <c r="S3099" s="111"/>
      <c r="T3099" s="60"/>
      <c r="U3099" s="112"/>
    </row>
    <row r="3100" spans="4:21" s="110" customFormat="1" ht="15.75" customHeight="1">
      <c r="D3100" s="113"/>
      <c r="E3100" s="60"/>
      <c r="F3100" s="60"/>
      <c r="G3100" s="60"/>
      <c r="H3100" s="60"/>
      <c r="I3100" s="60"/>
      <c r="J3100" s="114"/>
      <c r="K3100" s="60"/>
      <c r="L3100" s="109"/>
      <c r="M3100" s="109"/>
      <c r="N3100" s="109"/>
      <c r="O3100" s="109"/>
      <c r="P3100" s="109"/>
      <c r="Q3100" s="109"/>
      <c r="S3100" s="111"/>
      <c r="T3100" s="60"/>
      <c r="U3100" s="112"/>
    </row>
    <row r="3101" spans="4:21" s="110" customFormat="1" ht="15.75" customHeight="1">
      <c r="D3101" s="113"/>
      <c r="E3101" s="60"/>
      <c r="F3101" s="60"/>
      <c r="G3101" s="60"/>
      <c r="H3101" s="60"/>
      <c r="I3101" s="60"/>
      <c r="J3101" s="114"/>
      <c r="K3101" s="60"/>
      <c r="L3101" s="109"/>
      <c r="M3101" s="109"/>
      <c r="N3101" s="109"/>
      <c r="O3101" s="109"/>
      <c r="P3101" s="109"/>
      <c r="Q3101" s="109"/>
      <c r="S3101" s="111"/>
      <c r="T3101" s="60"/>
      <c r="U3101" s="112"/>
    </row>
    <row r="3102" spans="4:21" s="110" customFormat="1" ht="15.75" customHeight="1">
      <c r="D3102" s="113"/>
      <c r="E3102" s="60"/>
      <c r="F3102" s="60"/>
      <c r="G3102" s="60"/>
      <c r="H3102" s="60"/>
      <c r="I3102" s="60"/>
      <c r="J3102" s="114"/>
      <c r="K3102" s="60"/>
      <c r="L3102" s="109"/>
      <c r="M3102" s="109"/>
      <c r="N3102" s="109"/>
      <c r="O3102" s="109"/>
      <c r="P3102" s="109"/>
      <c r="Q3102" s="109"/>
      <c r="S3102" s="111"/>
      <c r="T3102" s="60"/>
      <c r="U3102" s="112"/>
    </row>
    <row r="3103" spans="4:21" s="110" customFormat="1" ht="15.75" customHeight="1">
      <c r="D3103" s="113"/>
      <c r="E3103" s="60"/>
      <c r="F3103" s="60"/>
      <c r="G3103" s="60"/>
      <c r="H3103" s="60"/>
      <c r="I3103" s="60"/>
      <c r="J3103" s="114"/>
      <c r="K3103" s="60"/>
      <c r="L3103" s="109"/>
      <c r="M3103" s="109"/>
      <c r="N3103" s="109"/>
      <c r="O3103" s="109"/>
      <c r="P3103" s="109"/>
      <c r="Q3103" s="109"/>
      <c r="S3103" s="111"/>
      <c r="T3103" s="60"/>
      <c r="U3103" s="112"/>
    </row>
    <row r="3104" spans="4:21" s="110" customFormat="1" ht="15.75" customHeight="1">
      <c r="D3104" s="113"/>
      <c r="E3104" s="60"/>
      <c r="F3104" s="60"/>
      <c r="G3104" s="60"/>
      <c r="H3104" s="60"/>
      <c r="I3104" s="60"/>
      <c r="J3104" s="114"/>
      <c r="K3104" s="60"/>
      <c r="L3104" s="109"/>
      <c r="M3104" s="109"/>
      <c r="N3104" s="109"/>
      <c r="O3104" s="109"/>
      <c r="P3104" s="109"/>
      <c r="Q3104" s="109"/>
      <c r="S3104" s="111"/>
      <c r="T3104" s="60"/>
      <c r="U3104" s="112"/>
    </row>
    <row r="3105" spans="4:21" s="110" customFormat="1" ht="15.75" customHeight="1">
      <c r="D3105" s="113"/>
      <c r="E3105" s="60"/>
      <c r="F3105" s="60"/>
      <c r="G3105" s="60"/>
      <c r="H3105" s="60"/>
      <c r="I3105" s="60"/>
      <c r="J3105" s="114"/>
      <c r="K3105" s="60"/>
      <c r="L3105" s="109"/>
      <c r="M3105" s="109"/>
      <c r="N3105" s="109"/>
      <c r="O3105" s="109"/>
      <c r="P3105" s="109"/>
      <c r="Q3105" s="109"/>
      <c r="S3105" s="111"/>
      <c r="T3105" s="60"/>
      <c r="U3105" s="112"/>
    </row>
    <row r="3106" spans="4:21" s="110" customFormat="1" ht="15.75" customHeight="1">
      <c r="D3106" s="113"/>
      <c r="E3106" s="60"/>
      <c r="F3106" s="60"/>
      <c r="G3106" s="60"/>
      <c r="H3106" s="60"/>
      <c r="I3106" s="60"/>
      <c r="J3106" s="114"/>
      <c r="K3106" s="60"/>
      <c r="L3106" s="109"/>
      <c r="M3106" s="109"/>
      <c r="N3106" s="109"/>
      <c r="O3106" s="109"/>
      <c r="P3106" s="109"/>
      <c r="Q3106" s="109"/>
      <c r="S3106" s="111"/>
      <c r="T3106" s="60"/>
      <c r="U3106" s="112"/>
    </row>
    <row r="3107" spans="4:21" s="110" customFormat="1" ht="15.75" customHeight="1">
      <c r="D3107" s="113"/>
      <c r="E3107" s="60"/>
      <c r="F3107" s="60"/>
      <c r="G3107" s="60"/>
      <c r="H3107" s="60"/>
      <c r="I3107" s="60"/>
      <c r="J3107" s="114"/>
      <c r="K3107" s="60"/>
      <c r="L3107" s="109"/>
      <c r="M3107" s="109"/>
      <c r="N3107" s="109"/>
      <c r="O3107" s="109"/>
      <c r="P3107" s="109"/>
      <c r="Q3107" s="109"/>
      <c r="S3107" s="111"/>
      <c r="T3107" s="60"/>
      <c r="U3107" s="112"/>
    </row>
    <row r="3108" spans="4:21" s="110" customFormat="1" ht="15.75" customHeight="1">
      <c r="D3108" s="113"/>
      <c r="E3108" s="60"/>
      <c r="F3108" s="60"/>
      <c r="G3108" s="60"/>
      <c r="H3108" s="60"/>
      <c r="I3108" s="60"/>
      <c r="J3108" s="114"/>
      <c r="K3108" s="60"/>
      <c r="L3108" s="109"/>
      <c r="M3108" s="109"/>
      <c r="N3108" s="109"/>
      <c r="O3108" s="109"/>
      <c r="P3108" s="109"/>
      <c r="Q3108" s="109"/>
      <c r="S3108" s="111"/>
      <c r="T3108" s="60"/>
      <c r="U3108" s="112"/>
    </row>
    <row r="3109" spans="4:21" s="110" customFormat="1" ht="15.75" customHeight="1">
      <c r="D3109" s="113"/>
      <c r="E3109" s="60"/>
      <c r="F3109" s="60"/>
      <c r="G3109" s="60"/>
      <c r="H3109" s="60"/>
      <c r="I3109" s="60"/>
      <c r="J3109" s="114"/>
      <c r="K3109" s="60"/>
      <c r="L3109" s="109"/>
      <c r="M3109" s="109"/>
      <c r="N3109" s="109"/>
      <c r="O3109" s="109"/>
      <c r="P3109" s="109"/>
      <c r="Q3109" s="109"/>
      <c r="S3109" s="111"/>
      <c r="T3109" s="60"/>
      <c r="U3109" s="112"/>
    </row>
    <row r="3110" spans="4:21" s="110" customFormat="1" ht="15.75" customHeight="1">
      <c r="D3110" s="113"/>
      <c r="E3110" s="60"/>
      <c r="F3110" s="60"/>
      <c r="G3110" s="60"/>
      <c r="H3110" s="60"/>
      <c r="I3110" s="60"/>
      <c r="J3110" s="114"/>
      <c r="K3110" s="60"/>
      <c r="L3110" s="109"/>
      <c r="M3110" s="109"/>
      <c r="N3110" s="109"/>
      <c r="O3110" s="109"/>
      <c r="P3110" s="109"/>
      <c r="Q3110" s="109"/>
      <c r="S3110" s="111"/>
      <c r="T3110" s="60"/>
      <c r="U3110" s="112"/>
    </row>
    <row r="3111" spans="4:21" s="110" customFormat="1" ht="15.75" customHeight="1">
      <c r="D3111" s="113"/>
      <c r="E3111" s="60"/>
      <c r="F3111" s="60"/>
      <c r="G3111" s="60"/>
      <c r="H3111" s="60"/>
      <c r="I3111" s="60"/>
      <c r="J3111" s="114"/>
      <c r="K3111" s="60"/>
      <c r="L3111" s="109"/>
      <c r="M3111" s="109"/>
      <c r="N3111" s="109"/>
      <c r="O3111" s="109"/>
      <c r="P3111" s="109"/>
      <c r="Q3111" s="109"/>
      <c r="S3111" s="111"/>
      <c r="T3111" s="60"/>
      <c r="U3111" s="112"/>
    </row>
    <row r="3112" spans="4:21" s="110" customFormat="1" ht="15.75" customHeight="1">
      <c r="D3112" s="113"/>
      <c r="E3112" s="60"/>
      <c r="F3112" s="60"/>
      <c r="G3112" s="60"/>
      <c r="H3112" s="60"/>
      <c r="I3112" s="60"/>
      <c r="J3112" s="114"/>
      <c r="K3112" s="60"/>
      <c r="L3112" s="109"/>
      <c r="M3112" s="109"/>
      <c r="N3112" s="109"/>
      <c r="O3112" s="109"/>
      <c r="P3112" s="109"/>
      <c r="Q3112" s="109"/>
      <c r="S3112" s="111"/>
      <c r="T3112" s="60"/>
      <c r="U3112" s="112"/>
    </row>
    <row r="3113" spans="4:21" s="110" customFormat="1" ht="15.75" customHeight="1">
      <c r="D3113" s="113"/>
      <c r="E3113" s="60"/>
      <c r="F3113" s="60"/>
      <c r="G3113" s="60"/>
      <c r="H3113" s="60"/>
      <c r="I3113" s="60"/>
      <c r="J3113" s="114"/>
      <c r="K3113" s="60"/>
      <c r="L3113" s="109"/>
      <c r="M3113" s="109"/>
      <c r="N3113" s="109"/>
      <c r="O3113" s="109"/>
      <c r="P3113" s="109"/>
      <c r="Q3113" s="109"/>
      <c r="S3113" s="111"/>
      <c r="T3113" s="60"/>
      <c r="U3113" s="112"/>
    </row>
    <row r="3114" spans="4:21" s="110" customFormat="1" ht="15.75" customHeight="1">
      <c r="D3114" s="113"/>
      <c r="E3114" s="60"/>
      <c r="F3114" s="60"/>
      <c r="G3114" s="60"/>
      <c r="H3114" s="60"/>
      <c r="I3114" s="60"/>
      <c r="J3114" s="114"/>
      <c r="K3114" s="60"/>
      <c r="L3114" s="109"/>
      <c r="M3114" s="109"/>
      <c r="N3114" s="109"/>
      <c r="O3114" s="109"/>
      <c r="P3114" s="109"/>
      <c r="Q3114" s="109"/>
      <c r="S3114" s="111"/>
      <c r="T3114" s="60"/>
      <c r="U3114" s="112"/>
    </row>
    <row r="3115" spans="4:21" s="110" customFormat="1" ht="15.75" customHeight="1">
      <c r="D3115" s="113"/>
      <c r="E3115" s="60"/>
      <c r="F3115" s="60"/>
      <c r="G3115" s="60"/>
      <c r="H3115" s="60"/>
      <c r="I3115" s="60"/>
      <c r="J3115" s="114"/>
      <c r="K3115" s="60"/>
      <c r="L3115" s="109"/>
      <c r="M3115" s="109"/>
      <c r="N3115" s="109"/>
      <c r="O3115" s="109"/>
      <c r="P3115" s="109"/>
      <c r="Q3115" s="109"/>
      <c r="S3115" s="111"/>
      <c r="T3115" s="60"/>
      <c r="U3115" s="112"/>
    </row>
    <row r="3116" spans="4:21" s="110" customFormat="1" ht="15.75" customHeight="1">
      <c r="D3116" s="113"/>
      <c r="E3116" s="60"/>
      <c r="F3116" s="60"/>
      <c r="G3116" s="60"/>
      <c r="H3116" s="60"/>
      <c r="I3116" s="60"/>
      <c r="J3116" s="114"/>
      <c r="K3116" s="60"/>
      <c r="L3116" s="109"/>
      <c r="M3116" s="109"/>
      <c r="N3116" s="109"/>
      <c r="O3116" s="109"/>
      <c r="P3116" s="109"/>
      <c r="Q3116" s="109"/>
      <c r="S3116" s="111"/>
      <c r="T3116" s="60"/>
      <c r="U3116" s="112"/>
    </row>
    <row r="3117" spans="4:21" s="110" customFormat="1" ht="15.75" customHeight="1">
      <c r="D3117" s="113"/>
      <c r="E3117" s="60"/>
      <c r="F3117" s="60"/>
      <c r="G3117" s="60"/>
      <c r="H3117" s="60"/>
      <c r="I3117" s="60"/>
      <c r="J3117" s="114"/>
      <c r="K3117" s="60"/>
      <c r="L3117" s="109"/>
      <c r="M3117" s="109"/>
      <c r="N3117" s="109"/>
      <c r="O3117" s="109"/>
      <c r="P3117" s="109"/>
      <c r="Q3117" s="109"/>
      <c r="S3117" s="111"/>
      <c r="T3117" s="60"/>
      <c r="U3117" s="112"/>
    </row>
    <row r="3118" spans="4:21" s="110" customFormat="1" ht="15.75" customHeight="1">
      <c r="D3118" s="113"/>
      <c r="E3118" s="60"/>
      <c r="F3118" s="60"/>
      <c r="G3118" s="60"/>
      <c r="H3118" s="60"/>
      <c r="I3118" s="60"/>
      <c r="J3118" s="114"/>
      <c r="K3118" s="60"/>
      <c r="L3118" s="109"/>
      <c r="M3118" s="109"/>
      <c r="N3118" s="109"/>
      <c r="O3118" s="109"/>
      <c r="P3118" s="109"/>
      <c r="Q3118" s="109"/>
      <c r="S3118" s="111"/>
      <c r="T3118" s="60"/>
      <c r="U3118" s="112"/>
    </row>
    <row r="3119" spans="4:21" s="110" customFormat="1" ht="15.75" customHeight="1">
      <c r="D3119" s="113"/>
      <c r="E3119" s="60"/>
      <c r="F3119" s="60"/>
      <c r="G3119" s="60"/>
      <c r="H3119" s="60"/>
      <c r="I3119" s="60"/>
      <c r="J3119" s="114"/>
      <c r="K3119" s="60"/>
      <c r="L3119" s="109"/>
      <c r="M3119" s="109"/>
      <c r="N3119" s="109"/>
      <c r="O3119" s="109"/>
      <c r="P3119" s="109"/>
      <c r="Q3119" s="109"/>
      <c r="S3119" s="111"/>
      <c r="T3119" s="60"/>
      <c r="U3119" s="112"/>
    </row>
    <row r="3120" spans="4:21" s="110" customFormat="1" ht="15.75" customHeight="1">
      <c r="D3120" s="113"/>
      <c r="E3120" s="60"/>
      <c r="F3120" s="60"/>
      <c r="G3120" s="60"/>
      <c r="H3120" s="60"/>
      <c r="I3120" s="60"/>
      <c r="J3120" s="114"/>
      <c r="K3120" s="60"/>
      <c r="L3120" s="109"/>
      <c r="M3120" s="109"/>
      <c r="N3120" s="109"/>
      <c r="O3120" s="109"/>
      <c r="P3120" s="109"/>
      <c r="Q3120" s="109"/>
      <c r="S3120" s="111"/>
      <c r="T3120" s="60"/>
      <c r="U3120" s="112"/>
    </row>
    <row r="3121" spans="4:21" s="110" customFormat="1" ht="15.75" customHeight="1">
      <c r="D3121" s="113"/>
      <c r="E3121" s="60"/>
      <c r="F3121" s="60"/>
      <c r="G3121" s="60"/>
      <c r="H3121" s="60"/>
      <c r="I3121" s="60"/>
      <c r="J3121" s="114"/>
      <c r="K3121" s="60"/>
      <c r="L3121" s="109"/>
      <c r="M3121" s="109"/>
      <c r="N3121" s="109"/>
      <c r="O3121" s="109"/>
      <c r="P3121" s="109"/>
      <c r="Q3121" s="109"/>
      <c r="S3121" s="111"/>
      <c r="T3121" s="60"/>
      <c r="U3121" s="112"/>
    </row>
    <row r="3122" spans="4:21" s="110" customFormat="1" ht="15.75" customHeight="1">
      <c r="D3122" s="113"/>
      <c r="E3122" s="60"/>
      <c r="F3122" s="60"/>
      <c r="G3122" s="60"/>
      <c r="H3122" s="60"/>
      <c r="I3122" s="60"/>
      <c r="J3122" s="114"/>
      <c r="K3122" s="60"/>
      <c r="L3122" s="109"/>
      <c r="M3122" s="109"/>
      <c r="N3122" s="109"/>
      <c r="O3122" s="109"/>
      <c r="P3122" s="109"/>
      <c r="Q3122" s="109"/>
      <c r="S3122" s="111"/>
      <c r="T3122" s="60"/>
      <c r="U3122" s="112"/>
    </row>
    <row r="3123" spans="4:21" s="110" customFormat="1" ht="15.75" customHeight="1">
      <c r="D3123" s="113"/>
      <c r="E3123" s="60"/>
      <c r="F3123" s="60"/>
      <c r="G3123" s="60"/>
      <c r="H3123" s="60"/>
      <c r="I3123" s="60"/>
      <c r="J3123" s="114"/>
      <c r="K3123" s="60"/>
      <c r="L3123" s="109"/>
      <c r="M3123" s="109"/>
      <c r="N3123" s="109"/>
      <c r="O3123" s="109"/>
      <c r="P3123" s="109"/>
      <c r="Q3123" s="109"/>
      <c r="S3123" s="111"/>
      <c r="T3123" s="60"/>
      <c r="U3123" s="112"/>
    </row>
    <row r="3124" spans="4:21" s="110" customFormat="1" ht="15.75" customHeight="1">
      <c r="D3124" s="113"/>
      <c r="E3124" s="60"/>
      <c r="F3124" s="60"/>
      <c r="G3124" s="60"/>
      <c r="H3124" s="60"/>
      <c r="I3124" s="60"/>
      <c r="J3124" s="114"/>
      <c r="K3124" s="60"/>
      <c r="L3124" s="109"/>
      <c r="M3124" s="109"/>
      <c r="N3124" s="109"/>
      <c r="O3124" s="109"/>
      <c r="P3124" s="109"/>
      <c r="Q3124" s="109"/>
      <c r="S3124" s="111"/>
      <c r="T3124" s="60"/>
      <c r="U3124" s="112"/>
    </row>
    <row r="3125" spans="4:21" s="110" customFormat="1" ht="15.75" customHeight="1">
      <c r="D3125" s="113"/>
      <c r="E3125" s="60"/>
      <c r="F3125" s="60"/>
      <c r="G3125" s="60"/>
      <c r="H3125" s="60"/>
      <c r="I3125" s="60"/>
      <c r="J3125" s="114"/>
      <c r="K3125" s="60"/>
      <c r="L3125" s="109"/>
      <c r="M3125" s="109"/>
      <c r="N3125" s="109"/>
      <c r="O3125" s="109"/>
      <c r="P3125" s="109"/>
      <c r="Q3125" s="109"/>
      <c r="S3125" s="111"/>
      <c r="T3125" s="60"/>
      <c r="U3125" s="112"/>
    </row>
    <row r="3126" spans="4:21" s="110" customFormat="1" ht="15.75" customHeight="1">
      <c r="D3126" s="113"/>
      <c r="E3126" s="60"/>
      <c r="F3126" s="60"/>
      <c r="G3126" s="60"/>
      <c r="H3126" s="60"/>
      <c r="I3126" s="60"/>
      <c r="J3126" s="114"/>
      <c r="K3126" s="60"/>
      <c r="L3126" s="109"/>
      <c r="M3126" s="109"/>
      <c r="N3126" s="109"/>
      <c r="O3126" s="109"/>
      <c r="P3126" s="109"/>
      <c r="Q3126" s="109"/>
      <c r="S3126" s="111"/>
      <c r="T3126" s="60"/>
      <c r="U3126" s="112"/>
    </row>
    <row r="3127" spans="4:21" s="110" customFormat="1" ht="15.75" customHeight="1">
      <c r="D3127" s="113"/>
      <c r="E3127" s="60"/>
      <c r="F3127" s="60"/>
      <c r="G3127" s="60"/>
      <c r="H3127" s="60"/>
      <c r="I3127" s="60"/>
      <c r="J3127" s="114"/>
      <c r="K3127" s="60"/>
      <c r="L3127" s="109"/>
      <c r="M3127" s="109"/>
      <c r="N3127" s="109"/>
      <c r="O3127" s="109"/>
      <c r="P3127" s="109"/>
      <c r="Q3127" s="109"/>
      <c r="S3127" s="111"/>
      <c r="T3127" s="60"/>
      <c r="U3127" s="112"/>
    </row>
    <row r="3128" spans="4:21" s="110" customFormat="1" ht="15.75" customHeight="1">
      <c r="D3128" s="113"/>
      <c r="E3128" s="60"/>
      <c r="F3128" s="60"/>
      <c r="G3128" s="60"/>
      <c r="H3128" s="60"/>
      <c r="I3128" s="60"/>
      <c r="J3128" s="114"/>
      <c r="K3128" s="60"/>
      <c r="L3128" s="109"/>
      <c r="M3128" s="109"/>
      <c r="N3128" s="109"/>
      <c r="O3128" s="109"/>
      <c r="P3128" s="109"/>
      <c r="Q3128" s="109"/>
      <c r="S3128" s="111"/>
      <c r="T3128" s="60"/>
      <c r="U3128" s="112"/>
    </row>
    <row r="3129" spans="4:21" s="110" customFormat="1" ht="15.75" customHeight="1">
      <c r="D3129" s="113"/>
      <c r="E3129" s="60"/>
      <c r="F3129" s="60"/>
      <c r="G3129" s="60"/>
      <c r="H3129" s="60"/>
      <c r="I3129" s="60"/>
      <c r="J3129" s="114"/>
      <c r="K3129" s="60"/>
      <c r="L3129" s="109"/>
      <c r="M3129" s="109"/>
      <c r="N3129" s="109"/>
      <c r="O3129" s="109"/>
      <c r="P3129" s="109"/>
      <c r="Q3129" s="109"/>
      <c r="S3129" s="111"/>
      <c r="T3129" s="60"/>
      <c r="U3129" s="112"/>
    </row>
    <row r="3130" spans="4:21" s="110" customFormat="1" ht="15.75" customHeight="1">
      <c r="D3130" s="113"/>
      <c r="E3130" s="60"/>
      <c r="F3130" s="60"/>
      <c r="G3130" s="60"/>
      <c r="H3130" s="60"/>
      <c r="I3130" s="60"/>
      <c r="J3130" s="114"/>
      <c r="K3130" s="60"/>
      <c r="L3130" s="109"/>
      <c r="M3130" s="109"/>
      <c r="N3130" s="109"/>
      <c r="O3130" s="109"/>
      <c r="P3130" s="109"/>
      <c r="Q3130" s="109"/>
      <c r="S3130" s="111"/>
      <c r="T3130" s="60"/>
      <c r="U3130" s="112"/>
    </row>
    <row r="3131" spans="4:21" s="110" customFormat="1" ht="15.75" customHeight="1">
      <c r="D3131" s="113"/>
      <c r="E3131" s="60"/>
      <c r="F3131" s="60"/>
      <c r="G3131" s="60"/>
      <c r="H3131" s="60"/>
      <c r="I3131" s="60"/>
      <c r="J3131" s="114"/>
      <c r="K3131" s="60"/>
      <c r="L3131" s="109"/>
      <c r="M3131" s="109"/>
      <c r="N3131" s="109"/>
      <c r="O3131" s="109"/>
      <c r="P3131" s="109"/>
      <c r="Q3131" s="109"/>
      <c r="S3131" s="111"/>
      <c r="T3131" s="60"/>
      <c r="U3131" s="112"/>
    </row>
    <row r="3132" spans="4:21" s="110" customFormat="1" ht="15.75" customHeight="1">
      <c r="D3132" s="113"/>
      <c r="E3132" s="60"/>
      <c r="F3132" s="60"/>
      <c r="G3132" s="60"/>
      <c r="H3132" s="60"/>
      <c r="I3132" s="60"/>
      <c r="J3132" s="114"/>
      <c r="K3132" s="60"/>
      <c r="L3132" s="109"/>
      <c r="M3132" s="109"/>
      <c r="N3132" s="109"/>
      <c r="O3132" s="109"/>
      <c r="P3132" s="109"/>
      <c r="Q3132" s="109"/>
      <c r="S3132" s="111"/>
      <c r="T3132" s="60"/>
      <c r="U3132" s="112"/>
    </row>
    <row r="3133" spans="4:21" s="110" customFormat="1" ht="15.75" customHeight="1">
      <c r="D3133" s="113"/>
      <c r="E3133" s="60"/>
      <c r="F3133" s="60"/>
      <c r="G3133" s="60"/>
      <c r="H3133" s="60"/>
      <c r="I3133" s="60"/>
      <c r="J3133" s="114"/>
      <c r="K3133" s="60"/>
      <c r="L3133" s="109"/>
      <c r="M3133" s="109"/>
      <c r="N3133" s="109"/>
      <c r="O3133" s="109"/>
      <c r="P3133" s="109"/>
      <c r="Q3133" s="109"/>
      <c r="S3133" s="111"/>
      <c r="T3133" s="60"/>
      <c r="U3133" s="112"/>
    </row>
    <row r="3134" spans="4:21" s="110" customFormat="1" ht="15.75" customHeight="1">
      <c r="D3134" s="113"/>
      <c r="E3134" s="60"/>
      <c r="F3134" s="60"/>
      <c r="G3134" s="60"/>
      <c r="H3134" s="60"/>
      <c r="I3134" s="60"/>
      <c r="J3134" s="114"/>
      <c r="K3134" s="60"/>
      <c r="L3134" s="109"/>
      <c r="M3134" s="109"/>
      <c r="N3134" s="109"/>
      <c r="O3134" s="109"/>
      <c r="P3134" s="109"/>
      <c r="Q3134" s="109"/>
      <c r="S3134" s="111"/>
      <c r="T3134" s="60"/>
      <c r="U3134" s="112"/>
    </row>
    <row r="3135" spans="4:21" s="110" customFormat="1" ht="15.75" customHeight="1">
      <c r="D3135" s="113"/>
      <c r="E3135" s="60"/>
      <c r="F3135" s="60"/>
      <c r="G3135" s="60"/>
      <c r="H3135" s="60"/>
      <c r="I3135" s="60"/>
      <c r="J3135" s="114"/>
      <c r="K3135" s="60"/>
      <c r="L3135" s="109"/>
      <c r="M3135" s="109"/>
      <c r="N3135" s="109"/>
      <c r="O3135" s="109"/>
      <c r="P3135" s="109"/>
      <c r="Q3135" s="109"/>
      <c r="S3135" s="111"/>
      <c r="T3135" s="60"/>
      <c r="U3135" s="112"/>
    </row>
    <row r="3136" spans="4:21" s="110" customFormat="1" ht="15.75" customHeight="1">
      <c r="D3136" s="113"/>
      <c r="E3136" s="60"/>
      <c r="F3136" s="60"/>
      <c r="G3136" s="60"/>
      <c r="H3136" s="60"/>
      <c r="I3136" s="60"/>
      <c r="J3136" s="114"/>
      <c r="K3136" s="60"/>
      <c r="L3136" s="109"/>
      <c r="M3136" s="109"/>
      <c r="N3136" s="109"/>
      <c r="O3136" s="109"/>
      <c r="P3136" s="109"/>
      <c r="Q3136" s="109"/>
      <c r="S3136" s="111"/>
      <c r="T3136" s="60"/>
      <c r="U3136" s="112"/>
    </row>
    <row r="3137" spans="4:21" s="110" customFormat="1" ht="15.75" customHeight="1">
      <c r="D3137" s="113"/>
      <c r="E3137" s="60"/>
      <c r="F3137" s="60"/>
      <c r="G3137" s="60"/>
      <c r="H3137" s="60"/>
      <c r="I3137" s="60"/>
      <c r="J3137" s="114"/>
      <c r="K3137" s="60"/>
      <c r="L3137" s="109"/>
      <c r="M3137" s="109"/>
      <c r="N3137" s="109"/>
      <c r="O3137" s="109"/>
      <c r="P3137" s="109"/>
      <c r="Q3137" s="109"/>
      <c r="S3137" s="111"/>
      <c r="T3137" s="60"/>
      <c r="U3137" s="112"/>
    </row>
    <row r="3138" spans="4:21" s="110" customFormat="1" ht="15.75" customHeight="1">
      <c r="D3138" s="113"/>
      <c r="E3138" s="60"/>
      <c r="F3138" s="60"/>
      <c r="G3138" s="60"/>
      <c r="H3138" s="60"/>
      <c r="I3138" s="60"/>
      <c r="J3138" s="114"/>
      <c r="K3138" s="60"/>
      <c r="L3138" s="109"/>
      <c r="M3138" s="109"/>
      <c r="N3138" s="109"/>
      <c r="O3138" s="109"/>
      <c r="P3138" s="109"/>
      <c r="Q3138" s="109"/>
      <c r="S3138" s="111"/>
      <c r="T3138" s="60"/>
      <c r="U3138" s="112"/>
    </row>
    <row r="3139" spans="4:21" s="110" customFormat="1" ht="15.75" customHeight="1">
      <c r="D3139" s="113"/>
      <c r="E3139" s="60"/>
      <c r="F3139" s="60"/>
      <c r="G3139" s="60"/>
      <c r="H3139" s="60"/>
      <c r="I3139" s="60"/>
      <c r="J3139" s="114"/>
      <c r="K3139" s="60"/>
      <c r="L3139" s="109"/>
      <c r="M3139" s="109"/>
      <c r="N3139" s="109"/>
      <c r="O3139" s="109"/>
      <c r="P3139" s="109"/>
      <c r="Q3139" s="109"/>
      <c r="S3139" s="111"/>
      <c r="T3139" s="60"/>
      <c r="U3139" s="112"/>
    </row>
    <row r="3140" spans="4:21" s="110" customFormat="1" ht="15.75" customHeight="1">
      <c r="D3140" s="113"/>
      <c r="E3140" s="60"/>
      <c r="F3140" s="60"/>
      <c r="G3140" s="60"/>
      <c r="H3140" s="60"/>
      <c r="I3140" s="60"/>
      <c r="J3140" s="114"/>
      <c r="K3140" s="60"/>
      <c r="L3140" s="109"/>
      <c r="M3140" s="109"/>
      <c r="N3140" s="109"/>
      <c r="O3140" s="109"/>
      <c r="P3140" s="109"/>
      <c r="Q3140" s="109"/>
      <c r="S3140" s="111"/>
      <c r="T3140" s="60"/>
      <c r="U3140" s="112"/>
    </row>
    <row r="3141" spans="4:21" s="110" customFormat="1" ht="15.75" customHeight="1">
      <c r="D3141" s="113"/>
      <c r="E3141" s="60"/>
      <c r="F3141" s="60"/>
      <c r="G3141" s="60"/>
      <c r="H3141" s="60"/>
      <c r="I3141" s="60"/>
      <c r="J3141" s="114"/>
      <c r="K3141" s="60"/>
      <c r="L3141" s="109"/>
      <c r="M3141" s="109"/>
      <c r="N3141" s="109"/>
      <c r="O3141" s="109"/>
      <c r="P3141" s="109"/>
      <c r="Q3141" s="109"/>
      <c r="S3141" s="111"/>
      <c r="T3141" s="60"/>
      <c r="U3141" s="112"/>
    </row>
    <row r="3142" spans="4:21" s="110" customFormat="1" ht="15.75" customHeight="1">
      <c r="D3142" s="113"/>
      <c r="E3142" s="60"/>
      <c r="F3142" s="60"/>
      <c r="G3142" s="60"/>
      <c r="H3142" s="60"/>
      <c r="I3142" s="60"/>
      <c r="J3142" s="114"/>
      <c r="K3142" s="60"/>
      <c r="L3142" s="109"/>
      <c r="M3142" s="109"/>
      <c r="N3142" s="109"/>
      <c r="O3142" s="109"/>
      <c r="P3142" s="109"/>
      <c r="Q3142" s="109"/>
      <c r="S3142" s="111"/>
      <c r="T3142" s="60"/>
      <c r="U3142" s="112"/>
    </row>
    <row r="3143" spans="4:21" s="110" customFormat="1" ht="15.75" customHeight="1">
      <c r="D3143" s="113"/>
      <c r="E3143" s="60"/>
      <c r="F3143" s="60"/>
      <c r="G3143" s="60"/>
      <c r="H3143" s="60"/>
      <c r="I3143" s="60"/>
      <c r="J3143" s="114"/>
      <c r="K3143" s="60"/>
      <c r="L3143" s="109"/>
      <c r="M3143" s="109"/>
      <c r="N3143" s="109"/>
      <c r="O3143" s="109"/>
      <c r="P3143" s="109"/>
      <c r="Q3143" s="109"/>
      <c r="S3143" s="111"/>
      <c r="T3143" s="60"/>
      <c r="U3143" s="112"/>
    </row>
    <row r="3144" spans="4:21" s="110" customFormat="1" ht="15.75" customHeight="1">
      <c r="D3144" s="113"/>
      <c r="E3144" s="60"/>
      <c r="F3144" s="60"/>
      <c r="G3144" s="60"/>
      <c r="H3144" s="60"/>
      <c r="I3144" s="60"/>
      <c r="J3144" s="114"/>
      <c r="K3144" s="60"/>
      <c r="L3144" s="109"/>
      <c r="M3144" s="109"/>
      <c r="N3144" s="109"/>
      <c r="O3144" s="109"/>
      <c r="P3144" s="109"/>
      <c r="Q3144" s="109"/>
      <c r="S3144" s="111"/>
      <c r="T3144" s="60"/>
      <c r="U3144" s="112"/>
    </row>
    <row r="3145" spans="4:21" s="110" customFormat="1" ht="15.75" customHeight="1">
      <c r="D3145" s="113"/>
      <c r="E3145" s="60"/>
      <c r="F3145" s="60"/>
      <c r="G3145" s="60"/>
      <c r="H3145" s="60"/>
      <c r="I3145" s="60"/>
      <c r="J3145" s="114"/>
      <c r="K3145" s="60"/>
      <c r="L3145" s="109"/>
      <c r="M3145" s="109"/>
      <c r="N3145" s="109"/>
      <c r="O3145" s="109"/>
      <c r="P3145" s="109"/>
      <c r="Q3145" s="109"/>
      <c r="S3145" s="111"/>
      <c r="T3145" s="60"/>
      <c r="U3145" s="112"/>
    </row>
    <row r="3146" spans="4:21" s="110" customFormat="1" ht="15.75" customHeight="1">
      <c r="D3146" s="113"/>
      <c r="E3146" s="60"/>
      <c r="F3146" s="60"/>
      <c r="G3146" s="60"/>
      <c r="H3146" s="60"/>
      <c r="I3146" s="60"/>
      <c r="J3146" s="114"/>
      <c r="K3146" s="60"/>
      <c r="L3146" s="109"/>
      <c r="M3146" s="109"/>
      <c r="N3146" s="109"/>
      <c r="O3146" s="109"/>
      <c r="P3146" s="109"/>
      <c r="Q3146" s="109"/>
      <c r="S3146" s="111"/>
      <c r="T3146" s="60"/>
      <c r="U3146" s="112"/>
    </row>
    <row r="3147" spans="4:21" s="110" customFormat="1" ht="15.75" customHeight="1">
      <c r="D3147" s="113"/>
      <c r="E3147" s="60"/>
      <c r="F3147" s="60"/>
      <c r="G3147" s="60"/>
      <c r="H3147" s="60"/>
      <c r="I3147" s="60"/>
      <c r="J3147" s="114"/>
      <c r="K3147" s="60"/>
      <c r="L3147" s="109"/>
      <c r="M3147" s="109"/>
      <c r="N3147" s="109"/>
      <c r="O3147" s="109"/>
      <c r="P3147" s="109"/>
      <c r="Q3147" s="109"/>
      <c r="S3147" s="111"/>
      <c r="T3147" s="60"/>
      <c r="U3147" s="112"/>
    </row>
    <row r="3148" spans="4:21" s="110" customFormat="1" ht="15.75" customHeight="1">
      <c r="D3148" s="113"/>
      <c r="E3148" s="60"/>
      <c r="F3148" s="60"/>
      <c r="G3148" s="60"/>
      <c r="H3148" s="60"/>
      <c r="I3148" s="60"/>
      <c r="J3148" s="114"/>
      <c r="K3148" s="60"/>
      <c r="L3148" s="109"/>
      <c r="M3148" s="109"/>
      <c r="N3148" s="109"/>
      <c r="O3148" s="109"/>
      <c r="P3148" s="109"/>
      <c r="Q3148" s="109"/>
      <c r="S3148" s="111"/>
      <c r="T3148" s="60"/>
      <c r="U3148" s="112"/>
    </row>
    <row r="3149" spans="4:21" s="110" customFormat="1" ht="15.75" customHeight="1">
      <c r="D3149" s="113"/>
      <c r="E3149" s="60"/>
      <c r="F3149" s="60"/>
      <c r="G3149" s="60"/>
      <c r="H3149" s="60"/>
      <c r="I3149" s="60"/>
      <c r="J3149" s="114"/>
      <c r="K3149" s="60"/>
      <c r="L3149" s="109"/>
      <c r="M3149" s="109"/>
      <c r="N3149" s="109"/>
      <c r="O3149" s="109"/>
      <c r="P3149" s="109"/>
      <c r="Q3149" s="109"/>
      <c r="S3149" s="111"/>
      <c r="T3149" s="60"/>
      <c r="U3149" s="112"/>
    </row>
    <row r="3150" spans="4:21" s="110" customFormat="1" ht="15.75" customHeight="1">
      <c r="D3150" s="113"/>
      <c r="E3150" s="60"/>
      <c r="F3150" s="60"/>
      <c r="G3150" s="60"/>
      <c r="H3150" s="60"/>
      <c r="I3150" s="60"/>
      <c r="J3150" s="114"/>
      <c r="K3150" s="60"/>
      <c r="L3150" s="109"/>
      <c r="M3150" s="109"/>
      <c r="N3150" s="109"/>
      <c r="O3150" s="109"/>
      <c r="P3150" s="109"/>
      <c r="Q3150" s="109"/>
      <c r="S3150" s="111"/>
      <c r="T3150" s="60"/>
      <c r="U3150" s="112"/>
    </row>
    <row r="3151" spans="4:21" s="110" customFormat="1" ht="15.75" customHeight="1">
      <c r="D3151" s="113"/>
      <c r="E3151" s="60"/>
      <c r="F3151" s="60"/>
      <c r="G3151" s="60"/>
      <c r="H3151" s="60"/>
      <c r="I3151" s="60"/>
      <c r="J3151" s="114"/>
      <c r="K3151" s="60"/>
      <c r="L3151" s="109"/>
      <c r="M3151" s="109"/>
      <c r="N3151" s="109"/>
      <c r="O3151" s="109"/>
      <c r="P3151" s="109"/>
      <c r="Q3151" s="109"/>
      <c r="S3151" s="111"/>
      <c r="T3151" s="60"/>
      <c r="U3151" s="112"/>
    </row>
    <row r="3152" spans="4:21" s="110" customFormat="1" ht="15.75" customHeight="1">
      <c r="D3152" s="113"/>
      <c r="E3152" s="60"/>
      <c r="F3152" s="60"/>
      <c r="G3152" s="60"/>
      <c r="H3152" s="60"/>
      <c r="I3152" s="60"/>
      <c r="J3152" s="114"/>
      <c r="K3152" s="60"/>
      <c r="L3152" s="109"/>
      <c r="M3152" s="109"/>
      <c r="N3152" s="109"/>
      <c r="O3152" s="109"/>
      <c r="P3152" s="109"/>
      <c r="Q3152" s="109"/>
      <c r="S3152" s="111"/>
      <c r="T3152" s="60"/>
      <c r="U3152" s="112"/>
    </row>
    <row r="3153" spans="4:21" s="110" customFormat="1" ht="15.75" customHeight="1">
      <c r="D3153" s="113"/>
      <c r="E3153" s="60"/>
      <c r="F3153" s="60"/>
      <c r="G3153" s="60"/>
      <c r="H3153" s="60"/>
      <c r="I3153" s="60"/>
      <c r="J3153" s="114"/>
      <c r="K3153" s="60"/>
      <c r="L3153" s="109"/>
      <c r="M3153" s="109"/>
      <c r="N3153" s="109"/>
      <c r="O3153" s="109"/>
      <c r="P3153" s="109"/>
      <c r="Q3153" s="109"/>
      <c r="S3153" s="111"/>
      <c r="T3153" s="60"/>
      <c r="U3153" s="112"/>
    </row>
    <row r="3154" spans="4:21" s="110" customFormat="1" ht="15.75" customHeight="1">
      <c r="D3154" s="113"/>
      <c r="E3154" s="60"/>
      <c r="F3154" s="60"/>
      <c r="G3154" s="60"/>
      <c r="H3154" s="60"/>
      <c r="I3154" s="60"/>
      <c r="J3154" s="114"/>
      <c r="K3154" s="60"/>
      <c r="L3154" s="109"/>
      <c r="M3154" s="109"/>
      <c r="N3154" s="109"/>
      <c r="O3154" s="109"/>
      <c r="P3154" s="109"/>
      <c r="Q3154" s="109"/>
      <c r="S3154" s="111"/>
      <c r="T3154" s="60"/>
      <c r="U3154" s="112"/>
    </row>
    <row r="3155" spans="4:21" s="110" customFormat="1" ht="15.75" customHeight="1">
      <c r="D3155" s="113"/>
      <c r="E3155" s="60"/>
      <c r="F3155" s="60"/>
      <c r="G3155" s="60"/>
      <c r="H3155" s="60"/>
      <c r="I3155" s="60"/>
      <c r="J3155" s="114"/>
      <c r="K3155" s="60"/>
      <c r="L3155" s="109"/>
      <c r="M3155" s="109"/>
      <c r="N3155" s="109"/>
      <c r="O3155" s="109"/>
      <c r="P3155" s="109"/>
      <c r="Q3155" s="109"/>
      <c r="S3155" s="111"/>
      <c r="T3155" s="60"/>
      <c r="U3155" s="112"/>
    </row>
    <row r="3156" spans="4:21" s="110" customFormat="1" ht="15.75" customHeight="1">
      <c r="D3156" s="113"/>
      <c r="E3156" s="60"/>
      <c r="F3156" s="60"/>
      <c r="G3156" s="60"/>
      <c r="H3156" s="60"/>
      <c r="I3156" s="60"/>
      <c r="J3156" s="114"/>
      <c r="K3156" s="60"/>
      <c r="L3156" s="109"/>
      <c r="M3156" s="109"/>
      <c r="N3156" s="109"/>
      <c r="O3156" s="109"/>
      <c r="P3156" s="109"/>
      <c r="Q3156" s="109"/>
      <c r="S3156" s="111"/>
      <c r="T3156" s="60"/>
      <c r="U3156" s="112"/>
    </row>
    <row r="3157" spans="4:21" s="110" customFormat="1" ht="15.75" customHeight="1">
      <c r="D3157" s="113"/>
      <c r="E3157" s="60"/>
      <c r="F3157" s="60"/>
      <c r="G3157" s="60"/>
      <c r="H3157" s="60"/>
      <c r="I3157" s="60"/>
      <c r="J3157" s="114"/>
      <c r="K3157" s="60"/>
      <c r="L3157" s="109"/>
      <c r="M3157" s="109"/>
      <c r="N3157" s="109"/>
      <c r="O3157" s="109"/>
      <c r="P3157" s="109"/>
      <c r="Q3157" s="109"/>
      <c r="S3157" s="111"/>
      <c r="T3157" s="60"/>
      <c r="U3157" s="112"/>
    </row>
    <row r="3158" spans="4:21" s="110" customFormat="1" ht="15.75" customHeight="1">
      <c r="D3158" s="113"/>
      <c r="E3158" s="60"/>
      <c r="F3158" s="60"/>
      <c r="G3158" s="60"/>
      <c r="H3158" s="60"/>
      <c r="I3158" s="60"/>
      <c r="J3158" s="114"/>
      <c r="K3158" s="60"/>
      <c r="L3158" s="109"/>
      <c r="M3158" s="109"/>
      <c r="N3158" s="109"/>
      <c r="O3158" s="109"/>
      <c r="P3158" s="109"/>
      <c r="Q3158" s="109"/>
      <c r="S3158" s="111"/>
      <c r="T3158" s="60"/>
      <c r="U3158" s="112"/>
    </row>
    <row r="3159" spans="4:21" s="110" customFormat="1" ht="15.75" customHeight="1">
      <c r="D3159" s="113"/>
      <c r="E3159" s="60"/>
      <c r="F3159" s="60"/>
      <c r="G3159" s="60"/>
      <c r="H3159" s="60"/>
      <c r="I3159" s="60"/>
      <c r="J3159" s="114"/>
      <c r="K3159" s="60"/>
      <c r="L3159" s="109"/>
      <c r="M3159" s="109"/>
      <c r="N3159" s="109"/>
      <c r="O3159" s="109"/>
      <c r="P3159" s="109"/>
      <c r="Q3159" s="109"/>
      <c r="S3159" s="111"/>
      <c r="T3159" s="60"/>
      <c r="U3159" s="112"/>
    </row>
    <row r="3160" spans="4:21" s="110" customFormat="1" ht="15.75" customHeight="1">
      <c r="D3160" s="113"/>
      <c r="E3160" s="60"/>
      <c r="F3160" s="60"/>
      <c r="G3160" s="60"/>
      <c r="H3160" s="60"/>
      <c r="I3160" s="60"/>
      <c r="J3160" s="114"/>
      <c r="K3160" s="60"/>
      <c r="L3160" s="109"/>
      <c r="M3160" s="109"/>
      <c r="N3160" s="109"/>
      <c r="O3160" s="109"/>
      <c r="P3160" s="109"/>
      <c r="Q3160" s="109"/>
      <c r="S3160" s="111"/>
      <c r="T3160" s="60"/>
      <c r="U3160" s="112"/>
    </row>
    <row r="3161" spans="4:21" s="110" customFormat="1" ht="15.75" customHeight="1">
      <c r="D3161" s="113"/>
      <c r="E3161" s="60"/>
      <c r="F3161" s="60"/>
      <c r="G3161" s="60"/>
      <c r="H3161" s="60"/>
      <c r="I3161" s="60"/>
      <c r="J3161" s="114"/>
      <c r="K3161" s="60"/>
      <c r="L3161" s="109"/>
      <c r="M3161" s="109"/>
      <c r="N3161" s="109"/>
      <c r="O3161" s="109"/>
      <c r="P3161" s="109"/>
      <c r="Q3161" s="109"/>
      <c r="S3161" s="111"/>
      <c r="T3161" s="60"/>
      <c r="U3161" s="112"/>
    </row>
    <row r="3162" spans="4:21" s="110" customFormat="1" ht="15.75" customHeight="1">
      <c r="D3162" s="113"/>
      <c r="E3162" s="60"/>
      <c r="F3162" s="60"/>
      <c r="G3162" s="60"/>
      <c r="H3162" s="60"/>
      <c r="I3162" s="60"/>
      <c r="J3162" s="114"/>
      <c r="K3162" s="60"/>
      <c r="L3162" s="109"/>
      <c r="M3162" s="109"/>
      <c r="N3162" s="109"/>
      <c r="O3162" s="109"/>
      <c r="P3162" s="109"/>
      <c r="Q3162" s="109"/>
      <c r="S3162" s="111"/>
      <c r="T3162" s="60"/>
      <c r="U3162" s="112"/>
    </row>
    <row r="3163" spans="4:21" s="110" customFormat="1" ht="15.75" customHeight="1">
      <c r="D3163" s="113"/>
      <c r="E3163" s="60"/>
      <c r="F3163" s="60"/>
      <c r="G3163" s="60"/>
      <c r="H3163" s="60"/>
      <c r="I3163" s="60"/>
      <c r="J3163" s="114"/>
      <c r="K3163" s="60"/>
      <c r="L3163" s="109"/>
      <c r="M3163" s="109"/>
      <c r="N3163" s="109"/>
      <c r="O3163" s="109"/>
      <c r="P3163" s="109"/>
      <c r="Q3163" s="109"/>
      <c r="S3163" s="111"/>
      <c r="T3163" s="60"/>
      <c r="U3163" s="112"/>
    </row>
    <row r="3164" spans="4:21" s="110" customFormat="1" ht="15.75" customHeight="1">
      <c r="D3164" s="113"/>
      <c r="E3164" s="60"/>
      <c r="F3164" s="60"/>
      <c r="G3164" s="60"/>
      <c r="H3164" s="60"/>
      <c r="I3164" s="60"/>
      <c r="J3164" s="114"/>
      <c r="K3164" s="60"/>
      <c r="L3164" s="109"/>
      <c r="M3164" s="109"/>
      <c r="N3164" s="109"/>
      <c r="O3164" s="109"/>
      <c r="P3164" s="109"/>
      <c r="Q3164" s="109"/>
      <c r="S3164" s="111"/>
      <c r="T3164" s="60"/>
      <c r="U3164" s="112"/>
    </row>
    <row r="3165" spans="4:21" s="110" customFormat="1" ht="15.75" customHeight="1">
      <c r="D3165" s="113"/>
      <c r="E3165" s="60"/>
      <c r="F3165" s="60"/>
      <c r="G3165" s="60"/>
      <c r="H3165" s="60"/>
      <c r="I3165" s="60"/>
      <c r="J3165" s="114"/>
      <c r="K3165" s="60"/>
      <c r="L3165" s="109"/>
      <c r="M3165" s="109"/>
      <c r="N3165" s="109"/>
      <c r="O3165" s="109"/>
      <c r="P3165" s="109"/>
      <c r="Q3165" s="109"/>
      <c r="S3165" s="111"/>
      <c r="T3165" s="60"/>
      <c r="U3165" s="112"/>
    </row>
    <row r="3166" spans="4:21" s="110" customFormat="1" ht="15.75" customHeight="1">
      <c r="D3166" s="113"/>
      <c r="E3166" s="60"/>
      <c r="F3166" s="60"/>
      <c r="G3166" s="60"/>
      <c r="H3166" s="60"/>
      <c r="I3166" s="60"/>
      <c r="J3166" s="114"/>
      <c r="K3166" s="60"/>
      <c r="L3166" s="109"/>
      <c r="M3166" s="109"/>
      <c r="N3166" s="109"/>
      <c r="O3166" s="109"/>
      <c r="P3166" s="109"/>
      <c r="Q3166" s="109"/>
      <c r="S3166" s="111"/>
      <c r="T3166" s="60"/>
      <c r="U3166" s="112"/>
    </row>
    <row r="3167" spans="4:21" s="110" customFormat="1" ht="15.75" customHeight="1">
      <c r="D3167" s="113"/>
      <c r="E3167" s="60"/>
      <c r="F3167" s="60"/>
      <c r="G3167" s="60"/>
      <c r="H3167" s="60"/>
      <c r="I3167" s="60"/>
      <c r="J3167" s="114"/>
      <c r="K3167" s="60"/>
      <c r="L3167" s="109"/>
      <c r="M3167" s="109"/>
      <c r="N3167" s="109"/>
      <c r="O3167" s="109"/>
      <c r="P3167" s="109"/>
      <c r="Q3167" s="109"/>
      <c r="S3167" s="111"/>
      <c r="T3167" s="60"/>
      <c r="U3167" s="112"/>
    </row>
    <row r="3168" spans="4:21" s="110" customFormat="1" ht="15.75" customHeight="1">
      <c r="D3168" s="113"/>
      <c r="E3168" s="60"/>
      <c r="F3168" s="60"/>
      <c r="G3168" s="60"/>
      <c r="H3168" s="60"/>
      <c r="I3168" s="60"/>
      <c r="J3168" s="114"/>
      <c r="K3168" s="60"/>
      <c r="L3168" s="109"/>
      <c r="M3168" s="109"/>
      <c r="N3168" s="109"/>
      <c r="O3168" s="109"/>
      <c r="P3168" s="109"/>
      <c r="Q3168" s="109"/>
      <c r="S3168" s="111"/>
      <c r="T3168" s="60"/>
      <c r="U3168" s="112"/>
    </row>
    <row r="3169" spans="4:21" s="110" customFormat="1" ht="15.75" customHeight="1">
      <c r="D3169" s="113"/>
      <c r="E3169" s="60"/>
      <c r="F3169" s="60"/>
      <c r="G3169" s="60"/>
      <c r="H3169" s="60"/>
      <c r="I3169" s="60"/>
      <c r="J3169" s="114"/>
      <c r="K3169" s="60"/>
      <c r="L3169" s="109"/>
      <c r="M3169" s="109"/>
      <c r="N3169" s="109"/>
      <c r="O3169" s="109"/>
      <c r="P3169" s="109"/>
      <c r="Q3169" s="109"/>
      <c r="S3169" s="111"/>
      <c r="T3169" s="60"/>
      <c r="U3169" s="112"/>
    </row>
    <row r="3170" spans="4:21" s="110" customFormat="1" ht="15.75" customHeight="1">
      <c r="D3170" s="113"/>
      <c r="E3170" s="60"/>
      <c r="F3170" s="60"/>
      <c r="G3170" s="60"/>
      <c r="H3170" s="60"/>
      <c r="I3170" s="60"/>
      <c r="J3170" s="114"/>
      <c r="K3170" s="60"/>
      <c r="L3170" s="109"/>
      <c r="M3170" s="109"/>
      <c r="N3170" s="109"/>
      <c r="O3170" s="109"/>
      <c r="P3170" s="109"/>
      <c r="Q3170" s="109"/>
      <c r="S3170" s="111"/>
      <c r="T3170" s="60"/>
      <c r="U3170" s="112"/>
    </row>
    <row r="3171" spans="4:21" s="110" customFormat="1" ht="15.75" customHeight="1">
      <c r="D3171" s="113"/>
      <c r="E3171" s="60"/>
      <c r="F3171" s="60"/>
      <c r="G3171" s="60"/>
      <c r="H3171" s="60"/>
      <c r="I3171" s="60"/>
      <c r="J3171" s="114"/>
      <c r="K3171" s="60"/>
      <c r="L3171" s="109"/>
      <c r="M3171" s="109"/>
      <c r="N3171" s="109"/>
      <c r="O3171" s="109"/>
      <c r="P3171" s="109"/>
      <c r="Q3171" s="109"/>
      <c r="S3171" s="111"/>
      <c r="T3171" s="60"/>
      <c r="U3171" s="112"/>
    </row>
    <row r="3172" spans="4:21" s="110" customFormat="1" ht="15.75" customHeight="1">
      <c r="D3172" s="113"/>
      <c r="E3172" s="60"/>
      <c r="F3172" s="60"/>
      <c r="G3172" s="60"/>
      <c r="H3172" s="60"/>
      <c r="I3172" s="60"/>
      <c r="J3172" s="114"/>
      <c r="K3172" s="60"/>
      <c r="L3172" s="109"/>
      <c r="M3172" s="109"/>
      <c r="N3172" s="109"/>
      <c r="O3172" s="109"/>
      <c r="P3172" s="109"/>
      <c r="Q3172" s="109"/>
      <c r="S3172" s="111"/>
      <c r="T3172" s="60"/>
      <c r="U3172" s="112"/>
    </row>
    <row r="3173" spans="4:21" s="110" customFormat="1" ht="15.75" customHeight="1">
      <c r="D3173" s="113"/>
      <c r="E3173" s="60"/>
      <c r="F3173" s="60"/>
      <c r="G3173" s="60"/>
      <c r="H3173" s="60"/>
      <c r="I3173" s="60"/>
      <c r="J3173" s="114"/>
      <c r="K3173" s="60"/>
      <c r="L3173" s="109"/>
      <c r="M3173" s="109"/>
      <c r="N3173" s="109"/>
      <c r="O3173" s="109"/>
      <c r="P3173" s="109"/>
      <c r="Q3173" s="109"/>
      <c r="S3173" s="111"/>
      <c r="T3173" s="60"/>
      <c r="U3173" s="112"/>
    </row>
    <row r="3174" spans="4:21" s="110" customFormat="1" ht="15.75" customHeight="1">
      <c r="D3174" s="113"/>
      <c r="E3174" s="60"/>
      <c r="F3174" s="60"/>
      <c r="G3174" s="60"/>
      <c r="H3174" s="60"/>
      <c r="I3174" s="60"/>
      <c r="J3174" s="114"/>
      <c r="K3174" s="60"/>
      <c r="L3174" s="109"/>
      <c r="M3174" s="109"/>
      <c r="N3174" s="109"/>
      <c r="O3174" s="109"/>
      <c r="P3174" s="109"/>
      <c r="Q3174" s="109"/>
      <c r="S3174" s="111"/>
      <c r="T3174" s="60"/>
      <c r="U3174" s="112"/>
    </row>
    <row r="3175" spans="4:21" s="110" customFormat="1" ht="15.75" customHeight="1">
      <c r="D3175" s="113"/>
      <c r="E3175" s="60"/>
      <c r="F3175" s="60"/>
      <c r="G3175" s="60"/>
      <c r="H3175" s="60"/>
      <c r="I3175" s="60"/>
      <c r="J3175" s="114"/>
      <c r="K3175" s="60"/>
      <c r="L3175" s="109"/>
      <c r="M3175" s="109"/>
      <c r="N3175" s="109"/>
      <c r="O3175" s="109"/>
      <c r="P3175" s="109"/>
      <c r="Q3175" s="109"/>
      <c r="S3175" s="111"/>
      <c r="T3175" s="60"/>
      <c r="U3175" s="112"/>
    </row>
    <row r="3176" spans="4:21" s="110" customFormat="1" ht="15.75" customHeight="1">
      <c r="D3176" s="113"/>
      <c r="E3176" s="60"/>
      <c r="F3176" s="60"/>
      <c r="G3176" s="60"/>
      <c r="H3176" s="60"/>
      <c r="I3176" s="60"/>
      <c r="J3176" s="114"/>
      <c r="K3176" s="60"/>
      <c r="L3176" s="109"/>
      <c r="M3176" s="109"/>
      <c r="N3176" s="109"/>
      <c r="O3176" s="109"/>
      <c r="P3176" s="109"/>
      <c r="Q3176" s="109"/>
      <c r="S3176" s="111"/>
      <c r="T3176" s="60"/>
      <c r="U3176" s="112"/>
    </row>
    <row r="3177" spans="4:21" s="110" customFormat="1" ht="15.75" customHeight="1">
      <c r="D3177" s="113"/>
      <c r="E3177" s="60"/>
      <c r="F3177" s="60"/>
      <c r="G3177" s="60"/>
      <c r="H3177" s="60"/>
      <c r="I3177" s="60"/>
      <c r="J3177" s="114"/>
      <c r="K3177" s="60"/>
      <c r="L3177" s="109"/>
      <c r="M3177" s="109"/>
      <c r="N3177" s="109"/>
      <c r="O3177" s="109"/>
      <c r="P3177" s="109"/>
      <c r="Q3177" s="109"/>
      <c r="S3177" s="111"/>
      <c r="T3177" s="60"/>
      <c r="U3177" s="112"/>
    </row>
    <row r="3178" spans="4:21" s="110" customFormat="1" ht="15.75" customHeight="1">
      <c r="D3178" s="113"/>
      <c r="E3178" s="60"/>
      <c r="F3178" s="60"/>
      <c r="G3178" s="60"/>
      <c r="H3178" s="60"/>
      <c r="I3178" s="60"/>
      <c r="J3178" s="114"/>
      <c r="K3178" s="60"/>
      <c r="L3178" s="109"/>
      <c r="M3178" s="109"/>
      <c r="N3178" s="109"/>
      <c r="O3178" s="109"/>
      <c r="P3178" s="109"/>
      <c r="Q3178" s="109"/>
      <c r="S3178" s="111"/>
      <c r="T3178" s="60"/>
      <c r="U3178" s="112"/>
    </row>
    <row r="3179" spans="4:21" s="110" customFormat="1" ht="15.75" customHeight="1">
      <c r="D3179" s="113"/>
      <c r="E3179" s="60"/>
      <c r="F3179" s="60"/>
      <c r="G3179" s="60"/>
      <c r="H3179" s="60"/>
      <c r="I3179" s="60"/>
      <c r="J3179" s="114"/>
      <c r="K3179" s="60"/>
      <c r="L3179" s="109"/>
      <c r="M3179" s="109"/>
      <c r="N3179" s="109"/>
      <c r="O3179" s="109"/>
      <c r="P3179" s="109"/>
      <c r="Q3179" s="109"/>
      <c r="S3179" s="111"/>
      <c r="T3179" s="60"/>
      <c r="U3179" s="112"/>
    </row>
    <row r="3180" spans="4:21" s="110" customFormat="1" ht="15.75" customHeight="1">
      <c r="D3180" s="113"/>
      <c r="E3180" s="60"/>
      <c r="F3180" s="60"/>
      <c r="G3180" s="60"/>
      <c r="H3180" s="60"/>
      <c r="I3180" s="60"/>
      <c r="J3180" s="114"/>
      <c r="K3180" s="60"/>
      <c r="L3180" s="109"/>
      <c r="M3180" s="109"/>
      <c r="N3180" s="109"/>
      <c r="O3180" s="109"/>
      <c r="P3180" s="109"/>
      <c r="Q3180" s="109"/>
      <c r="S3180" s="111"/>
      <c r="T3180" s="60"/>
      <c r="U3180" s="112"/>
    </row>
    <row r="3181" spans="4:21" s="110" customFormat="1" ht="15.75" customHeight="1">
      <c r="D3181" s="113"/>
      <c r="E3181" s="60"/>
      <c r="F3181" s="60"/>
      <c r="G3181" s="60"/>
      <c r="H3181" s="60"/>
      <c r="I3181" s="60"/>
      <c r="J3181" s="114"/>
      <c r="K3181" s="60"/>
      <c r="L3181" s="109"/>
      <c r="M3181" s="109"/>
      <c r="N3181" s="109"/>
      <c r="O3181" s="109"/>
      <c r="P3181" s="109"/>
      <c r="Q3181" s="109"/>
      <c r="S3181" s="111"/>
      <c r="T3181" s="60"/>
      <c r="U3181" s="112"/>
    </row>
    <row r="3182" spans="4:21" s="110" customFormat="1" ht="15.75" customHeight="1">
      <c r="D3182" s="113"/>
      <c r="E3182" s="60"/>
      <c r="F3182" s="60"/>
      <c r="G3182" s="60"/>
      <c r="H3182" s="60"/>
      <c r="I3182" s="60"/>
      <c r="J3182" s="114"/>
      <c r="K3182" s="60"/>
      <c r="L3182" s="109"/>
      <c r="M3182" s="109"/>
      <c r="N3182" s="109"/>
      <c r="O3182" s="109"/>
      <c r="P3182" s="109"/>
      <c r="Q3182" s="109"/>
      <c r="S3182" s="111"/>
      <c r="T3182" s="60"/>
      <c r="U3182" s="112"/>
    </row>
    <row r="3183" spans="4:21" s="110" customFormat="1" ht="15.75" customHeight="1">
      <c r="D3183" s="113"/>
      <c r="E3183" s="60"/>
      <c r="F3183" s="60"/>
      <c r="G3183" s="60"/>
      <c r="H3183" s="60"/>
      <c r="I3183" s="60"/>
      <c r="J3183" s="114"/>
      <c r="K3183" s="60"/>
      <c r="L3183" s="109"/>
      <c r="M3183" s="109"/>
      <c r="N3183" s="109"/>
      <c r="O3183" s="109"/>
      <c r="P3183" s="109"/>
      <c r="Q3183" s="109"/>
      <c r="S3183" s="111"/>
      <c r="T3183" s="60"/>
      <c r="U3183" s="112"/>
    </row>
    <row r="3184" spans="4:21" s="110" customFormat="1" ht="15.75" customHeight="1">
      <c r="D3184" s="113"/>
      <c r="E3184" s="60"/>
      <c r="F3184" s="60"/>
      <c r="G3184" s="60"/>
      <c r="H3184" s="60"/>
      <c r="I3184" s="60"/>
      <c r="J3184" s="114"/>
      <c r="K3184" s="60"/>
      <c r="L3184" s="109"/>
      <c r="M3184" s="109"/>
      <c r="N3184" s="109"/>
      <c r="O3184" s="109"/>
      <c r="P3184" s="109"/>
      <c r="Q3184" s="109"/>
      <c r="S3184" s="111"/>
      <c r="T3184" s="60"/>
      <c r="U3184" s="112"/>
    </row>
    <row r="3185" spans="4:21" s="110" customFormat="1" ht="15.75" customHeight="1">
      <c r="D3185" s="113"/>
      <c r="E3185" s="60"/>
      <c r="F3185" s="60"/>
      <c r="G3185" s="60"/>
      <c r="H3185" s="60"/>
      <c r="I3185" s="60"/>
      <c r="J3185" s="114"/>
      <c r="K3185" s="60"/>
      <c r="L3185" s="109"/>
      <c r="M3185" s="109"/>
      <c r="N3185" s="109"/>
      <c r="O3185" s="109"/>
      <c r="P3185" s="109"/>
      <c r="Q3185" s="109"/>
      <c r="S3185" s="111"/>
      <c r="T3185" s="60"/>
      <c r="U3185" s="112"/>
    </row>
    <row r="3186" spans="4:21" s="110" customFormat="1" ht="15.75" customHeight="1">
      <c r="D3186" s="113"/>
      <c r="E3186" s="60"/>
      <c r="F3186" s="60"/>
      <c r="G3186" s="60"/>
      <c r="H3186" s="60"/>
      <c r="I3186" s="60"/>
      <c r="J3186" s="114"/>
      <c r="K3186" s="60"/>
      <c r="L3186" s="109"/>
      <c r="M3186" s="109"/>
      <c r="N3186" s="109"/>
      <c r="O3186" s="109"/>
      <c r="P3186" s="109"/>
      <c r="Q3186" s="109"/>
      <c r="S3186" s="111"/>
      <c r="T3186" s="60"/>
      <c r="U3186" s="112"/>
    </row>
    <row r="3187" spans="4:21" s="110" customFormat="1" ht="15.75" customHeight="1">
      <c r="D3187" s="113"/>
      <c r="E3187" s="60"/>
      <c r="F3187" s="60"/>
      <c r="G3187" s="60"/>
      <c r="H3187" s="60"/>
      <c r="I3187" s="60"/>
      <c r="J3187" s="114"/>
      <c r="K3187" s="60"/>
      <c r="L3187" s="109"/>
      <c r="M3187" s="109"/>
      <c r="N3187" s="109"/>
      <c r="O3187" s="109"/>
      <c r="P3187" s="109"/>
      <c r="Q3187" s="109"/>
      <c r="S3187" s="111"/>
      <c r="T3187" s="60"/>
      <c r="U3187" s="112"/>
    </row>
    <row r="3188" spans="4:21" s="110" customFormat="1" ht="15.75" customHeight="1">
      <c r="D3188" s="113"/>
      <c r="E3188" s="60"/>
      <c r="F3188" s="60"/>
      <c r="G3188" s="60"/>
      <c r="H3188" s="60"/>
      <c r="I3188" s="60"/>
      <c r="J3188" s="114"/>
      <c r="K3188" s="60"/>
      <c r="L3188" s="109"/>
      <c r="M3188" s="109"/>
      <c r="N3188" s="109"/>
      <c r="O3188" s="109"/>
      <c r="P3188" s="109"/>
      <c r="Q3188" s="109"/>
      <c r="S3188" s="111"/>
      <c r="T3188" s="60"/>
      <c r="U3188" s="112"/>
    </row>
    <row r="3189" spans="4:21" s="110" customFormat="1" ht="15.75" customHeight="1">
      <c r="D3189" s="113"/>
      <c r="E3189" s="60"/>
      <c r="F3189" s="60"/>
      <c r="G3189" s="60"/>
      <c r="H3189" s="60"/>
      <c r="I3189" s="60"/>
      <c r="J3189" s="114"/>
      <c r="K3189" s="60"/>
      <c r="L3189" s="109"/>
      <c r="M3189" s="109"/>
      <c r="N3189" s="109"/>
      <c r="O3189" s="109"/>
      <c r="P3189" s="109"/>
      <c r="Q3189" s="109"/>
      <c r="S3189" s="111"/>
      <c r="T3189" s="60"/>
      <c r="U3189" s="112"/>
    </row>
    <row r="3190" spans="4:21" s="110" customFormat="1" ht="15.75" customHeight="1">
      <c r="D3190" s="113"/>
      <c r="E3190" s="60"/>
      <c r="F3190" s="60"/>
      <c r="G3190" s="60"/>
      <c r="H3190" s="60"/>
      <c r="I3190" s="60"/>
      <c r="J3190" s="114"/>
      <c r="K3190" s="60"/>
      <c r="L3190" s="109"/>
      <c r="M3190" s="109"/>
      <c r="N3190" s="109"/>
      <c r="O3190" s="109"/>
      <c r="P3190" s="109"/>
      <c r="Q3190" s="109"/>
      <c r="S3190" s="111"/>
      <c r="T3190" s="60"/>
      <c r="U3190" s="112"/>
    </row>
    <row r="3191" spans="4:21" s="110" customFormat="1" ht="15.75" customHeight="1">
      <c r="D3191" s="113"/>
      <c r="E3191" s="60"/>
      <c r="F3191" s="60"/>
      <c r="G3191" s="60"/>
      <c r="H3191" s="60"/>
      <c r="I3191" s="60"/>
      <c r="J3191" s="114"/>
      <c r="K3191" s="60"/>
      <c r="L3191" s="109"/>
      <c r="M3191" s="109"/>
      <c r="N3191" s="109"/>
      <c r="O3191" s="109"/>
      <c r="P3191" s="109"/>
      <c r="Q3191" s="109"/>
      <c r="S3191" s="111"/>
      <c r="T3191" s="60"/>
      <c r="U3191" s="112"/>
    </row>
    <row r="3192" spans="4:21" s="110" customFormat="1" ht="15.75" customHeight="1">
      <c r="D3192" s="113"/>
      <c r="E3192" s="60"/>
      <c r="F3192" s="60"/>
      <c r="G3192" s="60"/>
      <c r="H3192" s="60"/>
      <c r="I3192" s="60"/>
      <c r="J3192" s="114"/>
      <c r="K3192" s="60"/>
      <c r="L3192" s="109"/>
      <c r="M3192" s="109"/>
      <c r="N3192" s="109"/>
      <c r="O3192" s="109"/>
      <c r="P3192" s="109"/>
      <c r="Q3192" s="109"/>
      <c r="S3192" s="111"/>
      <c r="T3192" s="60"/>
      <c r="U3192" s="112"/>
    </row>
    <row r="3193" spans="4:21" s="110" customFormat="1" ht="15.75" customHeight="1">
      <c r="D3193" s="113"/>
      <c r="E3193" s="60"/>
      <c r="F3193" s="60"/>
      <c r="G3193" s="60"/>
      <c r="H3193" s="60"/>
      <c r="I3193" s="60"/>
      <c r="J3193" s="114"/>
      <c r="K3193" s="60"/>
      <c r="L3193" s="109"/>
      <c r="M3193" s="109"/>
      <c r="N3193" s="109"/>
      <c r="O3193" s="109"/>
      <c r="P3193" s="109"/>
      <c r="Q3193" s="109"/>
      <c r="S3193" s="111"/>
      <c r="T3193" s="60"/>
      <c r="U3193" s="112"/>
    </row>
    <row r="3194" spans="4:21" s="110" customFormat="1" ht="15.75" customHeight="1">
      <c r="D3194" s="113"/>
      <c r="E3194" s="60"/>
      <c r="F3194" s="60"/>
      <c r="G3194" s="60"/>
      <c r="H3194" s="60"/>
      <c r="I3194" s="60"/>
      <c r="J3194" s="114"/>
      <c r="K3194" s="60"/>
      <c r="L3194" s="109"/>
      <c r="M3194" s="109"/>
      <c r="N3194" s="109"/>
      <c r="O3194" s="109"/>
      <c r="P3194" s="109"/>
      <c r="Q3194" s="109"/>
      <c r="S3194" s="111"/>
      <c r="T3194" s="60"/>
      <c r="U3194" s="112"/>
    </row>
    <row r="3195" spans="4:21" s="110" customFormat="1" ht="15.75" customHeight="1">
      <c r="D3195" s="113"/>
      <c r="E3195" s="60"/>
      <c r="F3195" s="60"/>
      <c r="G3195" s="60"/>
      <c r="H3195" s="60"/>
      <c r="I3195" s="60"/>
      <c r="J3195" s="114"/>
      <c r="K3195" s="60"/>
      <c r="L3195" s="109"/>
      <c r="M3195" s="109"/>
      <c r="N3195" s="109"/>
      <c r="O3195" s="109"/>
      <c r="P3195" s="109"/>
      <c r="Q3195" s="109"/>
      <c r="S3195" s="111"/>
      <c r="T3195" s="60"/>
      <c r="U3195" s="112"/>
    </row>
    <row r="3196" spans="4:21" s="110" customFormat="1" ht="15.75" customHeight="1">
      <c r="D3196" s="113"/>
      <c r="E3196" s="60"/>
      <c r="F3196" s="60"/>
      <c r="G3196" s="60"/>
      <c r="H3196" s="60"/>
      <c r="I3196" s="60"/>
      <c r="J3196" s="114"/>
      <c r="K3196" s="60"/>
      <c r="L3196" s="109"/>
      <c r="M3196" s="109"/>
      <c r="N3196" s="109"/>
      <c r="O3196" s="109"/>
      <c r="P3196" s="109"/>
      <c r="Q3196" s="109"/>
      <c r="S3196" s="111"/>
      <c r="T3196" s="60"/>
      <c r="U3196" s="112"/>
    </row>
    <row r="3197" spans="4:21" s="110" customFormat="1" ht="15.75" customHeight="1">
      <c r="D3197" s="113"/>
      <c r="E3197" s="60"/>
      <c r="F3197" s="60"/>
      <c r="G3197" s="60"/>
      <c r="H3197" s="60"/>
      <c r="I3197" s="60"/>
      <c r="J3197" s="114"/>
      <c r="K3197" s="60"/>
      <c r="L3197" s="109"/>
      <c r="M3197" s="109"/>
      <c r="N3197" s="109"/>
      <c r="O3197" s="109"/>
      <c r="P3197" s="109"/>
      <c r="Q3197" s="109"/>
      <c r="S3197" s="111"/>
      <c r="T3197" s="60"/>
      <c r="U3197" s="112"/>
    </row>
    <row r="3198" spans="4:21" s="110" customFormat="1" ht="15.75" customHeight="1">
      <c r="D3198" s="113"/>
      <c r="E3198" s="60"/>
      <c r="F3198" s="60"/>
      <c r="G3198" s="60"/>
      <c r="H3198" s="60"/>
      <c r="I3198" s="60"/>
      <c r="J3198" s="114"/>
      <c r="K3198" s="60"/>
      <c r="L3198" s="109"/>
      <c r="M3198" s="109"/>
      <c r="N3198" s="109"/>
      <c r="O3198" s="109"/>
      <c r="P3198" s="109"/>
      <c r="Q3198" s="109"/>
      <c r="S3198" s="111"/>
      <c r="T3198" s="60"/>
      <c r="U3198" s="112"/>
    </row>
    <row r="3199" spans="4:21" s="110" customFormat="1" ht="15.75" customHeight="1">
      <c r="D3199" s="113"/>
      <c r="E3199" s="60"/>
      <c r="F3199" s="60"/>
      <c r="G3199" s="60"/>
      <c r="H3199" s="60"/>
      <c r="I3199" s="60"/>
      <c r="J3199" s="114"/>
      <c r="K3199" s="60"/>
      <c r="L3199" s="109"/>
      <c r="M3199" s="109"/>
      <c r="N3199" s="109"/>
      <c r="O3199" s="109"/>
      <c r="P3199" s="109"/>
      <c r="Q3199" s="109"/>
      <c r="S3199" s="111"/>
      <c r="T3199" s="60"/>
      <c r="U3199" s="112"/>
    </row>
    <row r="3200" spans="4:21" s="110" customFormat="1" ht="15.75" customHeight="1">
      <c r="D3200" s="113"/>
      <c r="E3200" s="60"/>
      <c r="F3200" s="60"/>
      <c r="G3200" s="60"/>
      <c r="H3200" s="60"/>
      <c r="I3200" s="60"/>
      <c r="J3200" s="114"/>
      <c r="K3200" s="60"/>
      <c r="L3200" s="109"/>
      <c r="M3200" s="109"/>
      <c r="N3200" s="109"/>
      <c r="O3200" s="109"/>
      <c r="P3200" s="109"/>
      <c r="Q3200" s="109"/>
      <c r="S3200" s="111"/>
      <c r="T3200" s="60"/>
      <c r="U3200" s="112"/>
    </row>
    <row r="3201" spans="4:21" s="110" customFormat="1" ht="15.75" customHeight="1">
      <c r="D3201" s="113"/>
      <c r="E3201" s="60"/>
      <c r="F3201" s="60"/>
      <c r="G3201" s="60"/>
      <c r="H3201" s="60"/>
      <c r="I3201" s="60"/>
      <c r="J3201" s="114"/>
      <c r="K3201" s="60"/>
      <c r="L3201" s="109"/>
      <c r="M3201" s="109"/>
      <c r="N3201" s="109"/>
      <c r="O3201" s="109"/>
      <c r="P3201" s="109"/>
      <c r="Q3201" s="109"/>
      <c r="S3201" s="111"/>
      <c r="T3201" s="60"/>
      <c r="U3201" s="112"/>
    </row>
    <row r="3202" spans="4:21" s="110" customFormat="1" ht="15.75" customHeight="1">
      <c r="D3202" s="113"/>
      <c r="E3202" s="60"/>
      <c r="F3202" s="60"/>
      <c r="G3202" s="60"/>
      <c r="H3202" s="60"/>
      <c r="I3202" s="60"/>
      <c r="J3202" s="114"/>
      <c r="K3202" s="60"/>
      <c r="L3202" s="109"/>
      <c r="M3202" s="109"/>
      <c r="N3202" s="109"/>
      <c r="O3202" s="109"/>
      <c r="P3202" s="109"/>
      <c r="Q3202" s="109"/>
      <c r="S3202" s="111"/>
      <c r="T3202" s="60"/>
      <c r="U3202" s="112"/>
    </row>
    <row r="3203" spans="4:21" s="110" customFormat="1" ht="15.75" customHeight="1">
      <c r="D3203" s="113"/>
      <c r="E3203" s="60"/>
      <c r="F3203" s="60"/>
      <c r="G3203" s="60"/>
      <c r="H3203" s="60"/>
      <c r="I3203" s="60"/>
      <c r="J3203" s="114"/>
      <c r="K3203" s="60"/>
      <c r="L3203" s="109"/>
      <c r="M3203" s="109"/>
      <c r="N3203" s="109"/>
      <c r="O3203" s="109"/>
      <c r="P3203" s="109"/>
      <c r="Q3203" s="109"/>
      <c r="S3203" s="111"/>
      <c r="T3203" s="60"/>
      <c r="U3203" s="112"/>
    </row>
    <row r="3204" spans="4:21" s="110" customFormat="1" ht="15.75" customHeight="1">
      <c r="D3204" s="113"/>
      <c r="E3204" s="60"/>
      <c r="F3204" s="60"/>
      <c r="G3204" s="60"/>
      <c r="H3204" s="60"/>
      <c r="I3204" s="60"/>
      <c r="J3204" s="114"/>
      <c r="K3204" s="60"/>
      <c r="L3204" s="109"/>
      <c r="M3204" s="109"/>
      <c r="N3204" s="109"/>
      <c r="O3204" s="109"/>
      <c r="P3204" s="109"/>
      <c r="Q3204" s="109"/>
      <c r="S3204" s="111"/>
      <c r="T3204" s="60"/>
      <c r="U3204" s="112"/>
    </row>
    <row r="3205" spans="4:21" s="110" customFormat="1" ht="15.75" customHeight="1">
      <c r="D3205" s="113"/>
      <c r="E3205" s="60"/>
      <c r="F3205" s="60"/>
      <c r="G3205" s="60"/>
      <c r="H3205" s="60"/>
      <c r="I3205" s="60"/>
      <c r="J3205" s="114"/>
      <c r="K3205" s="60"/>
      <c r="L3205" s="109"/>
      <c r="M3205" s="109"/>
      <c r="N3205" s="109"/>
      <c r="O3205" s="109"/>
      <c r="P3205" s="109"/>
      <c r="Q3205" s="109"/>
      <c r="S3205" s="111"/>
      <c r="T3205" s="60"/>
      <c r="U3205" s="112"/>
    </row>
    <row r="3206" spans="4:21" s="110" customFormat="1" ht="15.75" customHeight="1">
      <c r="D3206" s="113"/>
      <c r="E3206" s="60"/>
      <c r="F3206" s="60"/>
      <c r="G3206" s="60"/>
      <c r="H3206" s="60"/>
      <c r="I3206" s="60"/>
      <c r="J3206" s="114"/>
      <c r="K3206" s="60"/>
      <c r="L3206" s="109"/>
      <c r="M3206" s="109"/>
      <c r="N3206" s="109"/>
      <c r="O3206" s="109"/>
      <c r="P3206" s="109"/>
      <c r="Q3206" s="109"/>
      <c r="S3206" s="111"/>
      <c r="T3206" s="60"/>
      <c r="U3206" s="112"/>
    </row>
    <row r="3207" spans="4:21" s="110" customFormat="1" ht="15.75" customHeight="1">
      <c r="D3207" s="113"/>
      <c r="E3207" s="60"/>
      <c r="F3207" s="60"/>
      <c r="G3207" s="60"/>
      <c r="H3207" s="60"/>
      <c r="I3207" s="60"/>
      <c r="J3207" s="114"/>
      <c r="K3207" s="60"/>
      <c r="L3207" s="109"/>
      <c r="M3207" s="109"/>
      <c r="N3207" s="109"/>
      <c r="O3207" s="109"/>
      <c r="P3207" s="109"/>
      <c r="Q3207" s="109"/>
      <c r="S3207" s="111"/>
      <c r="T3207" s="60"/>
      <c r="U3207" s="112"/>
    </row>
    <row r="3208" spans="4:21" s="110" customFormat="1" ht="15.75" customHeight="1">
      <c r="D3208" s="113"/>
      <c r="E3208" s="60"/>
      <c r="F3208" s="60"/>
      <c r="G3208" s="60"/>
      <c r="H3208" s="60"/>
      <c r="I3208" s="60"/>
      <c r="J3208" s="114"/>
      <c r="K3208" s="60"/>
      <c r="L3208" s="109"/>
      <c r="M3208" s="109"/>
      <c r="N3208" s="109"/>
      <c r="O3208" s="109"/>
      <c r="P3208" s="109"/>
      <c r="Q3208" s="109"/>
      <c r="S3208" s="111"/>
      <c r="T3208" s="60"/>
      <c r="U3208" s="112"/>
    </row>
    <row r="3209" spans="4:21" s="110" customFormat="1" ht="15.75" customHeight="1">
      <c r="D3209" s="113"/>
      <c r="E3209" s="60"/>
      <c r="F3209" s="60"/>
      <c r="G3209" s="60"/>
      <c r="H3209" s="60"/>
      <c r="I3209" s="60"/>
      <c r="J3209" s="114"/>
      <c r="K3209" s="60"/>
      <c r="L3209" s="109"/>
      <c r="M3209" s="109"/>
      <c r="N3209" s="109"/>
      <c r="O3209" s="109"/>
      <c r="P3209" s="109"/>
      <c r="Q3209" s="109"/>
      <c r="S3209" s="111"/>
      <c r="T3209" s="60"/>
      <c r="U3209" s="112"/>
    </row>
    <row r="3210" spans="4:21" s="110" customFormat="1" ht="15.75" customHeight="1">
      <c r="D3210" s="113"/>
      <c r="E3210" s="60"/>
      <c r="F3210" s="60"/>
      <c r="G3210" s="60"/>
      <c r="H3210" s="60"/>
      <c r="I3210" s="60"/>
      <c r="J3210" s="114"/>
      <c r="K3210" s="60"/>
      <c r="L3210" s="109"/>
      <c r="M3210" s="109"/>
      <c r="N3210" s="109"/>
      <c r="O3210" s="109"/>
      <c r="P3210" s="109"/>
      <c r="Q3210" s="109"/>
      <c r="S3210" s="111"/>
      <c r="T3210" s="60"/>
      <c r="U3210" s="112"/>
    </row>
    <row r="3211" spans="4:21" s="110" customFormat="1" ht="15.75" customHeight="1">
      <c r="D3211" s="113"/>
      <c r="E3211" s="60"/>
      <c r="F3211" s="60"/>
      <c r="G3211" s="60"/>
      <c r="H3211" s="60"/>
      <c r="I3211" s="60"/>
      <c r="J3211" s="114"/>
      <c r="K3211" s="60"/>
      <c r="L3211" s="109"/>
      <c r="M3211" s="109"/>
      <c r="N3211" s="109"/>
      <c r="O3211" s="109"/>
      <c r="P3211" s="109"/>
      <c r="Q3211" s="109"/>
      <c r="S3211" s="111"/>
      <c r="T3211" s="60"/>
      <c r="U3211" s="112"/>
    </row>
    <row r="3212" spans="4:21" s="110" customFormat="1" ht="15.75" customHeight="1">
      <c r="D3212" s="113"/>
      <c r="E3212" s="60"/>
      <c r="F3212" s="60"/>
      <c r="G3212" s="60"/>
      <c r="H3212" s="60"/>
      <c r="I3212" s="60"/>
      <c r="J3212" s="114"/>
      <c r="K3212" s="60"/>
      <c r="L3212" s="109"/>
      <c r="M3212" s="109"/>
      <c r="N3212" s="109"/>
      <c r="O3212" s="109"/>
      <c r="P3212" s="109"/>
      <c r="Q3212" s="109"/>
      <c r="S3212" s="111"/>
      <c r="T3212" s="60"/>
      <c r="U3212" s="112"/>
    </row>
    <row r="3213" spans="4:21" s="110" customFormat="1" ht="15.75" customHeight="1">
      <c r="D3213" s="113"/>
      <c r="E3213" s="60"/>
      <c r="F3213" s="60"/>
      <c r="G3213" s="60"/>
      <c r="H3213" s="60"/>
      <c r="I3213" s="60"/>
      <c r="J3213" s="114"/>
      <c r="K3213" s="60"/>
      <c r="L3213" s="109"/>
      <c r="M3213" s="109"/>
      <c r="N3213" s="109"/>
      <c r="O3213" s="109"/>
      <c r="P3213" s="109"/>
      <c r="Q3213" s="109"/>
      <c r="S3213" s="111"/>
      <c r="T3213" s="60"/>
      <c r="U3213" s="112"/>
    </row>
    <row r="3214" spans="4:21" s="110" customFormat="1" ht="15.75" customHeight="1">
      <c r="D3214" s="113"/>
      <c r="E3214" s="60"/>
      <c r="F3214" s="60"/>
      <c r="G3214" s="60"/>
      <c r="H3214" s="60"/>
      <c r="I3214" s="60"/>
      <c r="J3214" s="114"/>
      <c r="K3214" s="60"/>
      <c r="L3214" s="109"/>
      <c r="M3214" s="109"/>
      <c r="N3214" s="109"/>
      <c r="O3214" s="109"/>
      <c r="P3214" s="109"/>
      <c r="Q3214" s="109"/>
      <c r="S3214" s="111"/>
      <c r="T3214" s="60"/>
      <c r="U3214" s="112"/>
    </row>
    <row r="3215" spans="4:21" s="110" customFormat="1" ht="15.75" customHeight="1">
      <c r="D3215" s="113"/>
      <c r="E3215" s="60"/>
      <c r="F3215" s="60"/>
      <c r="G3215" s="60"/>
      <c r="H3215" s="60"/>
      <c r="I3215" s="60"/>
      <c r="J3215" s="114"/>
      <c r="K3215" s="60"/>
      <c r="L3215" s="109"/>
      <c r="M3215" s="109"/>
      <c r="N3215" s="109"/>
      <c r="O3215" s="109"/>
      <c r="P3215" s="109"/>
      <c r="Q3215" s="109"/>
      <c r="S3215" s="111"/>
      <c r="T3215" s="60"/>
      <c r="U3215" s="112"/>
    </row>
    <row r="3216" spans="4:21" s="110" customFormat="1" ht="15.75" customHeight="1">
      <c r="D3216" s="113"/>
      <c r="E3216" s="60"/>
      <c r="F3216" s="60"/>
      <c r="G3216" s="60"/>
      <c r="H3216" s="60"/>
      <c r="I3216" s="60"/>
      <c r="J3216" s="114"/>
      <c r="K3216" s="60"/>
      <c r="L3216" s="109"/>
      <c r="M3216" s="109"/>
      <c r="N3216" s="109"/>
      <c r="O3216" s="109"/>
      <c r="P3216" s="109"/>
      <c r="Q3216" s="109"/>
      <c r="S3216" s="111"/>
      <c r="T3216" s="60"/>
      <c r="U3216" s="112"/>
    </row>
    <row r="3217" spans="4:21" s="110" customFormat="1" ht="15.75" customHeight="1">
      <c r="D3217" s="113"/>
      <c r="E3217" s="60"/>
      <c r="F3217" s="60"/>
      <c r="G3217" s="60"/>
      <c r="H3217" s="60"/>
      <c r="I3217" s="60"/>
      <c r="J3217" s="114"/>
      <c r="K3217" s="60"/>
      <c r="L3217" s="109"/>
      <c r="M3217" s="109"/>
      <c r="N3217" s="109"/>
      <c r="O3217" s="109"/>
      <c r="P3217" s="109"/>
      <c r="Q3217" s="109"/>
      <c r="S3217" s="111"/>
      <c r="T3217" s="60"/>
      <c r="U3217" s="112"/>
    </row>
    <row r="3218" spans="4:21" s="110" customFormat="1" ht="15.75" customHeight="1">
      <c r="D3218" s="113"/>
      <c r="E3218" s="60"/>
      <c r="F3218" s="60"/>
      <c r="G3218" s="60"/>
      <c r="H3218" s="60"/>
      <c r="I3218" s="60"/>
      <c r="J3218" s="114"/>
      <c r="K3218" s="60"/>
      <c r="L3218" s="109"/>
      <c r="M3218" s="109"/>
      <c r="N3218" s="109"/>
      <c r="O3218" s="109"/>
      <c r="P3218" s="109"/>
      <c r="Q3218" s="109"/>
      <c r="S3218" s="111"/>
      <c r="T3218" s="60"/>
      <c r="U3218" s="112"/>
    </row>
    <row r="3219" spans="4:21" s="110" customFormat="1" ht="15.75" customHeight="1">
      <c r="D3219" s="113"/>
      <c r="E3219" s="60"/>
      <c r="F3219" s="60"/>
      <c r="G3219" s="60"/>
      <c r="H3219" s="60"/>
      <c r="I3219" s="60"/>
      <c r="J3219" s="114"/>
      <c r="K3219" s="60"/>
      <c r="L3219" s="109"/>
      <c r="M3219" s="109"/>
      <c r="N3219" s="109"/>
      <c r="O3219" s="109"/>
      <c r="P3219" s="109"/>
      <c r="Q3219" s="109"/>
      <c r="S3219" s="111"/>
      <c r="T3219" s="60"/>
      <c r="U3219" s="112"/>
    </row>
    <row r="3220" spans="4:21" s="110" customFormat="1" ht="15.75" customHeight="1">
      <c r="D3220" s="113"/>
      <c r="E3220" s="60"/>
      <c r="F3220" s="60"/>
      <c r="G3220" s="60"/>
      <c r="H3220" s="60"/>
      <c r="I3220" s="60"/>
      <c r="J3220" s="114"/>
      <c r="K3220" s="60"/>
      <c r="L3220" s="109"/>
      <c r="M3220" s="109"/>
      <c r="N3220" s="109"/>
      <c r="O3220" s="109"/>
      <c r="P3220" s="109"/>
      <c r="Q3220" s="109"/>
      <c r="S3220" s="111"/>
      <c r="T3220" s="60"/>
      <c r="U3220" s="112"/>
    </row>
    <row r="3221" spans="4:21" s="110" customFormat="1" ht="15.75" customHeight="1">
      <c r="D3221" s="113"/>
      <c r="E3221" s="60"/>
      <c r="F3221" s="60"/>
      <c r="G3221" s="60"/>
      <c r="H3221" s="60"/>
      <c r="I3221" s="60"/>
      <c r="J3221" s="114"/>
      <c r="K3221" s="60"/>
      <c r="L3221" s="109"/>
      <c r="M3221" s="109"/>
      <c r="N3221" s="109"/>
      <c r="O3221" s="109"/>
      <c r="P3221" s="109"/>
      <c r="Q3221" s="109"/>
      <c r="S3221" s="111"/>
      <c r="T3221" s="60"/>
      <c r="U3221" s="112"/>
    </row>
    <row r="3222" spans="4:21" s="110" customFormat="1" ht="15.75" customHeight="1">
      <c r="D3222" s="113"/>
      <c r="E3222" s="60"/>
      <c r="F3222" s="60"/>
      <c r="G3222" s="60"/>
      <c r="H3222" s="60"/>
      <c r="I3222" s="60"/>
      <c r="J3222" s="114"/>
      <c r="K3222" s="60"/>
      <c r="L3222" s="109"/>
      <c r="M3222" s="109"/>
      <c r="N3222" s="109"/>
      <c r="O3222" s="109"/>
      <c r="P3222" s="109"/>
      <c r="Q3222" s="109"/>
      <c r="S3222" s="111"/>
      <c r="T3222" s="60"/>
      <c r="U3222" s="112"/>
    </row>
    <row r="3223" spans="4:21" s="110" customFormat="1" ht="15.75" customHeight="1">
      <c r="D3223" s="113"/>
      <c r="E3223" s="60"/>
      <c r="F3223" s="60"/>
      <c r="G3223" s="60"/>
      <c r="H3223" s="60"/>
      <c r="I3223" s="60"/>
      <c r="J3223" s="114"/>
      <c r="K3223" s="60"/>
      <c r="L3223" s="109"/>
      <c r="M3223" s="109"/>
      <c r="N3223" s="109"/>
      <c r="O3223" s="109"/>
      <c r="P3223" s="109"/>
      <c r="Q3223" s="109"/>
      <c r="S3223" s="111"/>
      <c r="T3223" s="60"/>
      <c r="U3223" s="112"/>
    </row>
    <row r="3224" spans="4:21" s="110" customFormat="1" ht="15.75" customHeight="1">
      <c r="D3224" s="113"/>
      <c r="E3224" s="60"/>
      <c r="F3224" s="60"/>
      <c r="G3224" s="60"/>
      <c r="H3224" s="60"/>
      <c r="I3224" s="60"/>
      <c r="J3224" s="114"/>
      <c r="K3224" s="60"/>
      <c r="L3224" s="109"/>
      <c r="M3224" s="109"/>
      <c r="N3224" s="109"/>
      <c r="O3224" s="109"/>
      <c r="P3224" s="109"/>
      <c r="Q3224" s="109"/>
      <c r="S3224" s="111"/>
      <c r="T3224" s="60"/>
      <c r="U3224" s="112"/>
    </row>
    <row r="3225" spans="4:21" s="110" customFormat="1" ht="15.75" customHeight="1">
      <c r="D3225" s="113"/>
      <c r="E3225" s="60"/>
      <c r="F3225" s="60"/>
      <c r="G3225" s="60"/>
      <c r="H3225" s="60"/>
      <c r="I3225" s="60"/>
      <c r="J3225" s="114"/>
      <c r="K3225" s="60"/>
      <c r="L3225" s="109"/>
      <c r="M3225" s="109"/>
      <c r="N3225" s="109"/>
      <c r="O3225" s="109"/>
      <c r="P3225" s="109"/>
      <c r="Q3225" s="109"/>
      <c r="S3225" s="111"/>
      <c r="T3225" s="60"/>
      <c r="U3225" s="112"/>
    </row>
    <row r="3226" spans="4:21" s="110" customFormat="1" ht="15.75" customHeight="1">
      <c r="D3226" s="113"/>
      <c r="E3226" s="60"/>
      <c r="F3226" s="60"/>
      <c r="G3226" s="60"/>
      <c r="H3226" s="60"/>
      <c r="I3226" s="60"/>
      <c r="J3226" s="114"/>
      <c r="K3226" s="60"/>
      <c r="L3226" s="109"/>
      <c r="M3226" s="109"/>
      <c r="N3226" s="109"/>
      <c r="O3226" s="109"/>
      <c r="P3226" s="109"/>
      <c r="Q3226" s="109"/>
      <c r="S3226" s="111"/>
      <c r="T3226" s="60"/>
      <c r="U3226" s="112"/>
    </row>
    <row r="3227" spans="4:21" s="110" customFormat="1" ht="15.75" customHeight="1">
      <c r="D3227" s="113"/>
      <c r="E3227" s="60"/>
      <c r="F3227" s="60"/>
      <c r="G3227" s="60"/>
      <c r="H3227" s="60"/>
      <c r="I3227" s="60"/>
      <c r="J3227" s="114"/>
      <c r="K3227" s="60"/>
      <c r="L3227" s="109"/>
      <c r="M3227" s="109"/>
      <c r="N3227" s="109"/>
      <c r="O3227" s="109"/>
      <c r="P3227" s="109"/>
      <c r="Q3227" s="109"/>
      <c r="S3227" s="111"/>
      <c r="T3227" s="60"/>
      <c r="U3227" s="112"/>
    </row>
    <row r="3228" spans="4:21" s="110" customFormat="1" ht="15.75" customHeight="1">
      <c r="D3228" s="113"/>
      <c r="E3228" s="60"/>
      <c r="F3228" s="60"/>
      <c r="G3228" s="60"/>
      <c r="H3228" s="60"/>
      <c r="I3228" s="60"/>
      <c r="J3228" s="114"/>
      <c r="K3228" s="60"/>
      <c r="L3228" s="109"/>
      <c r="M3228" s="109"/>
      <c r="N3228" s="109"/>
      <c r="O3228" s="109"/>
      <c r="P3228" s="109"/>
      <c r="Q3228" s="109"/>
      <c r="S3228" s="111"/>
      <c r="T3228" s="60"/>
      <c r="U3228" s="112"/>
    </row>
    <row r="3229" spans="4:21" s="110" customFormat="1" ht="15.75" customHeight="1">
      <c r="D3229" s="113"/>
      <c r="E3229" s="60"/>
      <c r="F3229" s="60"/>
      <c r="G3229" s="60"/>
      <c r="H3229" s="60"/>
      <c r="I3229" s="60"/>
      <c r="J3229" s="114"/>
      <c r="K3229" s="60"/>
      <c r="L3229" s="109"/>
      <c r="M3229" s="109"/>
      <c r="N3229" s="109"/>
      <c r="O3229" s="109"/>
      <c r="P3229" s="109"/>
      <c r="Q3229" s="109"/>
      <c r="S3229" s="111"/>
      <c r="T3229" s="60"/>
      <c r="U3229" s="112"/>
    </row>
    <row r="3230" spans="4:21" s="110" customFormat="1" ht="15.75" customHeight="1">
      <c r="D3230" s="113"/>
      <c r="E3230" s="60"/>
      <c r="F3230" s="60"/>
      <c r="G3230" s="60"/>
      <c r="H3230" s="60"/>
      <c r="I3230" s="60"/>
      <c r="J3230" s="114"/>
      <c r="K3230" s="60"/>
      <c r="L3230" s="109"/>
      <c r="M3230" s="109"/>
      <c r="N3230" s="109"/>
      <c r="O3230" s="109"/>
      <c r="P3230" s="109"/>
      <c r="Q3230" s="109"/>
      <c r="S3230" s="111"/>
      <c r="T3230" s="60"/>
      <c r="U3230" s="112"/>
    </row>
    <row r="3231" spans="4:21" s="110" customFormat="1" ht="15.75" customHeight="1">
      <c r="D3231" s="113"/>
      <c r="E3231" s="60"/>
      <c r="F3231" s="60"/>
      <c r="G3231" s="60"/>
      <c r="H3231" s="60"/>
      <c r="I3231" s="60"/>
      <c r="J3231" s="114"/>
      <c r="K3231" s="60"/>
      <c r="L3231" s="109"/>
      <c r="M3231" s="109"/>
      <c r="N3231" s="109"/>
      <c r="O3231" s="109"/>
      <c r="P3231" s="109"/>
      <c r="Q3231" s="109"/>
      <c r="S3231" s="111"/>
      <c r="T3231" s="60"/>
      <c r="U3231" s="112"/>
    </row>
    <row r="3232" spans="4:21" s="110" customFormat="1" ht="15.75" customHeight="1">
      <c r="D3232" s="113"/>
      <c r="E3232" s="60"/>
      <c r="F3232" s="60"/>
      <c r="G3232" s="60"/>
      <c r="H3232" s="60"/>
      <c r="I3232" s="60"/>
      <c r="J3232" s="114"/>
      <c r="K3232" s="60"/>
      <c r="L3232" s="109"/>
      <c r="M3232" s="109"/>
      <c r="N3232" s="109"/>
      <c r="O3232" s="109"/>
      <c r="P3232" s="109"/>
      <c r="Q3232" s="109"/>
      <c r="S3232" s="111"/>
      <c r="T3232" s="60"/>
      <c r="U3232" s="112"/>
    </row>
    <row r="3233" spans="4:21" s="110" customFormat="1" ht="15.75" customHeight="1">
      <c r="D3233" s="113"/>
      <c r="E3233" s="60"/>
      <c r="F3233" s="60"/>
      <c r="G3233" s="60"/>
      <c r="H3233" s="60"/>
      <c r="I3233" s="60"/>
      <c r="J3233" s="114"/>
      <c r="K3233" s="60"/>
      <c r="L3233" s="109"/>
      <c r="M3233" s="109"/>
      <c r="N3233" s="109"/>
      <c r="O3233" s="109"/>
      <c r="P3233" s="109"/>
      <c r="Q3233" s="109"/>
      <c r="S3233" s="111"/>
      <c r="T3233" s="60"/>
      <c r="U3233" s="112"/>
    </row>
    <row r="3234" spans="4:21" s="110" customFormat="1" ht="15.75" customHeight="1">
      <c r="D3234" s="113"/>
      <c r="E3234" s="60"/>
      <c r="F3234" s="60"/>
      <c r="G3234" s="60"/>
      <c r="H3234" s="60"/>
      <c r="I3234" s="60"/>
      <c r="J3234" s="114"/>
      <c r="K3234" s="60"/>
      <c r="L3234" s="109"/>
      <c r="M3234" s="109"/>
      <c r="N3234" s="109"/>
      <c r="O3234" s="109"/>
      <c r="P3234" s="109"/>
      <c r="Q3234" s="109"/>
      <c r="S3234" s="111"/>
      <c r="T3234" s="60"/>
      <c r="U3234" s="112"/>
    </row>
    <row r="3235" spans="4:21" s="110" customFormat="1" ht="15.75" customHeight="1">
      <c r="D3235" s="113"/>
      <c r="E3235" s="60"/>
      <c r="F3235" s="60"/>
      <c r="G3235" s="60"/>
      <c r="H3235" s="60"/>
      <c r="I3235" s="60"/>
      <c r="J3235" s="114"/>
      <c r="K3235" s="60"/>
      <c r="L3235" s="109"/>
      <c r="M3235" s="109"/>
      <c r="N3235" s="109"/>
      <c r="O3235" s="109"/>
      <c r="P3235" s="109"/>
      <c r="Q3235" s="109"/>
      <c r="S3235" s="111"/>
      <c r="T3235" s="60"/>
      <c r="U3235" s="112"/>
    </row>
    <row r="3236" spans="4:21" s="110" customFormat="1" ht="15.75" customHeight="1">
      <c r="D3236" s="113"/>
      <c r="E3236" s="60"/>
      <c r="F3236" s="60"/>
      <c r="G3236" s="60"/>
      <c r="H3236" s="60"/>
      <c r="I3236" s="60"/>
      <c r="J3236" s="114"/>
      <c r="K3236" s="60"/>
      <c r="L3236" s="109"/>
      <c r="M3236" s="109"/>
      <c r="N3236" s="109"/>
      <c r="O3236" s="109"/>
      <c r="P3236" s="109"/>
      <c r="Q3236" s="109"/>
      <c r="S3236" s="111"/>
      <c r="T3236" s="60"/>
      <c r="U3236" s="112"/>
    </row>
    <row r="3237" spans="4:21" s="110" customFormat="1" ht="15.75" customHeight="1">
      <c r="D3237" s="113"/>
      <c r="E3237" s="60"/>
      <c r="F3237" s="60"/>
      <c r="G3237" s="60"/>
      <c r="H3237" s="60"/>
      <c r="I3237" s="60"/>
      <c r="J3237" s="114"/>
      <c r="K3237" s="60"/>
      <c r="L3237" s="109"/>
      <c r="M3237" s="109"/>
      <c r="N3237" s="109"/>
      <c r="O3237" s="109"/>
      <c r="P3237" s="109"/>
      <c r="Q3237" s="109"/>
      <c r="S3237" s="111"/>
      <c r="T3237" s="60"/>
      <c r="U3237" s="112"/>
    </row>
    <row r="3238" spans="4:21" s="110" customFormat="1" ht="15.75" customHeight="1">
      <c r="D3238" s="113"/>
      <c r="E3238" s="60"/>
      <c r="F3238" s="60"/>
      <c r="G3238" s="60"/>
      <c r="H3238" s="60"/>
      <c r="I3238" s="60"/>
      <c r="J3238" s="114"/>
      <c r="K3238" s="60"/>
      <c r="L3238" s="109"/>
      <c r="M3238" s="109"/>
      <c r="N3238" s="109"/>
      <c r="O3238" s="109"/>
      <c r="P3238" s="109"/>
      <c r="Q3238" s="109"/>
      <c r="S3238" s="111"/>
      <c r="T3238" s="60"/>
      <c r="U3238" s="112"/>
    </row>
    <row r="3239" spans="4:21" s="110" customFormat="1" ht="15.75" customHeight="1">
      <c r="D3239" s="113"/>
      <c r="E3239" s="60"/>
      <c r="F3239" s="60"/>
      <c r="G3239" s="60"/>
      <c r="H3239" s="60"/>
      <c r="I3239" s="60"/>
      <c r="J3239" s="114"/>
      <c r="K3239" s="60"/>
      <c r="L3239" s="109"/>
      <c r="M3239" s="109"/>
      <c r="N3239" s="109"/>
      <c r="O3239" s="109"/>
      <c r="P3239" s="109"/>
      <c r="Q3239" s="109"/>
      <c r="S3239" s="111"/>
      <c r="T3239" s="60"/>
      <c r="U3239" s="112"/>
    </row>
    <row r="3240" spans="4:21" s="110" customFormat="1" ht="15.75" customHeight="1">
      <c r="D3240" s="113"/>
      <c r="E3240" s="60"/>
      <c r="F3240" s="60"/>
      <c r="G3240" s="60"/>
      <c r="H3240" s="60"/>
      <c r="I3240" s="60"/>
      <c r="J3240" s="114"/>
      <c r="K3240" s="60"/>
      <c r="L3240" s="109"/>
      <c r="M3240" s="109"/>
      <c r="N3240" s="109"/>
      <c r="O3240" s="109"/>
      <c r="P3240" s="109"/>
      <c r="Q3240" s="109"/>
      <c r="S3240" s="111"/>
      <c r="T3240" s="60"/>
      <c r="U3240" s="112"/>
    </row>
    <row r="3241" spans="4:21" s="110" customFormat="1" ht="15.75" customHeight="1">
      <c r="D3241" s="113"/>
      <c r="E3241" s="60"/>
      <c r="F3241" s="60"/>
      <c r="G3241" s="60"/>
      <c r="H3241" s="60"/>
      <c r="I3241" s="60"/>
      <c r="J3241" s="114"/>
      <c r="K3241" s="60"/>
      <c r="L3241" s="109"/>
      <c r="M3241" s="109"/>
      <c r="N3241" s="109"/>
      <c r="O3241" s="109"/>
      <c r="P3241" s="109"/>
      <c r="Q3241" s="109"/>
      <c r="S3241" s="111"/>
      <c r="T3241" s="60"/>
      <c r="U3241" s="112"/>
    </row>
    <row r="3242" spans="4:21" s="110" customFormat="1" ht="15.75" customHeight="1">
      <c r="D3242" s="113"/>
      <c r="E3242" s="60"/>
      <c r="F3242" s="60"/>
      <c r="G3242" s="60"/>
      <c r="H3242" s="60"/>
      <c r="I3242" s="60"/>
      <c r="J3242" s="114"/>
      <c r="K3242" s="60"/>
      <c r="L3242" s="109"/>
      <c r="M3242" s="109"/>
      <c r="N3242" s="109"/>
      <c r="O3242" s="109"/>
      <c r="P3242" s="109"/>
      <c r="Q3242" s="109"/>
      <c r="S3242" s="111"/>
      <c r="T3242" s="60"/>
      <c r="U3242" s="112"/>
    </row>
    <row r="3243" spans="4:21" s="110" customFormat="1" ht="15.75" customHeight="1">
      <c r="D3243" s="113"/>
      <c r="E3243" s="60"/>
      <c r="F3243" s="60"/>
      <c r="G3243" s="60"/>
      <c r="H3243" s="60"/>
      <c r="I3243" s="60"/>
      <c r="J3243" s="114"/>
      <c r="K3243" s="60"/>
      <c r="L3243" s="109"/>
      <c r="M3243" s="109"/>
      <c r="N3243" s="109"/>
      <c r="O3243" s="109"/>
      <c r="P3243" s="109"/>
      <c r="Q3243" s="109"/>
      <c r="S3243" s="111"/>
      <c r="T3243" s="60"/>
      <c r="U3243" s="112"/>
    </row>
    <row r="3244" spans="4:21" s="110" customFormat="1" ht="15.75" customHeight="1">
      <c r="D3244" s="113"/>
      <c r="E3244" s="60"/>
      <c r="F3244" s="60"/>
      <c r="G3244" s="60"/>
      <c r="H3244" s="60"/>
      <c r="I3244" s="60"/>
      <c r="J3244" s="114"/>
      <c r="K3244" s="60"/>
      <c r="L3244" s="109"/>
      <c r="M3244" s="109"/>
      <c r="N3244" s="109"/>
      <c r="O3244" s="109"/>
      <c r="P3244" s="109"/>
      <c r="Q3244" s="109"/>
      <c r="S3244" s="111"/>
      <c r="T3244" s="60"/>
      <c r="U3244" s="112"/>
    </row>
    <row r="3245" spans="4:21" s="110" customFormat="1" ht="15.75" customHeight="1">
      <c r="D3245" s="113"/>
      <c r="E3245" s="60"/>
      <c r="F3245" s="60"/>
      <c r="G3245" s="60"/>
      <c r="H3245" s="60"/>
      <c r="I3245" s="60"/>
      <c r="J3245" s="114"/>
      <c r="K3245" s="60"/>
      <c r="L3245" s="109"/>
      <c r="M3245" s="109"/>
      <c r="N3245" s="109"/>
      <c r="O3245" s="109"/>
      <c r="P3245" s="109"/>
      <c r="Q3245" s="109"/>
      <c r="S3245" s="111"/>
      <c r="T3245" s="60"/>
      <c r="U3245" s="112"/>
    </row>
    <row r="3246" spans="4:21" s="110" customFormat="1" ht="15.75" customHeight="1">
      <c r="D3246" s="113"/>
      <c r="E3246" s="60"/>
      <c r="F3246" s="60"/>
      <c r="G3246" s="60"/>
      <c r="H3246" s="60"/>
      <c r="I3246" s="60"/>
      <c r="J3246" s="114"/>
      <c r="K3246" s="60"/>
      <c r="L3246" s="109"/>
      <c r="M3246" s="109"/>
      <c r="N3246" s="109"/>
      <c r="O3246" s="109"/>
      <c r="P3246" s="109"/>
      <c r="Q3246" s="109"/>
      <c r="S3246" s="111"/>
      <c r="T3246" s="60"/>
      <c r="U3246" s="112"/>
    </row>
    <row r="3247" spans="4:21" s="110" customFormat="1" ht="15.75" customHeight="1">
      <c r="D3247" s="113"/>
      <c r="E3247" s="60"/>
      <c r="F3247" s="60"/>
      <c r="G3247" s="60"/>
      <c r="H3247" s="60"/>
      <c r="I3247" s="60"/>
      <c r="J3247" s="114"/>
      <c r="K3247" s="60"/>
      <c r="L3247" s="109"/>
      <c r="M3247" s="109"/>
      <c r="N3247" s="109"/>
      <c r="O3247" s="109"/>
      <c r="P3247" s="109"/>
      <c r="Q3247" s="109"/>
      <c r="S3247" s="111"/>
      <c r="T3247" s="60"/>
      <c r="U3247" s="112"/>
    </row>
    <row r="3248" spans="4:21" s="110" customFormat="1" ht="15.75" customHeight="1">
      <c r="D3248" s="113"/>
      <c r="E3248" s="60"/>
      <c r="F3248" s="60"/>
      <c r="G3248" s="60"/>
      <c r="H3248" s="60"/>
      <c r="I3248" s="60"/>
      <c r="J3248" s="114"/>
      <c r="K3248" s="60"/>
      <c r="L3248" s="109"/>
      <c r="M3248" s="109"/>
      <c r="N3248" s="109"/>
      <c r="O3248" s="109"/>
      <c r="P3248" s="109"/>
      <c r="Q3248" s="109"/>
      <c r="S3248" s="111"/>
      <c r="T3248" s="60"/>
      <c r="U3248" s="112"/>
    </row>
    <row r="3249" spans="4:21" s="110" customFormat="1" ht="15.75" customHeight="1">
      <c r="D3249" s="113"/>
      <c r="E3249" s="60"/>
      <c r="F3249" s="60"/>
      <c r="G3249" s="60"/>
      <c r="H3249" s="60"/>
      <c r="I3249" s="60"/>
      <c r="J3249" s="114"/>
      <c r="K3249" s="60"/>
      <c r="L3249" s="109"/>
      <c r="M3249" s="109"/>
      <c r="N3249" s="109"/>
      <c r="O3249" s="109"/>
      <c r="P3249" s="109"/>
      <c r="Q3249" s="109"/>
      <c r="S3249" s="111"/>
      <c r="T3249" s="60"/>
      <c r="U3249" s="112"/>
    </row>
    <row r="3250" spans="4:21" s="110" customFormat="1" ht="15.75" customHeight="1">
      <c r="D3250" s="113"/>
      <c r="E3250" s="60"/>
      <c r="F3250" s="60"/>
      <c r="G3250" s="60"/>
      <c r="H3250" s="60"/>
      <c r="I3250" s="60"/>
      <c r="J3250" s="114"/>
      <c r="K3250" s="60"/>
      <c r="L3250" s="109"/>
      <c r="M3250" s="109"/>
      <c r="N3250" s="109"/>
      <c r="O3250" s="109"/>
      <c r="P3250" s="109"/>
      <c r="Q3250" s="109"/>
      <c r="S3250" s="111"/>
      <c r="T3250" s="60"/>
      <c r="U3250" s="112"/>
    </row>
    <row r="3251" spans="4:21" s="110" customFormat="1" ht="15.75" customHeight="1">
      <c r="D3251" s="113"/>
      <c r="E3251" s="60"/>
      <c r="F3251" s="60"/>
      <c r="G3251" s="60"/>
      <c r="H3251" s="60"/>
      <c r="I3251" s="60"/>
      <c r="J3251" s="114"/>
      <c r="K3251" s="60"/>
      <c r="L3251" s="109"/>
      <c r="M3251" s="109"/>
      <c r="N3251" s="109"/>
      <c r="O3251" s="109"/>
      <c r="P3251" s="109"/>
      <c r="Q3251" s="109"/>
      <c r="S3251" s="111"/>
      <c r="T3251" s="60"/>
      <c r="U3251" s="112"/>
    </row>
    <row r="3252" spans="4:21" s="110" customFormat="1" ht="15.75" customHeight="1">
      <c r="D3252" s="113"/>
      <c r="E3252" s="60"/>
      <c r="F3252" s="60"/>
      <c r="G3252" s="60"/>
      <c r="H3252" s="60"/>
      <c r="I3252" s="60"/>
      <c r="J3252" s="114"/>
      <c r="K3252" s="60"/>
      <c r="L3252" s="109"/>
      <c r="M3252" s="109"/>
      <c r="N3252" s="109"/>
      <c r="O3252" s="109"/>
      <c r="P3252" s="109"/>
      <c r="Q3252" s="109"/>
      <c r="S3252" s="111"/>
      <c r="T3252" s="60"/>
      <c r="U3252" s="112"/>
    </row>
    <row r="3253" spans="4:21" s="110" customFormat="1" ht="15.75" customHeight="1">
      <c r="D3253" s="113"/>
      <c r="E3253" s="60"/>
      <c r="F3253" s="60"/>
      <c r="G3253" s="60"/>
      <c r="H3253" s="60"/>
      <c r="I3253" s="60"/>
      <c r="J3253" s="114"/>
      <c r="K3253" s="60"/>
      <c r="L3253" s="109"/>
      <c r="M3253" s="109"/>
      <c r="N3253" s="109"/>
      <c r="O3253" s="109"/>
      <c r="P3253" s="109"/>
      <c r="Q3253" s="109"/>
      <c r="S3253" s="111"/>
      <c r="T3253" s="60"/>
      <c r="U3253" s="112"/>
    </row>
    <row r="3254" spans="4:21" s="110" customFormat="1" ht="15.75" customHeight="1">
      <c r="D3254" s="113"/>
      <c r="E3254" s="60"/>
      <c r="F3254" s="60"/>
      <c r="G3254" s="60"/>
      <c r="H3254" s="60"/>
      <c r="I3254" s="60"/>
      <c r="J3254" s="114"/>
      <c r="K3254" s="60"/>
      <c r="L3254" s="109"/>
      <c r="M3254" s="109"/>
      <c r="N3254" s="109"/>
      <c r="O3254" s="109"/>
      <c r="P3254" s="109"/>
      <c r="Q3254" s="109"/>
      <c r="S3254" s="111"/>
      <c r="T3254" s="60"/>
      <c r="U3254" s="112"/>
    </row>
    <row r="3255" spans="4:21" s="110" customFormat="1" ht="15.75" customHeight="1">
      <c r="D3255" s="113"/>
      <c r="E3255" s="60"/>
      <c r="F3255" s="60"/>
      <c r="G3255" s="60"/>
      <c r="H3255" s="60"/>
      <c r="I3255" s="60"/>
      <c r="J3255" s="114"/>
      <c r="K3255" s="60"/>
      <c r="L3255" s="109"/>
      <c r="M3255" s="109"/>
      <c r="N3255" s="109"/>
      <c r="O3255" s="109"/>
      <c r="P3255" s="109"/>
      <c r="Q3255" s="109"/>
      <c r="S3255" s="111"/>
      <c r="T3255" s="60"/>
      <c r="U3255" s="112"/>
    </row>
    <row r="3256" spans="4:21" s="110" customFormat="1" ht="15.75" customHeight="1">
      <c r="D3256" s="113"/>
      <c r="E3256" s="60"/>
      <c r="F3256" s="60"/>
      <c r="G3256" s="60"/>
      <c r="H3256" s="60"/>
      <c r="I3256" s="60"/>
      <c r="J3256" s="114"/>
      <c r="K3256" s="60"/>
      <c r="L3256" s="109"/>
      <c r="M3256" s="109"/>
      <c r="N3256" s="109"/>
      <c r="O3256" s="109"/>
      <c r="P3256" s="109"/>
      <c r="Q3256" s="109"/>
      <c r="S3256" s="111"/>
      <c r="T3256" s="60"/>
      <c r="U3256" s="112"/>
    </row>
    <row r="3257" spans="4:21" s="110" customFormat="1" ht="15.75" customHeight="1">
      <c r="D3257" s="113"/>
      <c r="E3257" s="60"/>
      <c r="F3257" s="60"/>
      <c r="G3257" s="60"/>
      <c r="H3257" s="60"/>
      <c r="I3257" s="60"/>
      <c r="J3257" s="114"/>
      <c r="K3257" s="60"/>
      <c r="L3257" s="109"/>
      <c r="M3257" s="109"/>
      <c r="N3257" s="109"/>
      <c r="O3257" s="109"/>
      <c r="P3257" s="109"/>
      <c r="Q3257" s="109"/>
      <c r="S3257" s="111"/>
      <c r="T3257" s="60"/>
      <c r="U3257" s="112"/>
    </row>
    <row r="3258" spans="4:21" s="110" customFormat="1" ht="15.75" customHeight="1">
      <c r="D3258" s="113"/>
      <c r="E3258" s="60"/>
      <c r="F3258" s="60"/>
      <c r="G3258" s="60"/>
      <c r="H3258" s="60"/>
      <c r="I3258" s="60"/>
      <c r="J3258" s="114"/>
      <c r="K3258" s="60"/>
      <c r="L3258" s="109"/>
      <c r="M3258" s="109"/>
      <c r="N3258" s="109"/>
      <c r="O3258" s="109"/>
      <c r="P3258" s="109"/>
      <c r="Q3258" s="109"/>
      <c r="S3258" s="111"/>
      <c r="T3258" s="60"/>
      <c r="U3258" s="112"/>
    </row>
    <row r="3259" spans="4:21" s="110" customFormat="1" ht="15.75" customHeight="1">
      <c r="D3259" s="113"/>
      <c r="E3259" s="60"/>
      <c r="F3259" s="60"/>
      <c r="G3259" s="60"/>
      <c r="H3259" s="60"/>
      <c r="I3259" s="60"/>
      <c r="J3259" s="114"/>
      <c r="K3259" s="60"/>
      <c r="L3259" s="109"/>
      <c r="M3259" s="109"/>
      <c r="N3259" s="109"/>
      <c r="O3259" s="109"/>
      <c r="P3259" s="109"/>
      <c r="Q3259" s="109"/>
      <c r="S3259" s="111"/>
      <c r="T3259" s="60"/>
      <c r="U3259" s="112"/>
    </row>
    <row r="3260" spans="4:21" s="110" customFormat="1" ht="15.75" customHeight="1">
      <c r="D3260" s="113"/>
      <c r="E3260" s="60"/>
      <c r="F3260" s="60"/>
      <c r="G3260" s="60"/>
      <c r="H3260" s="60"/>
      <c r="I3260" s="60"/>
      <c r="J3260" s="114"/>
      <c r="K3260" s="60"/>
      <c r="L3260" s="109"/>
      <c r="M3260" s="109"/>
      <c r="N3260" s="109"/>
      <c r="O3260" s="109"/>
      <c r="P3260" s="109"/>
      <c r="Q3260" s="109"/>
      <c r="S3260" s="111"/>
      <c r="T3260" s="60"/>
      <c r="U3260" s="112"/>
    </row>
    <row r="3261" spans="4:21" s="110" customFormat="1" ht="15.75" customHeight="1">
      <c r="D3261" s="113"/>
      <c r="E3261" s="60"/>
      <c r="F3261" s="60"/>
      <c r="G3261" s="60"/>
      <c r="H3261" s="60"/>
      <c r="I3261" s="60"/>
      <c r="J3261" s="114"/>
      <c r="K3261" s="60"/>
      <c r="L3261" s="109"/>
      <c r="M3261" s="109"/>
      <c r="N3261" s="109"/>
      <c r="O3261" s="109"/>
      <c r="P3261" s="109"/>
      <c r="Q3261" s="109"/>
      <c r="S3261" s="111"/>
      <c r="T3261" s="60"/>
      <c r="U3261" s="112"/>
    </row>
    <row r="3262" spans="4:21" s="110" customFormat="1" ht="15.75" customHeight="1">
      <c r="D3262" s="113"/>
      <c r="E3262" s="60"/>
      <c r="F3262" s="60"/>
      <c r="G3262" s="60"/>
      <c r="H3262" s="60"/>
      <c r="I3262" s="60"/>
      <c r="J3262" s="114"/>
      <c r="K3262" s="60"/>
      <c r="L3262" s="109"/>
      <c r="M3262" s="109"/>
      <c r="N3262" s="109"/>
      <c r="O3262" s="109"/>
      <c r="P3262" s="109"/>
      <c r="Q3262" s="109"/>
      <c r="S3262" s="111"/>
      <c r="T3262" s="60"/>
      <c r="U3262" s="112"/>
    </row>
    <row r="3263" spans="4:21" s="110" customFormat="1" ht="15.75" customHeight="1">
      <c r="D3263" s="113"/>
      <c r="E3263" s="60"/>
      <c r="F3263" s="60"/>
      <c r="G3263" s="60"/>
      <c r="H3263" s="60"/>
      <c r="I3263" s="60"/>
      <c r="J3263" s="114"/>
      <c r="K3263" s="60"/>
      <c r="L3263" s="109"/>
      <c r="M3263" s="109"/>
      <c r="N3263" s="109"/>
      <c r="O3263" s="109"/>
      <c r="P3263" s="109"/>
      <c r="Q3263" s="109"/>
      <c r="S3263" s="111"/>
      <c r="T3263" s="60"/>
      <c r="U3263" s="112"/>
    </row>
    <row r="3264" spans="4:21" s="110" customFormat="1" ht="15.75" customHeight="1">
      <c r="D3264" s="113"/>
      <c r="E3264" s="60"/>
      <c r="F3264" s="60"/>
      <c r="G3264" s="60"/>
      <c r="H3264" s="60"/>
      <c r="I3264" s="60"/>
      <c r="J3264" s="114"/>
      <c r="K3264" s="60"/>
      <c r="L3264" s="109"/>
      <c r="M3264" s="109"/>
      <c r="N3264" s="109"/>
      <c r="O3264" s="109"/>
      <c r="P3264" s="109"/>
      <c r="Q3264" s="109"/>
      <c r="S3264" s="111"/>
      <c r="T3264" s="60"/>
      <c r="U3264" s="112"/>
    </row>
    <row r="3265" spans="4:21" s="110" customFormat="1" ht="15.75" customHeight="1">
      <c r="D3265" s="113"/>
      <c r="E3265" s="60"/>
      <c r="F3265" s="60"/>
      <c r="G3265" s="60"/>
      <c r="H3265" s="60"/>
      <c r="I3265" s="60"/>
      <c r="J3265" s="114"/>
      <c r="K3265" s="60"/>
      <c r="L3265" s="109"/>
      <c r="M3265" s="109"/>
      <c r="N3265" s="109"/>
      <c r="O3265" s="109"/>
      <c r="P3265" s="109"/>
      <c r="Q3265" s="109"/>
      <c r="S3265" s="111"/>
      <c r="T3265" s="60"/>
      <c r="U3265" s="112"/>
    </row>
    <row r="3266" spans="4:21" s="110" customFormat="1" ht="15.75" customHeight="1">
      <c r="D3266" s="113"/>
      <c r="E3266" s="60"/>
      <c r="F3266" s="60"/>
      <c r="G3266" s="60"/>
      <c r="H3266" s="60"/>
      <c r="I3266" s="60"/>
      <c r="J3266" s="114"/>
      <c r="K3266" s="60"/>
      <c r="L3266" s="109"/>
      <c r="M3266" s="109"/>
      <c r="N3266" s="109"/>
      <c r="O3266" s="109"/>
      <c r="P3266" s="109"/>
      <c r="Q3266" s="109"/>
      <c r="S3266" s="111"/>
      <c r="T3266" s="60"/>
      <c r="U3266" s="112"/>
    </row>
    <row r="3267" spans="4:21" s="110" customFormat="1" ht="15.75" customHeight="1">
      <c r="D3267" s="113"/>
      <c r="E3267" s="60"/>
      <c r="F3267" s="60"/>
      <c r="G3267" s="60"/>
      <c r="H3267" s="60"/>
      <c r="I3267" s="60"/>
      <c r="J3267" s="114"/>
      <c r="K3267" s="60"/>
      <c r="L3267" s="109"/>
      <c r="M3267" s="109"/>
      <c r="N3267" s="109"/>
      <c r="O3267" s="109"/>
      <c r="P3267" s="109"/>
      <c r="Q3267" s="109"/>
      <c r="S3267" s="111"/>
      <c r="T3267" s="60"/>
      <c r="U3267" s="112"/>
    </row>
    <row r="3268" spans="4:21" s="110" customFormat="1" ht="15.75" customHeight="1">
      <c r="D3268" s="113"/>
      <c r="E3268" s="60"/>
      <c r="F3268" s="60"/>
      <c r="G3268" s="60"/>
      <c r="H3268" s="60"/>
      <c r="I3268" s="60"/>
      <c r="J3268" s="114"/>
      <c r="K3268" s="60"/>
      <c r="L3268" s="109"/>
      <c r="M3268" s="109"/>
      <c r="N3268" s="109"/>
      <c r="O3268" s="109"/>
      <c r="P3268" s="109"/>
      <c r="Q3268" s="109"/>
      <c r="S3268" s="111"/>
      <c r="T3268" s="60"/>
      <c r="U3268" s="112"/>
    </row>
    <row r="3269" spans="4:21" s="110" customFormat="1" ht="15.75" customHeight="1">
      <c r="D3269" s="113"/>
      <c r="E3269" s="60"/>
      <c r="F3269" s="60"/>
      <c r="G3269" s="60"/>
      <c r="H3269" s="60"/>
      <c r="I3269" s="60"/>
      <c r="J3269" s="114"/>
      <c r="K3269" s="60"/>
      <c r="L3269" s="109"/>
      <c r="M3269" s="109"/>
      <c r="N3269" s="109"/>
      <c r="O3269" s="109"/>
      <c r="P3269" s="109"/>
      <c r="Q3269" s="109"/>
      <c r="S3269" s="111"/>
      <c r="T3269" s="60"/>
      <c r="U3269" s="112"/>
    </row>
    <row r="3270" spans="4:21" s="110" customFormat="1" ht="15.75" customHeight="1">
      <c r="D3270" s="113"/>
      <c r="E3270" s="60"/>
      <c r="F3270" s="60"/>
      <c r="G3270" s="60"/>
      <c r="H3270" s="60"/>
      <c r="I3270" s="60"/>
      <c r="J3270" s="114"/>
      <c r="K3270" s="60"/>
      <c r="L3270" s="109"/>
      <c r="M3270" s="109"/>
      <c r="N3270" s="109"/>
      <c r="O3270" s="109"/>
      <c r="P3270" s="109"/>
      <c r="Q3270" s="109"/>
      <c r="S3270" s="111"/>
      <c r="T3270" s="60"/>
      <c r="U3270" s="112"/>
    </row>
    <row r="3271" spans="4:21" s="110" customFormat="1" ht="15.75" customHeight="1">
      <c r="D3271" s="113"/>
      <c r="E3271" s="60"/>
      <c r="F3271" s="60"/>
      <c r="G3271" s="60"/>
      <c r="H3271" s="60"/>
      <c r="I3271" s="60"/>
      <c r="J3271" s="114"/>
      <c r="K3271" s="60"/>
      <c r="L3271" s="109"/>
      <c r="M3271" s="109"/>
      <c r="N3271" s="109"/>
      <c r="O3271" s="109"/>
      <c r="P3271" s="109"/>
      <c r="Q3271" s="109"/>
      <c r="S3271" s="111"/>
      <c r="T3271" s="60"/>
      <c r="U3271" s="112"/>
    </row>
    <row r="3272" spans="4:21" s="110" customFormat="1" ht="15.75" customHeight="1">
      <c r="D3272" s="113"/>
      <c r="E3272" s="60"/>
      <c r="F3272" s="60"/>
      <c r="G3272" s="60"/>
      <c r="H3272" s="60"/>
      <c r="I3272" s="60"/>
      <c r="J3272" s="114"/>
      <c r="K3272" s="60"/>
      <c r="L3272" s="109"/>
      <c r="M3272" s="109"/>
      <c r="N3272" s="109"/>
      <c r="O3272" s="109"/>
      <c r="P3272" s="109"/>
      <c r="Q3272" s="109"/>
      <c r="S3272" s="111"/>
      <c r="T3272" s="60"/>
      <c r="U3272" s="112"/>
    </row>
    <row r="3273" spans="4:21" s="110" customFormat="1" ht="15.75" customHeight="1">
      <c r="D3273" s="113"/>
      <c r="E3273" s="60"/>
      <c r="F3273" s="60"/>
      <c r="G3273" s="60"/>
      <c r="H3273" s="60"/>
      <c r="I3273" s="60"/>
      <c r="J3273" s="114"/>
      <c r="K3273" s="60"/>
      <c r="L3273" s="109"/>
      <c r="M3273" s="109"/>
      <c r="N3273" s="109"/>
      <c r="O3273" s="109"/>
      <c r="P3273" s="109"/>
      <c r="Q3273" s="109"/>
      <c r="S3273" s="111"/>
      <c r="T3273" s="60"/>
      <c r="U3273" s="112"/>
    </row>
    <row r="3274" spans="4:21" s="110" customFormat="1" ht="15.75" customHeight="1">
      <c r="D3274" s="113"/>
      <c r="E3274" s="60"/>
      <c r="F3274" s="60"/>
      <c r="G3274" s="60"/>
      <c r="H3274" s="60"/>
      <c r="I3274" s="60"/>
      <c r="J3274" s="114"/>
      <c r="K3274" s="60"/>
      <c r="L3274" s="109"/>
      <c r="M3274" s="109"/>
      <c r="N3274" s="109"/>
      <c r="O3274" s="109"/>
      <c r="P3274" s="109"/>
      <c r="Q3274" s="109"/>
      <c r="S3274" s="111"/>
      <c r="T3274" s="60"/>
      <c r="U3274" s="112"/>
    </row>
    <row r="3275" spans="4:21" s="110" customFormat="1" ht="15.75" customHeight="1">
      <c r="D3275" s="113"/>
      <c r="E3275" s="60"/>
      <c r="F3275" s="60"/>
      <c r="G3275" s="60"/>
      <c r="H3275" s="60"/>
      <c r="I3275" s="60"/>
      <c r="J3275" s="114"/>
      <c r="K3275" s="60"/>
      <c r="L3275" s="109"/>
      <c r="M3275" s="109"/>
      <c r="N3275" s="109"/>
      <c r="O3275" s="109"/>
      <c r="P3275" s="109"/>
      <c r="Q3275" s="109"/>
      <c r="S3275" s="111"/>
      <c r="T3275" s="60"/>
      <c r="U3275" s="112"/>
    </row>
    <row r="3276" spans="4:21" s="110" customFormat="1" ht="15.75" customHeight="1">
      <c r="D3276" s="113"/>
      <c r="E3276" s="60"/>
      <c r="F3276" s="60"/>
      <c r="G3276" s="60"/>
      <c r="H3276" s="60"/>
      <c r="I3276" s="60"/>
      <c r="J3276" s="114"/>
      <c r="K3276" s="60"/>
      <c r="L3276" s="109"/>
      <c r="M3276" s="109"/>
      <c r="N3276" s="109"/>
      <c r="O3276" s="109"/>
      <c r="P3276" s="109"/>
      <c r="Q3276" s="109"/>
      <c r="S3276" s="111"/>
      <c r="T3276" s="60"/>
      <c r="U3276" s="112"/>
    </row>
    <row r="3277" spans="4:21" s="110" customFormat="1" ht="15.75" customHeight="1">
      <c r="D3277" s="113"/>
      <c r="E3277" s="60"/>
      <c r="F3277" s="60"/>
      <c r="G3277" s="60"/>
      <c r="H3277" s="60"/>
      <c r="I3277" s="60"/>
      <c r="J3277" s="114"/>
      <c r="K3277" s="60"/>
      <c r="L3277" s="109"/>
      <c r="M3277" s="109"/>
      <c r="N3277" s="109"/>
      <c r="O3277" s="109"/>
      <c r="P3277" s="109"/>
      <c r="Q3277" s="109"/>
      <c r="S3277" s="111"/>
      <c r="T3277" s="60"/>
      <c r="U3277" s="112"/>
    </row>
    <row r="3278" spans="4:21" s="110" customFormat="1" ht="15.75" customHeight="1">
      <c r="D3278" s="113"/>
      <c r="E3278" s="60"/>
      <c r="F3278" s="60"/>
      <c r="G3278" s="60"/>
      <c r="H3278" s="60"/>
      <c r="I3278" s="60"/>
      <c r="J3278" s="114"/>
      <c r="K3278" s="60"/>
      <c r="L3278" s="109"/>
      <c r="M3278" s="109"/>
      <c r="N3278" s="109"/>
      <c r="O3278" s="109"/>
      <c r="P3278" s="109"/>
      <c r="Q3278" s="109"/>
      <c r="S3278" s="111"/>
      <c r="T3278" s="60"/>
      <c r="U3278" s="112"/>
    </row>
    <row r="3279" spans="4:21" s="110" customFormat="1" ht="15.75" customHeight="1">
      <c r="D3279" s="113"/>
      <c r="E3279" s="60"/>
      <c r="F3279" s="60"/>
      <c r="G3279" s="60"/>
      <c r="H3279" s="60"/>
      <c r="I3279" s="60"/>
      <c r="J3279" s="114"/>
      <c r="K3279" s="60"/>
      <c r="L3279" s="109"/>
      <c r="M3279" s="109"/>
      <c r="N3279" s="109"/>
      <c r="O3279" s="109"/>
      <c r="P3279" s="109"/>
      <c r="Q3279" s="109"/>
      <c r="S3279" s="111"/>
      <c r="T3279" s="60"/>
      <c r="U3279" s="112"/>
    </row>
    <row r="3280" spans="4:21" s="110" customFormat="1" ht="15.75" customHeight="1">
      <c r="D3280" s="113"/>
      <c r="E3280" s="60"/>
      <c r="F3280" s="60"/>
      <c r="G3280" s="60"/>
      <c r="H3280" s="60"/>
      <c r="I3280" s="60"/>
      <c r="J3280" s="114"/>
      <c r="K3280" s="60"/>
      <c r="L3280" s="109"/>
      <c r="M3280" s="109"/>
      <c r="N3280" s="109"/>
      <c r="O3280" s="109"/>
      <c r="P3280" s="109"/>
      <c r="Q3280" s="109"/>
      <c r="S3280" s="111"/>
      <c r="T3280" s="60"/>
      <c r="U3280" s="112"/>
    </row>
    <row r="3281" spans="4:21" s="110" customFormat="1" ht="15.75" customHeight="1">
      <c r="D3281" s="113"/>
      <c r="E3281" s="60"/>
      <c r="F3281" s="60"/>
      <c r="G3281" s="60"/>
      <c r="H3281" s="60"/>
      <c r="I3281" s="60"/>
      <c r="J3281" s="114"/>
      <c r="K3281" s="60"/>
      <c r="L3281" s="109"/>
      <c r="M3281" s="109"/>
      <c r="N3281" s="109"/>
      <c r="O3281" s="109"/>
      <c r="P3281" s="109"/>
      <c r="Q3281" s="109"/>
      <c r="S3281" s="111"/>
      <c r="T3281" s="60"/>
      <c r="U3281" s="112"/>
    </row>
    <row r="3282" spans="4:21" s="110" customFormat="1" ht="15.75" customHeight="1">
      <c r="D3282" s="113"/>
      <c r="E3282" s="60"/>
      <c r="F3282" s="60"/>
      <c r="G3282" s="60"/>
      <c r="H3282" s="60"/>
      <c r="I3282" s="60"/>
      <c r="J3282" s="114"/>
      <c r="K3282" s="60"/>
      <c r="L3282" s="109"/>
      <c r="M3282" s="109"/>
      <c r="N3282" s="109"/>
      <c r="O3282" s="109"/>
      <c r="P3282" s="109"/>
      <c r="Q3282" s="109"/>
      <c r="S3282" s="111"/>
      <c r="T3282" s="60"/>
      <c r="U3282" s="112"/>
    </row>
    <row r="3283" spans="4:21" s="110" customFormat="1" ht="15.75" customHeight="1">
      <c r="D3283" s="113"/>
      <c r="E3283" s="60"/>
      <c r="F3283" s="60"/>
      <c r="G3283" s="60"/>
      <c r="H3283" s="60"/>
      <c r="I3283" s="60"/>
      <c r="J3283" s="114"/>
      <c r="K3283" s="60"/>
      <c r="L3283" s="109"/>
      <c r="M3283" s="109"/>
      <c r="N3283" s="109"/>
      <c r="O3283" s="109"/>
      <c r="P3283" s="109"/>
      <c r="Q3283" s="109"/>
      <c r="S3283" s="111"/>
      <c r="T3283" s="60"/>
      <c r="U3283" s="112"/>
    </row>
    <row r="3284" spans="4:21" s="110" customFormat="1" ht="15.75" customHeight="1">
      <c r="D3284" s="113"/>
      <c r="E3284" s="60"/>
      <c r="F3284" s="60"/>
      <c r="G3284" s="60"/>
      <c r="H3284" s="60"/>
      <c r="I3284" s="60"/>
      <c r="J3284" s="114"/>
      <c r="K3284" s="60"/>
      <c r="L3284" s="109"/>
      <c r="M3284" s="109"/>
      <c r="N3284" s="109"/>
      <c r="O3284" s="109"/>
      <c r="P3284" s="109"/>
      <c r="Q3284" s="109"/>
      <c r="S3284" s="111"/>
      <c r="T3284" s="60"/>
      <c r="U3284" s="112"/>
    </row>
    <row r="3285" spans="4:21" s="110" customFormat="1" ht="15.75" customHeight="1">
      <c r="D3285" s="113"/>
      <c r="E3285" s="60"/>
      <c r="F3285" s="60"/>
      <c r="G3285" s="60"/>
      <c r="H3285" s="60"/>
      <c r="I3285" s="60"/>
      <c r="J3285" s="114"/>
      <c r="K3285" s="60"/>
      <c r="L3285" s="109"/>
      <c r="M3285" s="109"/>
      <c r="N3285" s="109"/>
      <c r="O3285" s="109"/>
      <c r="P3285" s="109"/>
      <c r="Q3285" s="109"/>
      <c r="S3285" s="111"/>
      <c r="T3285" s="60"/>
      <c r="U3285" s="112"/>
    </row>
    <row r="3286" spans="4:21" s="110" customFormat="1" ht="15.75" customHeight="1">
      <c r="D3286" s="113"/>
      <c r="E3286" s="60"/>
      <c r="F3286" s="60"/>
      <c r="G3286" s="60"/>
      <c r="H3286" s="60"/>
      <c r="I3286" s="60"/>
      <c r="J3286" s="114"/>
      <c r="K3286" s="60"/>
      <c r="L3286" s="109"/>
      <c r="M3286" s="109"/>
      <c r="N3286" s="109"/>
      <c r="O3286" s="109"/>
      <c r="P3286" s="109"/>
      <c r="Q3286" s="109"/>
      <c r="S3286" s="111"/>
      <c r="T3286" s="60"/>
      <c r="U3286" s="112"/>
    </row>
    <row r="3287" spans="4:21" s="110" customFormat="1" ht="15.75" customHeight="1">
      <c r="D3287" s="113"/>
      <c r="E3287" s="60"/>
      <c r="F3287" s="60"/>
      <c r="G3287" s="60"/>
      <c r="H3287" s="60"/>
      <c r="I3287" s="60"/>
      <c r="J3287" s="114"/>
      <c r="K3287" s="60"/>
      <c r="L3287" s="109"/>
      <c r="M3287" s="109"/>
      <c r="N3287" s="109"/>
      <c r="O3287" s="109"/>
      <c r="P3287" s="109"/>
      <c r="Q3287" s="109"/>
      <c r="S3287" s="111"/>
      <c r="T3287" s="60"/>
      <c r="U3287" s="112"/>
    </row>
    <row r="3288" spans="4:21" s="110" customFormat="1" ht="15.75" customHeight="1">
      <c r="D3288" s="113"/>
      <c r="E3288" s="60"/>
      <c r="F3288" s="60"/>
      <c r="G3288" s="60"/>
      <c r="H3288" s="60"/>
      <c r="I3288" s="60"/>
      <c r="J3288" s="114"/>
      <c r="K3288" s="60"/>
      <c r="L3288" s="109"/>
      <c r="M3288" s="109"/>
      <c r="N3288" s="109"/>
      <c r="O3288" s="109"/>
      <c r="P3288" s="109"/>
      <c r="Q3288" s="109"/>
      <c r="S3288" s="111"/>
      <c r="T3288" s="60"/>
      <c r="U3288" s="112"/>
    </row>
    <row r="3289" spans="4:21" s="110" customFormat="1" ht="15.75" customHeight="1">
      <c r="D3289" s="113"/>
      <c r="E3289" s="60"/>
      <c r="F3289" s="60"/>
      <c r="G3289" s="60"/>
      <c r="H3289" s="60"/>
      <c r="I3289" s="60"/>
      <c r="J3289" s="114"/>
      <c r="K3289" s="60"/>
      <c r="L3289" s="109"/>
      <c r="M3289" s="109"/>
      <c r="N3289" s="109"/>
      <c r="O3289" s="109"/>
      <c r="P3289" s="109"/>
      <c r="Q3289" s="109"/>
      <c r="S3289" s="111"/>
      <c r="T3289" s="60"/>
      <c r="U3289" s="112"/>
    </row>
    <row r="3290" spans="4:21" s="110" customFormat="1" ht="15.75" customHeight="1">
      <c r="D3290" s="113"/>
      <c r="E3290" s="60"/>
      <c r="F3290" s="60"/>
      <c r="G3290" s="60"/>
      <c r="H3290" s="60"/>
      <c r="I3290" s="60"/>
      <c r="J3290" s="114"/>
      <c r="K3290" s="60"/>
      <c r="L3290" s="109"/>
      <c r="M3290" s="109"/>
      <c r="N3290" s="109"/>
      <c r="O3290" s="109"/>
      <c r="P3290" s="109"/>
      <c r="Q3290" s="109"/>
      <c r="S3290" s="111"/>
      <c r="T3290" s="60"/>
      <c r="U3290" s="112"/>
    </row>
    <row r="3291" spans="4:21" s="110" customFormat="1" ht="15.75" customHeight="1">
      <c r="D3291" s="113"/>
      <c r="E3291" s="60"/>
      <c r="F3291" s="60"/>
      <c r="G3291" s="60"/>
      <c r="H3291" s="60"/>
      <c r="I3291" s="60"/>
      <c r="J3291" s="114"/>
      <c r="K3291" s="60"/>
      <c r="L3291" s="109"/>
      <c r="M3291" s="109"/>
      <c r="N3291" s="109"/>
      <c r="O3291" s="109"/>
      <c r="P3291" s="109"/>
      <c r="Q3291" s="109"/>
      <c r="S3291" s="111"/>
      <c r="T3291" s="60"/>
      <c r="U3291" s="112"/>
    </row>
    <row r="3292" spans="4:21" s="110" customFormat="1" ht="15.75" customHeight="1">
      <c r="D3292" s="113"/>
      <c r="E3292" s="60"/>
      <c r="F3292" s="60"/>
      <c r="G3292" s="60"/>
      <c r="H3292" s="60"/>
      <c r="I3292" s="60"/>
      <c r="J3292" s="114"/>
      <c r="K3292" s="60"/>
      <c r="L3292" s="109"/>
      <c r="M3292" s="109"/>
      <c r="N3292" s="109"/>
      <c r="O3292" s="109"/>
      <c r="P3292" s="109"/>
      <c r="Q3292" s="109"/>
      <c r="S3292" s="111"/>
      <c r="T3292" s="60"/>
      <c r="U3292" s="112"/>
    </row>
    <row r="3293" spans="4:21" s="110" customFormat="1" ht="15.75" customHeight="1">
      <c r="D3293" s="113"/>
      <c r="E3293" s="60"/>
      <c r="F3293" s="60"/>
      <c r="G3293" s="60"/>
      <c r="H3293" s="60"/>
      <c r="I3293" s="60"/>
      <c r="J3293" s="114"/>
      <c r="K3293" s="60"/>
      <c r="L3293" s="109"/>
      <c r="M3293" s="109"/>
      <c r="N3293" s="109"/>
      <c r="O3293" s="109"/>
      <c r="P3293" s="109"/>
      <c r="Q3293" s="109"/>
      <c r="S3293" s="111"/>
      <c r="T3293" s="60"/>
      <c r="U3293" s="112"/>
    </row>
    <row r="3294" spans="4:21" s="110" customFormat="1" ht="15.75" customHeight="1">
      <c r="D3294" s="113"/>
      <c r="E3294" s="60"/>
      <c r="F3294" s="60"/>
      <c r="G3294" s="60"/>
      <c r="H3294" s="60"/>
      <c r="I3294" s="60"/>
      <c r="J3294" s="114"/>
      <c r="K3294" s="60"/>
      <c r="L3294" s="109"/>
      <c r="M3294" s="109"/>
      <c r="N3294" s="109"/>
      <c r="O3294" s="109"/>
      <c r="P3294" s="109"/>
      <c r="Q3294" s="109"/>
      <c r="S3294" s="111"/>
      <c r="T3294" s="60"/>
      <c r="U3294" s="112"/>
    </row>
    <row r="3295" spans="4:21" s="110" customFormat="1" ht="15.75" customHeight="1">
      <c r="D3295" s="113"/>
      <c r="E3295" s="60"/>
      <c r="F3295" s="60"/>
      <c r="G3295" s="60"/>
      <c r="H3295" s="60"/>
      <c r="I3295" s="60"/>
      <c r="J3295" s="114"/>
      <c r="K3295" s="60"/>
      <c r="L3295" s="109"/>
      <c r="M3295" s="109"/>
      <c r="N3295" s="109"/>
      <c r="O3295" s="109"/>
      <c r="P3295" s="109"/>
      <c r="Q3295" s="109"/>
      <c r="S3295" s="111"/>
      <c r="T3295" s="60"/>
      <c r="U3295" s="112"/>
    </row>
    <row r="3296" spans="4:21" s="110" customFormat="1" ht="15.75" customHeight="1">
      <c r="D3296" s="113"/>
      <c r="E3296" s="60"/>
      <c r="F3296" s="60"/>
      <c r="G3296" s="60"/>
      <c r="H3296" s="60"/>
      <c r="I3296" s="60"/>
      <c r="J3296" s="114"/>
      <c r="K3296" s="60"/>
      <c r="L3296" s="109"/>
      <c r="M3296" s="109"/>
      <c r="N3296" s="109"/>
      <c r="O3296" s="109"/>
      <c r="P3296" s="109"/>
      <c r="Q3296" s="109"/>
      <c r="S3296" s="111"/>
      <c r="T3296" s="60"/>
      <c r="U3296" s="112"/>
    </row>
    <row r="3297" spans="4:21" s="110" customFormat="1" ht="15.75" customHeight="1">
      <c r="D3297" s="113"/>
      <c r="E3297" s="60"/>
      <c r="F3297" s="60"/>
      <c r="G3297" s="60"/>
      <c r="H3297" s="60"/>
      <c r="I3297" s="60"/>
      <c r="J3297" s="114"/>
      <c r="K3297" s="60"/>
      <c r="L3297" s="109"/>
      <c r="M3297" s="109"/>
      <c r="N3297" s="109"/>
      <c r="O3297" s="109"/>
      <c r="P3297" s="109"/>
      <c r="Q3297" s="109"/>
      <c r="S3297" s="111"/>
      <c r="T3297" s="60"/>
      <c r="U3297" s="112"/>
    </row>
    <row r="3298" spans="4:21" s="110" customFormat="1" ht="15.75" customHeight="1">
      <c r="D3298" s="113"/>
      <c r="E3298" s="60"/>
      <c r="F3298" s="60"/>
      <c r="G3298" s="60"/>
      <c r="H3298" s="60"/>
      <c r="I3298" s="60"/>
      <c r="J3298" s="114"/>
      <c r="K3298" s="60"/>
      <c r="L3298" s="109"/>
      <c r="M3298" s="109"/>
      <c r="N3298" s="109"/>
      <c r="O3298" s="109"/>
      <c r="P3298" s="109"/>
      <c r="Q3298" s="109"/>
      <c r="S3298" s="111"/>
      <c r="T3298" s="60"/>
      <c r="U3298" s="112"/>
    </row>
    <row r="3299" spans="4:21" s="110" customFormat="1" ht="15.75" customHeight="1">
      <c r="D3299" s="113"/>
      <c r="E3299" s="60"/>
      <c r="F3299" s="60"/>
      <c r="G3299" s="60"/>
      <c r="H3299" s="60"/>
      <c r="I3299" s="60"/>
      <c r="J3299" s="114"/>
      <c r="K3299" s="60"/>
      <c r="L3299" s="109"/>
      <c r="M3299" s="109"/>
      <c r="N3299" s="109"/>
      <c r="O3299" s="109"/>
      <c r="P3299" s="109"/>
      <c r="Q3299" s="109"/>
      <c r="S3299" s="111"/>
      <c r="T3299" s="60"/>
      <c r="U3299" s="112"/>
    </row>
    <row r="3300" spans="4:21" s="110" customFormat="1" ht="15.75" customHeight="1">
      <c r="D3300" s="113"/>
      <c r="E3300" s="60"/>
      <c r="F3300" s="60"/>
      <c r="G3300" s="60"/>
      <c r="H3300" s="60"/>
      <c r="I3300" s="60"/>
      <c r="J3300" s="114"/>
      <c r="K3300" s="60"/>
      <c r="L3300" s="109"/>
      <c r="M3300" s="109"/>
      <c r="N3300" s="109"/>
      <c r="O3300" s="109"/>
      <c r="P3300" s="109"/>
      <c r="Q3300" s="109"/>
      <c r="S3300" s="111"/>
      <c r="T3300" s="60"/>
      <c r="U3300" s="112"/>
    </row>
    <row r="3301" spans="4:21" s="110" customFormat="1" ht="15.75" customHeight="1">
      <c r="D3301" s="113"/>
      <c r="E3301" s="60"/>
      <c r="F3301" s="60"/>
      <c r="G3301" s="60"/>
      <c r="H3301" s="60"/>
      <c r="I3301" s="60"/>
      <c r="J3301" s="114"/>
      <c r="K3301" s="60"/>
      <c r="L3301" s="109"/>
      <c r="M3301" s="109"/>
      <c r="N3301" s="109"/>
      <c r="O3301" s="109"/>
      <c r="P3301" s="109"/>
      <c r="Q3301" s="109"/>
      <c r="S3301" s="111"/>
      <c r="T3301" s="60"/>
      <c r="U3301" s="112"/>
    </row>
    <row r="3302" spans="4:21" s="110" customFormat="1" ht="15.75" customHeight="1">
      <c r="D3302" s="113"/>
      <c r="E3302" s="60"/>
      <c r="F3302" s="60"/>
      <c r="G3302" s="60"/>
      <c r="H3302" s="60"/>
      <c r="I3302" s="60"/>
      <c r="J3302" s="114"/>
      <c r="K3302" s="60"/>
      <c r="L3302" s="109"/>
      <c r="M3302" s="109"/>
      <c r="N3302" s="109"/>
      <c r="O3302" s="109"/>
      <c r="P3302" s="109"/>
      <c r="Q3302" s="109"/>
      <c r="S3302" s="111"/>
      <c r="T3302" s="60"/>
      <c r="U3302" s="112"/>
    </row>
    <row r="3303" spans="4:21" s="110" customFormat="1" ht="15.75" customHeight="1">
      <c r="D3303" s="113"/>
      <c r="E3303" s="60"/>
      <c r="F3303" s="60"/>
      <c r="G3303" s="60"/>
      <c r="H3303" s="60"/>
      <c r="I3303" s="60"/>
      <c r="J3303" s="114"/>
      <c r="K3303" s="60"/>
      <c r="L3303" s="109"/>
      <c r="M3303" s="109"/>
      <c r="N3303" s="109"/>
      <c r="O3303" s="109"/>
      <c r="P3303" s="109"/>
      <c r="Q3303" s="109"/>
      <c r="S3303" s="111"/>
      <c r="T3303" s="60"/>
      <c r="U3303" s="112"/>
    </row>
    <row r="3304" spans="4:21" s="110" customFormat="1" ht="15.75" customHeight="1">
      <c r="D3304" s="113"/>
      <c r="E3304" s="60"/>
      <c r="F3304" s="60"/>
      <c r="G3304" s="60"/>
      <c r="H3304" s="60"/>
      <c r="I3304" s="60"/>
      <c r="J3304" s="114"/>
      <c r="K3304" s="60"/>
      <c r="L3304" s="109"/>
      <c r="M3304" s="109"/>
      <c r="N3304" s="109"/>
      <c r="O3304" s="109"/>
      <c r="P3304" s="109"/>
      <c r="Q3304" s="109"/>
      <c r="S3304" s="111"/>
      <c r="T3304" s="60"/>
      <c r="U3304" s="112"/>
    </row>
    <row r="3305" spans="4:21" s="110" customFormat="1" ht="15.75" customHeight="1">
      <c r="D3305" s="113"/>
      <c r="E3305" s="60"/>
      <c r="F3305" s="60"/>
      <c r="G3305" s="60"/>
      <c r="H3305" s="60"/>
      <c r="I3305" s="60"/>
      <c r="J3305" s="114"/>
      <c r="K3305" s="60"/>
      <c r="L3305" s="109"/>
      <c r="M3305" s="109"/>
      <c r="N3305" s="109"/>
      <c r="O3305" s="109"/>
      <c r="P3305" s="109"/>
      <c r="Q3305" s="109"/>
      <c r="S3305" s="111"/>
      <c r="T3305" s="60"/>
      <c r="U3305" s="112"/>
    </row>
    <row r="3306" spans="4:21" s="110" customFormat="1" ht="15.75" customHeight="1">
      <c r="D3306" s="113"/>
      <c r="E3306" s="60"/>
      <c r="F3306" s="60"/>
      <c r="G3306" s="60"/>
      <c r="H3306" s="60"/>
      <c r="I3306" s="60"/>
      <c r="J3306" s="114"/>
      <c r="K3306" s="60"/>
      <c r="L3306" s="109"/>
      <c r="M3306" s="109"/>
      <c r="N3306" s="109"/>
      <c r="O3306" s="109"/>
      <c r="P3306" s="109"/>
      <c r="Q3306" s="109"/>
      <c r="S3306" s="111"/>
      <c r="T3306" s="60"/>
      <c r="U3306" s="112"/>
    </row>
    <row r="3307" spans="4:21" s="110" customFormat="1" ht="15.75" customHeight="1">
      <c r="D3307" s="113"/>
      <c r="E3307" s="60"/>
      <c r="F3307" s="60"/>
      <c r="G3307" s="60"/>
      <c r="H3307" s="60"/>
      <c r="I3307" s="60"/>
      <c r="J3307" s="114"/>
      <c r="K3307" s="60"/>
      <c r="L3307" s="109"/>
      <c r="M3307" s="109"/>
      <c r="N3307" s="109"/>
      <c r="O3307" s="109"/>
      <c r="P3307" s="109"/>
      <c r="Q3307" s="109"/>
      <c r="S3307" s="111"/>
      <c r="T3307" s="60"/>
      <c r="U3307" s="112"/>
    </row>
    <row r="3308" spans="4:21" s="110" customFormat="1" ht="15.75" customHeight="1">
      <c r="D3308" s="113"/>
      <c r="E3308" s="60"/>
      <c r="F3308" s="60"/>
      <c r="G3308" s="60"/>
      <c r="H3308" s="60"/>
      <c r="I3308" s="60"/>
      <c r="J3308" s="114"/>
      <c r="K3308" s="60"/>
      <c r="L3308" s="109"/>
      <c r="M3308" s="109"/>
      <c r="N3308" s="109"/>
      <c r="O3308" s="109"/>
      <c r="P3308" s="109"/>
      <c r="Q3308" s="109"/>
      <c r="S3308" s="111"/>
      <c r="T3308" s="60"/>
      <c r="U3308" s="112"/>
    </row>
    <row r="3309" spans="4:21" s="110" customFormat="1" ht="15.75" customHeight="1">
      <c r="D3309" s="113"/>
      <c r="E3309" s="60"/>
      <c r="F3309" s="60"/>
      <c r="G3309" s="60"/>
      <c r="H3309" s="60"/>
      <c r="I3309" s="60"/>
      <c r="J3309" s="114"/>
      <c r="K3309" s="60"/>
      <c r="L3309" s="109"/>
      <c r="M3309" s="109"/>
      <c r="N3309" s="109"/>
      <c r="O3309" s="109"/>
      <c r="P3309" s="109"/>
      <c r="Q3309" s="109"/>
      <c r="S3309" s="111"/>
      <c r="T3309" s="60"/>
      <c r="U3309" s="112"/>
    </row>
    <row r="3310" spans="4:21" s="110" customFormat="1" ht="15.75" customHeight="1">
      <c r="D3310" s="113"/>
      <c r="E3310" s="60"/>
      <c r="F3310" s="60"/>
      <c r="G3310" s="60"/>
      <c r="H3310" s="60"/>
      <c r="I3310" s="60"/>
      <c r="J3310" s="114"/>
      <c r="K3310" s="60"/>
      <c r="L3310" s="109"/>
      <c r="M3310" s="109"/>
      <c r="N3310" s="109"/>
      <c r="O3310" s="109"/>
      <c r="P3310" s="109"/>
      <c r="Q3310" s="109"/>
      <c r="S3310" s="111"/>
      <c r="T3310" s="60"/>
      <c r="U3310" s="112"/>
    </row>
    <row r="3311" spans="4:21" s="110" customFormat="1" ht="15.75" customHeight="1">
      <c r="D3311" s="113"/>
      <c r="E3311" s="60"/>
      <c r="F3311" s="60"/>
      <c r="G3311" s="60"/>
      <c r="H3311" s="60"/>
      <c r="I3311" s="60"/>
      <c r="J3311" s="114"/>
      <c r="K3311" s="60"/>
      <c r="L3311" s="109"/>
      <c r="M3311" s="109"/>
      <c r="N3311" s="109"/>
      <c r="O3311" s="109"/>
      <c r="P3311" s="109"/>
      <c r="Q3311" s="109"/>
      <c r="S3311" s="111"/>
      <c r="T3311" s="60"/>
      <c r="U3311" s="112"/>
    </row>
    <row r="3312" spans="4:21" s="110" customFormat="1" ht="15.75" customHeight="1">
      <c r="D3312" s="113"/>
      <c r="E3312" s="60"/>
      <c r="F3312" s="60"/>
      <c r="G3312" s="60"/>
      <c r="H3312" s="60"/>
      <c r="I3312" s="60"/>
      <c r="J3312" s="114"/>
      <c r="K3312" s="60"/>
      <c r="L3312" s="109"/>
      <c r="M3312" s="109"/>
      <c r="N3312" s="109"/>
      <c r="O3312" s="109"/>
      <c r="P3312" s="109"/>
      <c r="Q3312" s="109"/>
      <c r="S3312" s="111"/>
      <c r="T3312" s="60"/>
      <c r="U3312" s="112"/>
    </row>
    <row r="3313" spans="4:21" s="110" customFormat="1" ht="15.75" customHeight="1">
      <c r="D3313" s="113"/>
      <c r="E3313" s="60"/>
      <c r="F3313" s="60"/>
      <c r="G3313" s="60"/>
      <c r="H3313" s="60"/>
      <c r="I3313" s="60"/>
      <c r="J3313" s="114"/>
      <c r="K3313" s="60"/>
      <c r="L3313" s="109"/>
      <c r="M3313" s="109"/>
      <c r="N3313" s="109"/>
      <c r="O3313" s="109"/>
      <c r="P3313" s="109"/>
      <c r="Q3313" s="109"/>
      <c r="S3313" s="111"/>
      <c r="T3313" s="60"/>
      <c r="U3313" s="112"/>
    </row>
    <row r="3314" spans="4:21" s="110" customFormat="1" ht="15.75" customHeight="1">
      <c r="D3314" s="113"/>
      <c r="E3314" s="60"/>
      <c r="F3314" s="60"/>
      <c r="G3314" s="60"/>
      <c r="H3314" s="60"/>
      <c r="I3314" s="60"/>
      <c r="J3314" s="114"/>
      <c r="K3314" s="60"/>
      <c r="L3314" s="109"/>
      <c r="M3314" s="109"/>
      <c r="N3314" s="109"/>
      <c r="O3314" s="109"/>
      <c r="P3314" s="109"/>
      <c r="Q3314" s="109"/>
      <c r="S3314" s="111"/>
      <c r="T3314" s="60"/>
      <c r="U3314" s="112"/>
    </row>
    <row r="3315" spans="4:21" s="110" customFormat="1" ht="15.75" customHeight="1">
      <c r="D3315" s="113"/>
      <c r="E3315" s="60"/>
      <c r="F3315" s="60"/>
      <c r="G3315" s="60"/>
      <c r="H3315" s="60"/>
      <c r="I3315" s="60"/>
      <c r="J3315" s="114"/>
      <c r="K3315" s="60"/>
      <c r="L3315" s="109"/>
      <c r="M3315" s="109"/>
      <c r="N3315" s="109"/>
      <c r="O3315" s="109"/>
      <c r="P3315" s="109"/>
      <c r="Q3315" s="109"/>
      <c r="S3315" s="111"/>
      <c r="T3315" s="60"/>
      <c r="U3315" s="112"/>
    </row>
    <row r="3316" spans="4:21" s="110" customFormat="1" ht="15.75" customHeight="1">
      <c r="D3316" s="113"/>
      <c r="E3316" s="60"/>
      <c r="F3316" s="60"/>
      <c r="G3316" s="60"/>
      <c r="H3316" s="60"/>
      <c r="I3316" s="60"/>
      <c r="J3316" s="114"/>
      <c r="K3316" s="60"/>
      <c r="L3316" s="109"/>
      <c r="M3316" s="109"/>
      <c r="N3316" s="109"/>
      <c r="O3316" s="109"/>
      <c r="P3316" s="109"/>
      <c r="Q3316" s="109"/>
      <c r="S3316" s="111"/>
      <c r="T3316" s="60"/>
      <c r="U3316" s="112"/>
    </row>
    <row r="3317" spans="4:21" s="110" customFormat="1" ht="15.75" customHeight="1">
      <c r="D3317" s="113"/>
      <c r="E3317" s="60"/>
      <c r="F3317" s="60"/>
      <c r="G3317" s="60"/>
      <c r="H3317" s="60"/>
      <c r="I3317" s="60"/>
      <c r="J3317" s="114"/>
      <c r="K3317" s="60"/>
      <c r="L3317" s="109"/>
      <c r="M3317" s="109"/>
      <c r="N3317" s="109"/>
      <c r="O3317" s="109"/>
      <c r="P3317" s="109"/>
      <c r="Q3317" s="109"/>
      <c r="S3317" s="111"/>
      <c r="T3317" s="60"/>
      <c r="U3317" s="112"/>
    </row>
    <row r="3318" spans="4:21" s="110" customFormat="1" ht="15.75" customHeight="1">
      <c r="D3318" s="113"/>
      <c r="E3318" s="60"/>
      <c r="F3318" s="60"/>
      <c r="G3318" s="60"/>
      <c r="H3318" s="60"/>
      <c r="I3318" s="60"/>
      <c r="J3318" s="114"/>
      <c r="K3318" s="60"/>
      <c r="L3318" s="109"/>
      <c r="M3318" s="109"/>
      <c r="N3318" s="109"/>
      <c r="O3318" s="109"/>
      <c r="P3318" s="109"/>
      <c r="Q3318" s="109"/>
      <c r="S3318" s="111"/>
      <c r="T3318" s="60"/>
      <c r="U3318" s="112"/>
    </row>
    <row r="3319" spans="4:21" s="110" customFormat="1" ht="15.75" customHeight="1">
      <c r="D3319" s="113"/>
      <c r="E3319" s="60"/>
      <c r="F3319" s="60"/>
      <c r="G3319" s="60"/>
      <c r="H3319" s="60"/>
      <c r="I3319" s="60"/>
      <c r="J3319" s="114"/>
      <c r="K3319" s="60"/>
      <c r="L3319" s="109"/>
      <c r="M3319" s="109"/>
      <c r="N3319" s="109"/>
      <c r="O3319" s="109"/>
      <c r="P3319" s="109"/>
      <c r="Q3319" s="109"/>
      <c r="S3319" s="111"/>
      <c r="T3319" s="60"/>
      <c r="U3319" s="112"/>
    </row>
    <row r="3320" spans="4:21" s="110" customFormat="1" ht="15.75" customHeight="1">
      <c r="D3320" s="113"/>
      <c r="E3320" s="60"/>
      <c r="F3320" s="60"/>
      <c r="G3320" s="60"/>
      <c r="H3320" s="60"/>
      <c r="I3320" s="60"/>
      <c r="J3320" s="114"/>
      <c r="K3320" s="60"/>
      <c r="L3320" s="109"/>
      <c r="M3320" s="109"/>
      <c r="N3320" s="109"/>
      <c r="O3320" s="109"/>
      <c r="P3320" s="109"/>
      <c r="Q3320" s="109"/>
      <c r="S3320" s="111"/>
      <c r="T3320" s="60"/>
      <c r="U3320" s="112"/>
    </row>
    <row r="3321" spans="4:21" s="110" customFormat="1" ht="15.75" customHeight="1">
      <c r="D3321" s="113"/>
      <c r="E3321" s="60"/>
      <c r="F3321" s="60"/>
      <c r="G3321" s="60"/>
      <c r="H3321" s="60"/>
      <c r="I3321" s="60"/>
      <c r="J3321" s="114"/>
      <c r="K3321" s="60"/>
      <c r="L3321" s="109"/>
      <c r="M3321" s="109"/>
      <c r="N3321" s="109"/>
      <c r="O3321" s="109"/>
      <c r="P3321" s="109"/>
      <c r="Q3321" s="109"/>
      <c r="S3321" s="111"/>
      <c r="T3321" s="60"/>
      <c r="U3321" s="112"/>
    </row>
    <row r="3322" spans="4:21" s="110" customFormat="1" ht="15.75" customHeight="1">
      <c r="D3322" s="113"/>
      <c r="E3322" s="60"/>
      <c r="F3322" s="60"/>
      <c r="G3322" s="60"/>
      <c r="H3322" s="60"/>
      <c r="I3322" s="60"/>
      <c r="J3322" s="114"/>
      <c r="K3322" s="60"/>
      <c r="L3322" s="109"/>
      <c r="M3322" s="109"/>
      <c r="N3322" s="109"/>
      <c r="O3322" s="109"/>
      <c r="P3322" s="109"/>
      <c r="Q3322" s="109"/>
      <c r="S3322" s="111"/>
      <c r="T3322" s="60"/>
      <c r="U3322" s="112"/>
    </row>
    <row r="3323" spans="4:21" s="110" customFormat="1" ht="15.75" customHeight="1">
      <c r="D3323" s="113"/>
      <c r="E3323" s="60"/>
      <c r="F3323" s="60"/>
      <c r="G3323" s="60"/>
      <c r="H3323" s="60"/>
      <c r="I3323" s="60"/>
      <c r="J3323" s="114"/>
      <c r="K3323" s="60"/>
      <c r="L3323" s="109"/>
      <c r="M3323" s="109"/>
      <c r="N3323" s="109"/>
      <c r="O3323" s="109"/>
      <c r="P3323" s="109"/>
      <c r="Q3323" s="109"/>
      <c r="S3323" s="111"/>
      <c r="T3323" s="60"/>
      <c r="U3323" s="112"/>
    </row>
    <row r="3324" spans="4:21" s="110" customFormat="1" ht="15.75" customHeight="1">
      <c r="D3324" s="113"/>
      <c r="E3324" s="60"/>
      <c r="F3324" s="60"/>
      <c r="G3324" s="60"/>
      <c r="H3324" s="60"/>
      <c r="I3324" s="60"/>
      <c r="J3324" s="114"/>
      <c r="K3324" s="60"/>
      <c r="L3324" s="109"/>
      <c r="M3324" s="109"/>
      <c r="N3324" s="109"/>
      <c r="O3324" s="109"/>
      <c r="P3324" s="109"/>
      <c r="Q3324" s="109"/>
      <c r="S3324" s="111"/>
      <c r="T3324" s="60"/>
      <c r="U3324" s="112"/>
    </row>
    <row r="3325" spans="4:21" s="110" customFormat="1" ht="15.75" customHeight="1">
      <c r="D3325" s="113"/>
      <c r="E3325" s="60"/>
      <c r="F3325" s="60"/>
      <c r="G3325" s="60"/>
      <c r="H3325" s="60"/>
      <c r="I3325" s="60"/>
      <c r="J3325" s="114"/>
      <c r="K3325" s="60"/>
      <c r="L3325" s="109"/>
      <c r="M3325" s="109"/>
      <c r="N3325" s="109"/>
      <c r="O3325" s="109"/>
      <c r="P3325" s="109"/>
      <c r="Q3325" s="109"/>
      <c r="S3325" s="111"/>
      <c r="T3325" s="60"/>
      <c r="U3325" s="112"/>
    </row>
    <row r="3326" spans="4:21" s="110" customFormat="1" ht="15.75" customHeight="1">
      <c r="D3326" s="113"/>
      <c r="E3326" s="60"/>
      <c r="F3326" s="60"/>
      <c r="G3326" s="60"/>
      <c r="H3326" s="60"/>
      <c r="I3326" s="60"/>
      <c r="J3326" s="114"/>
      <c r="K3326" s="60"/>
      <c r="L3326" s="109"/>
      <c r="M3326" s="109"/>
      <c r="N3326" s="109"/>
      <c r="O3326" s="109"/>
      <c r="P3326" s="109"/>
      <c r="Q3326" s="109"/>
      <c r="S3326" s="111"/>
      <c r="T3326" s="60"/>
      <c r="U3326" s="112"/>
    </row>
    <row r="3327" spans="4:21" s="110" customFormat="1" ht="15.75" customHeight="1">
      <c r="D3327" s="113"/>
      <c r="E3327" s="60"/>
      <c r="F3327" s="60"/>
      <c r="G3327" s="60"/>
      <c r="H3327" s="60"/>
      <c r="I3327" s="60"/>
      <c r="J3327" s="114"/>
      <c r="K3327" s="60"/>
      <c r="L3327" s="109"/>
      <c r="M3327" s="109"/>
      <c r="N3327" s="109"/>
      <c r="O3327" s="109"/>
      <c r="P3327" s="109"/>
      <c r="Q3327" s="109"/>
      <c r="S3327" s="111"/>
      <c r="T3327" s="60"/>
      <c r="U3327" s="112"/>
    </row>
    <row r="3328" spans="4:21" s="110" customFormat="1" ht="15.75" customHeight="1">
      <c r="D3328" s="113"/>
      <c r="E3328" s="60"/>
      <c r="F3328" s="60"/>
      <c r="G3328" s="60"/>
      <c r="H3328" s="60"/>
      <c r="I3328" s="60"/>
      <c r="J3328" s="114"/>
      <c r="K3328" s="60"/>
      <c r="L3328" s="109"/>
      <c r="M3328" s="109"/>
      <c r="N3328" s="109"/>
      <c r="O3328" s="109"/>
      <c r="P3328" s="109"/>
      <c r="Q3328" s="109"/>
      <c r="S3328" s="111"/>
      <c r="T3328" s="60"/>
      <c r="U3328" s="112"/>
    </row>
    <row r="3329" spans="4:21" s="110" customFormat="1" ht="15.75" customHeight="1">
      <c r="D3329" s="113"/>
      <c r="E3329" s="60"/>
      <c r="F3329" s="60"/>
      <c r="G3329" s="60"/>
      <c r="H3329" s="60"/>
      <c r="I3329" s="60"/>
      <c r="J3329" s="114"/>
      <c r="K3329" s="60"/>
      <c r="L3329" s="109"/>
      <c r="M3329" s="109"/>
      <c r="N3329" s="109"/>
      <c r="O3329" s="109"/>
      <c r="P3329" s="109"/>
      <c r="Q3329" s="109"/>
      <c r="S3329" s="111"/>
      <c r="T3329" s="60"/>
      <c r="U3329" s="112"/>
    </row>
    <row r="3330" spans="4:21" s="110" customFormat="1" ht="15.75" customHeight="1">
      <c r="D3330" s="113"/>
      <c r="E3330" s="60"/>
      <c r="F3330" s="60"/>
      <c r="G3330" s="60"/>
      <c r="H3330" s="60"/>
      <c r="I3330" s="60"/>
      <c r="J3330" s="114"/>
      <c r="K3330" s="60"/>
      <c r="L3330" s="109"/>
      <c r="M3330" s="109"/>
      <c r="N3330" s="109"/>
      <c r="O3330" s="109"/>
      <c r="P3330" s="109"/>
      <c r="Q3330" s="109"/>
      <c r="S3330" s="111"/>
      <c r="T3330" s="60"/>
      <c r="U3330" s="112"/>
    </row>
    <row r="3331" spans="4:21" s="110" customFormat="1" ht="15.75" customHeight="1">
      <c r="D3331" s="113"/>
      <c r="E3331" s="60"/>
      <c r="F3331" s="60"/>
      <c r="G3331" s="60"/>
      <c r="H3331" s="60"/>
      <c r="I3331" s="60"/>
      <c r="J3331" s="114"/>
      <c r="K3331" s="60"/>
      <c r="L3331" s="109"/>
      <c r="M3331" s="109"/>
      <c r="N3331" s="109"/>
      <c r="O3331" s="109"/>
      <c r="P3331" s="109"/>
      <c r="Q3331" s="109"/>
      <c r="S3331" s="111"/>
      <c r="T3331" s="60"/>
      <c r="U3331" s="112"/>
    </row>
    <row r="3332" spans="4:21" s="110" customFormat="1" ht="15.75" customHeight="1">
      <c r="D3332" s="113"/>
      <c r="E3332" s="60"/>
      <c r="F3332" s="60"/>
      <c r="G3332" s="60"/>
      <c r="H3332" s="60"/>
      <c r="I3332" s="60"/>
      <c r="J3332" s="114"/>
      <c r="K3332" s="60"/>
      <c r="L3332" s="109"/>
      <c r="M3332" s="109"/>
      <c r="N3332" s="109"/>
      <c r="O3332" s="109"/>
      <c r="P3332" s="109"/>
      <c r="Q3332" s="109"/>
      <c r="S3332" s="111"/>
      <c r="T3332" s="60"/>
      <c r="U3332" s="112"/>
    </row>
    <row r="3333" spans="4:21" s="110" customFormat="1" ht="15.75" customHeight="1">
      <c r="D3333" s="113"/>
      <c r="E3333" s="60"/>
      <c r="F3333" s="60"/>
      <c r="G3333" s="60"/>
      <c r="H3333" s="60"/>
      <c r="I3333" s="60"/>
      <c r="J3333" s="114"/>
      <c r="K3333" s="60"/>
      <c r="L3333" s="109"/>
      <c r="M3333" s="109"/>
      <c r="N3333" s="109"/>
      <c r="O3333" s="109"/>
      <c r="P3333" s="109"/>
      <c r="Q3333" s="109"/>
      <c r="S3333" s="111"/>
      <c r="T3333" s="60"/>
      <c r="U3333" s="112"/>
    </row>
    <row r="3334" spans="4:21" s="110" customFormat="1" ht="15.75" customHeight="1">
      <c r="D3334" s="113"/>
      <c r="E3334" s="60"/>
      <c r="F3334" s="60"/>
      <c r="G3334" s="60"/>
      <c r="H3334" s="60"/>
      <c r="I3334" s="60"/>
      <c r="J3334" s="114"/>
      <c r="K3334" s="60"/>
      <c r="L3334" s="109"/>
      <c r="M3334" s="109"/>
      <c r="N3334" s="109"/>
      <c r="O3334" s="109"/>
      <c r="P3334" s="109"/>
      <c r="Q3334" s="109"/>
      <c r="S3334" s="111"/>
      <c r="T3334" s="60"/>
      <c r="U3334" s="112"/>
    </row>
    <row r="3335" spans="4:21" s="110" customFormat="1" ht="15.75" customHeight="1">
      <c r="D3335" s="113"/>
      <c r="E3335" s="60"/>
      <c r="F3335" s="60"/>
      <c r="G3335" s="60"/>
      <c r="H3335" s="60"/>
      <c r="I3335" s="60"/>
      <c r="J3335" s="114"/>
      <c r="K3335" s="60"/>
      <c r="L3335" s="109"/>
      <c r="M3335" s="109"/>
      <c r="N3335" s="109"/>
      <c r="O3335" s="109"/>
      <c r="P3335" s="109"/>
      <c r="Q3335" s="109"/>
      <c r="S3335" s="111"/>
      <c r="T3335" s="60"/>
      <c r="U3335" s="112"/>
    </row>
    <row r="3336" spans="4:21" s="110" customFormat="1" ht="15.75" customHeight="1">
      <c r="D3336" s="113"/>
      <c r="E3336" s="60"/>
      <c r="F3336" s="60"/>
      <c r="G3336" s="60"/>
      <c r="H3336" s="60"/>
      <c r="I3336" s="60"/>
      <c r="J3336" s="114"/>
      <c r="K3336" s="60"/>
      <c r="L3336" s="109"/>
      <c r="M3336" s="109"/>
      <c r="N3336" s="109"/>
      <c r="O3336" s="109"/>
      <c r="P3336" s="109"/>
      <c r="Q3336" s="109"/>
      <c r="S3336" s="111"/>
      <c r="T3336" s="60"/>
      <c r="U3336" s="112"/>
    </row>
    <row r="3337" spans="4:21" s="110" customFormat="1" ht="15.75" customHeight="1">
      <c r="D3337" s="113"/>
      <c r="E3337" s="60"/>
      <c r="F3337" s="60"/>
      <c r="G3337" s="60"/>
      <c r="H3337" s="60"/>
      <c r="I3337" s="60"/>
      <c r="J3337" s="114"/>
      <c r="K3337" s="60"/>
      <c r="L3337" s="109"/>
      <c r="M3337" s="109"/>
      <c r="N3337" s="109"/>
      <c r="O3337" s="109"/>
      <c r="P3337" s="109"/>
      <c r="Q3337" s="109"/>
      <c r="S3337" s="111"/>
      <c r="T3337" s="60"/>
      <c r="U3337" s="112"/>
    </row>
    <row r="3338" spans="4:21" s="110" customFormat="1" ht="15.75" customHeight="1">
      <c r="D3338" s="113"/>
      <c r="E3338" s="60"/>
      <c r="F3338" s="60"/>
      <c r="G3338" s="60"/>
      <c r="H3338" s="60"/>
      <c r="I3338" s="60"/>
      <c r="J3338" s="114"/>
      <c r="K3338" s="60"/>
      <c r="L3338" s="109"/>
      <c r="M3338" s="109"/>
      <c r="N3338" s="109"/>
      <c r="O3338" s="109"/>
      <c r="P3338" s="109"/>
      <c r="Q3338" s="109"/>
      <c r="S3338" s="111"/>
      <c r="T3338" s="60"/>
      <c r="U3338" s="112"/>
    </row>
    <row r="3339" spans="4:21" s="110" customFormat="1" ht="15.75" customHeight="1">
      <c r="D3339" s="113"/>
      <c r="E3339" s="60"/>
      <c r="F3339" s="60"/>
      <c r="G3339" s="60"/>
      <c r="H3339" s="60"/>
      <c r="I3339" s="60"/>
      <c r="J3339" s="114"/>
      <c r="K3339" s="60"/>
      <c r="L3339" s="109"/>
      <c r="M3339" s="109"/>
      <c r="N3339" s="109"/>
      <c r="O3339" s="109"/>
      <c r="P3339" s="109"/>
      <c r="Q3339" s="109"/>
      <c r="S3339" s="111"/>
      <c r="T3339" s="60"/>
      <c r="U3339" s="112"/>
    </row>
    <row r="3340" spans="4:21" s="110" customFormat="1" ht="15.75" customHeight="1">
      <c r="D3340" s="113"/>
      <c r="E3340" s="60"/>
      <c r="F3340" s="60"/>
      <c r="G3340" s="60"/>
      <c r="H3340" s="60"/>
      <c r="I3340" s="60"/>
      <c r="J3340" s="114"/>
      <c r="K3340" s="60"/>
      <c r="L3340" s="109"/>
      <c r="M3340" s="109"/>
      <c r="N3340" s="109"/>
      <c r="O3340" s="109"/>
      <c r="P3340" s="109"/>
      <c r="Q3340" s="109"/>
      <c r="S3340" s="111"/>
      <c r="T3340" s="60"/>
      <c r="U3340" s="112"/>
    </row>
    <row r="3341" spans="4:21" s="110" customFormat="1" ht="15.75" customHeight="1">
      <c r="D3341" s="113"/>
      <c r="E3341" s="60"/>
      <c r="F3341" s="60"/>
      <c r="G3341" s="60"/>
      <c r="H3341" s="60"/>
      <c r="I3341" s="60"/>
      <c r="J3341" s="114"/>
      <c r="K3341" s="60"/>
      <c r="L3341" s="109"/>
      <c r="M3341" s="109"/>
      <c r="N3341" s="109"/>
      <c r="O3341" s="109"/>
      <c r="P3341" s="109"/>
      <c r="Q3341" s="109"/>
      <c r="S3341" s="111"/>
      <c r="T3341" s="60"/>
      <c r="U3341" s="112"/>
    </row>
    <row r="3342" spans="4:21" s="110" customFormat="1" ht="15.75" customHeight="1">
      <c r="D3342" s="113"/>
      <c r="E3342" s="60"/>
      <c r="F3342" s="60"/>
      <c r="G3342" s="60"/>
      <c r="H3342" s="60"/>
      <c r="I3342" s="60"/>
      <c r="J3342" s="114"/>
      <c r="K3342" s="60"/>
      <c r="L3342" s="109"/>
      <c r="M3342" s="109"/>
      <c r="N3342" s="109"/>
      <c r="O3342" s="109"/>
      <c r="P3342" s="109"/>
      <c r="Q3342" s="109"/>
      <c r="S3342" s="111"/>
      <c r="T3342" s="60"/>
      <c r="U3342" s="112"/>
    </row>
    <row r="3343" spans="4:21" s="110" customFormat="1" ht="15.75" customHeight="1">
      <c r="D3343" s="113"/>
      <c r="E3343" s="60"/>
      <c r="F3343" s="60"/>
      <c r="G3343" s="60"/>
      <c r="H3343" s="60"/>
      <c r="I3343" s="60"/>
      <c r="J3343" s="114"/>
      <c r="K3343" s="60"/>
      <c r="L3343" s="109"/>
      <c r="M3343" s="109"/>
      <c r="N3343" s="109"/>
      <c r="O3343" s="109"/>
      <c r="P3343" s="109"/>
      <c r="Q3343" s="109"/>
      <c r="S3343" s="111"/>
      <c r="T3343" s="60"/>
      <c r="U3343" s="112"/>
    </row>
    <row r="3344" spans="4:21" s="110" customFormat="1" ht="15.75" customHeight="1">
      <c r="D3344" s="113"/>
      <c r="E3344" s="60"/>
      <c r="F3344" s="60"/>
      <c r="G3344" s="60"/>
      <c r="H3344" s="60"/>
      <c r="I3344" s="60"/>
      <c r="J3344" s="114"/>
      <c r="K3344" s="60"/>
      <c r="L3344" s="109"/>
      <c r="M3344" s="109"/>
      <c r="N3344" s="109"/>
      <c r="O3344" s="109"/>
      <c r="P3344" s="109"/>
      <c r="Q3344" s="109"/>
      <c r="S3344" s="111"/>
      <c r="T3344" s="60"/>
      <c r="U3344" s="112"/>
    </row>
    <row r="3345" spans="4:21" s="110" customFormat="1" ht="15.75" customHeight="1">
      <c r="D3345" s="113"/>
      <c r="E3345" s="60"/>
      <c r="F3345" s="60"/>
      <c r="G3345" s="60"/>
      <c r="H3345" s="60"/>
      <c r="I3345" s="60"/>
      <c r="J3345" s="114"/>
      <c r="K3345" s="60"/>
      <c r="L3345" s="109"/>
      <c r="M3345" s="109"/>
      <c r="N3345" s="109"/>
      <c r="O3345" s="109"/>
      <c r="P3345" s="109"/>
      <c r="Q3345" s="109"/>
      <c r="S3345" s="111"/>
      <c r="T3345" s="60"/>
      <c r="U3345" s="112"/>
    </row>
    <row r="3346" spans="4:21" s="110" customFormat="1" ht="15.75" customHeight="1">
      <c r="D3346" s="113"/>
      <c r="E3346" s="60"/>
      <c r="F3346" s="60"/>
      <c r="G3346" s="60"/>
      <c r="H3346" s="60"/>
      <c r="I3346" s="60"/>
      <c r="J3346" s="114"/>
      <c r="K3346" s="60"/>
      <c r="L3346" s="109"/>
      <c r="M3346" s="109"/>
      <c r="N3346" s="109"/>
      <c r="O3346" s="109"/>
      <c r="P3346" s="109"/>
      <c r="Q3346" s="109"/>
      <c r="S3346" s="111"/>
      <c r="T3346" s="60"/>
      <c r="U3346" s="112"/>
    </row>
    <row r="3347" spans="4:21" s="110" customFormat="1" ht="15.75" customHeight="1">
      <c r="D3347" s="113"/>
      <c r="E3347" s="60"/>
      <c r="F3347" s="60"/>
      <c r="G3347" s="60"/>
      <c r="H3347" s="60"/>
      <c r="I3347" s="60"/>
      <c r="J3347" s="114"/>
      <c r="K3347" s="60"/>
      <c r="L3347" s="109"/>
      <c r="M3347" s="109"/>
      <c r="N3347" s="109"/>
      <c r="O3347" s="109"/>
      <c r="P3347" s="109"/>
      <c r="Q3347" s="109"/>
      <c r="S3347" s="111"/>
      <c r="T3347" s="60"/>
      <c r="U3347" s="112"/>
    </row>
    <row r="3348" spans="4:21" s="110" customFormat="1" ht="15.75" customHeight="1">
      <c r="D3348" s="113"/>
      <c r="E3348" s="60"/>
      <c r="F3348" s="60"/>
      <c r="G3348" s="60"/>
      <c r="H3348" s="60"/>
      <c r="I3348" s="60"/>
      <c r="J3348" s="114"/>
      <c r="K3348" s="60"/>
      <c r="L3348" s="109"/>
      <c r="M3348" s="109"/>
      <c r="N3348" s="109"/>
      <c r="O3348" s="109"/>
      <c r="P3348" s="109"/>
      <c r="Q3348" s="109"/>
      <c r="S3348" s="111"/>
      <c r="T3348" s="60"/>
      <c r="U3348" s="112"/>
    </row>
    <row r="3349" spans="4:21" s="110" customFormat="1" ht="15.75" customHeight="1">
      <c r="D3349" s="113"/>
      <c r="E3349" s="60"/>
      <c r="F3349" s="60"/>
      <c r="G3349" s="60"/>
      <c r="H3349" s="60"/>
      <c r="I3349" s="60"/>
      <c r="J3349" s="114"/>
      <c r="K3349" s="60"/>
      <c r="L3349" s="109"/>
      <c r="M3349" s="109"/>
      <c r="N3349" s="109"/>
      <c r="O3349" s="109"/>
      <c r="P3349" s="109"/>
      <c r="Q3349" s="109"/>
      <c r="S3349" s="111"/>
      <c r="T3349" s="60"/>
      <c r="U3349" s="112"/>
    </row>
    <row r="3350" spans="4:21" s="110" customFormat="1" ht="15.75" customHeight="1">
      <c r="D3350" s="113"/>
      <c r="E3350" s="60"/>
      <c r="F3350" s="60"/>
      <c r="G3350" s="60"/>
      <c r="H3350" s="60"/>
      <c r="I3350" s="60"/>
      <c r="J3350" s="114"/>
      <c r="K3350" s="60"/>
      <c r="L3350" s="109"/>
      <c r="M3350" s="109"/>
      <c r="N3350" s="109"/>
      <c r="O3350" s="109"/>
      <c r="P3350" s="109"/>
      <c r="Q3350" s="109"/>
      <c r="S3350" s="111"/>
      <c r="T3350" s="60"/>
      <c r="U3350" s="112"/>
    </row>
    <row r="3351" spans="4:21" s="110" customFormat="1" ht="15.75" customHeight="1">
      <c r="D3351" s="113"/>
      <c r="E3351" s="60"/>
      <c r="F3351" s="60"/>
      <c r="G3351" s="60"/>
      <c r="H3351" s="60"/>
      <c r="I3351" s="60"/>
      <c r="J3351" s="114"/>
      <c r="K3351" s="60"/>
      <c r="L3351" s="109"/>
      <c r="M3351" s="109"/>
      <c r="N3351" s="109"/>
      <c r="O3351" s="109"/>
      <c r="P3351" s="109"/>
      <c r="Q3351" s="109"/>
      <c r="S3351" s="111"/>
      <c r="T3351" s="60"/>
      <c r="U3351" s="112"/>
    </row>
    <row r="3352" spans="4:21" s="110" customFormat="1" ht="15.75" customHeight="1">
      <c r="D3352" s="113"/>
      <c r="E3352" s="60"/>
      <c r="F3352" s="60"/>
      <c r="G3352" s="60"/>
      <c r="H3352" s="60"/>
      <c r="I3352" s="60"/>
      <c r="J3352" s="114"/>
      <c r="K3352" s="60"/>
      <c r="L3352" s="109"/>
      <c r="M3352" s="109"/>
      <c r="N3352" s="109"/>
      <c r="O3352" s="109"/>
      <c r="P3352" s="109"/>
      <c r="Q3352" s="109"/>
      <c r="S3352" s="111"/>
      <c r="T3352" s="60"/>
      <c r="U3352" s="112"/>
    </row>
    <row r="3353" spans="4:21" s="110" customFormat="1" ht="15.75" customHeight="1">
      <c r="D3353" s="113"/>
      <c r="E3353" s="60"/>
      <c r="F3353" s="60"/>
      <c r="G3353" s="60"/>
      <c r="H3353" s="60"/>
      <c r="I3353" s="60"/>
      <c r="J3353" s="114"/>
      <c r="K3353" s="60"/>
      <c r="L3353" s="109"/>
      <c r="M3353" s="109"/>
      <c r="N3353" s="109"/>
      <c r="O3353" s="109"/>
      <c r="P3353" s="109"/>
      <c r="Q3353" s="109"/>
      <c r="S3353" s="111"/>
      <c r="T3353" s="60"/>
      <c r="U3353" s="112"/>
    </row>
    <row r="3354" spans="4:21" s="110" customFormat="1" ht="15.75" customHeight="1">
      <c r="D3354" s="113"/>
      <c r="E3354" s="60"/>
      <c r="F3354" s="60"/>
      <c r="G3354" s="60"/>
      <c r="H3354" s="60"/>
      <c r="I3354" s="60"/>
      <c r="J3354" s="114"/>
      <c r="K3354" s="60"/>
      <c r="L3354" s="109"/>
      <c r="M3354" s="109"/>
      <c r="N3354" s="109"/>
      <c r="O3354" s="109"/>
      <c r="P3354" s="109"/>
      <c r="Q3354" s="109"/>
      <c r="S3354" s="111"/>
      <c r="T3354" s="60"/>
      <c r="U3354" s="112"/>
    </row>
    <row r="3355" spans="4:21" s="110" customFormat="1" ht="15.75" customHeight="1">
      <c r="D3355" s="113"/>
      <c r="E3355" s="60"/>
      <c r="F3355" s="60"/>
      <c r="G3355" s="60"/>
      <c r="H3355" s="60"/>
      <c r="I3355" s="60"/>
      <c r="J3355" s="114"/>
      <c r="K3355" s="60"/>
      <c r="L3355" s="109"/>
      <c r="M3355" s="109"/>
      <c r="N3355" s="109"/>
      <c r="O3355" s="109"/>
      <c r="P3355" s="109"/>
      <c r="Q3355" s="109"/>
      <c r="S3355" s="111"/>
      <c r="T3355" s="60"/>
      <c r="U3355" s="112"/>
    </row>
    <row r="3356" spans="4:21" s="110" customFormat="1" ht="15.75" customHeight="1">
      <c r="D3356" s="113"/>
      <c r="E3356" s="60"/>
      <c r="F3356" s="60"/>
      <c r="G3356" s="60"/>
      <c r="H3356" s="60"/>
      <c r="I3356" s="60"/>
      <c r="J3356" s="114"/>
      <c r="K3356" s="60"/>
      <c r="L3356" s="109"/>
      <c r="M3356" s="109"/>
      <c r="N3356" s="109"/>
      <c r="O3356" s="109"/>
      <c r="P3356" s="109"/>
      <c r="Q3356" s="109"/>
      <c r="S3356" s="111"/>
      <c r="T3356" s="60"/>
      <c r="U3356" s="112"/>
    </row>
    <row r="3357" spans="4:21" s="110" customFormat="1" ht="15.75" customHeight="1">
      <c r="D3357" s="113"/>
      <c r="E3357" s="60"/>
      <c r="F3357" s="60"/>
      <c r="G3357" s="60"/>
      <c r="H3357" s="60"/>
      <c r="I3357" s="60"/>
      <c r="J3357" s="114"/>
      <c r="K3357" s="60"/>
      <c r="L3357" s="109"/>
      <c r="M3357" s="109"/>
      <c r="N3357" s="109"/>
      <c r="O3357" s="109"/>
      <c r="P3357" s="109"/>
      <c r="Q3357" s="109"/>
      <c r="S3357" s="111"/>
      <c r="T3357" s="60"/>
      <c r="U3357" s="112"/>
    </row>
    <row r="3358" spans="4:21" s="110" customFormat="1" ht="15.75" customHeight="1">
      <c r="D3358" s="113"/>
      <c r="E3358" s="60"/>
      <c r="F3358" s="60"/>
      <c r="G3358" s="60"/>
      <c r="H3358" s="60"/>
      <c r="I3358" s="60"/>
      <c r="J3358" s="114"/>
      <c r="K3358" s="60"/>
      <c r="L3358" s="109"/>
      <c r="M3358" s="109"/>
      <c r="N3358" s="109"/>
      <c r="O3358" s="109"/>
      <c r="P3358" s="109"/>
      <c r="Q3358" s="109"/>
      <c r="S3358" s="111"/>
      <c r="T3358" s="60"/>
      <c r="U3358" s="112"/>
    </row>
    <row r="3359" spans="4:21" s="110" customFormat="1" ht="15.75" customHeight="1">
      <c r="D3359" s="113"/>
      <c r="E3359" s="60"/>
      <c r="F3359" s="60"/>
      <c r="G3359" s="60"/>
      <c r="H3359" s="60"/>
      <c r="I3359" s="60"/>
      <c r="J3359" s="114"/>
      <c r="K3359" s="60"/>
      <c r="L3359" s="109"/>
      <c r="M3359" s="109"/>
      <c r="N3359" s="109"/>
      <c r="O3359" s="109"/>
      <c r="P3359" s="109"/>
      <c r="Q3359" s="109"/>
      <c r="S3359" s="111"/>
      <c r="T3359" s="60"/>
      <c r="U3359" s="112"/>
    </row>
    <row r="3360" spans="4:21" s="110" customFormat="1" ht="15.75" customHeight="1">
      <c r="D3360" s="113"/>
      <c r="E3360" s="60"/>
      <c r="F3360" s="60"/>
      <c r="G3360" s="60"/>
      <c r="H3360" s="60"/>
      <c r="I3360" s="60"/>
      <c r="J3360" s="114"/>
      <c r="K3360" s="60"/>
      <c r="L3360" s="109"/>
      <c r="M3360" s="109"/>
      <c r="N3360" s="109"/>
      <c r="O3360" s="109"/>
      <c r="P3360" s="109"/>
      <c r="Q3360" s="109"/>
      <c r="S3360" s="111"/>
      <c r="T3360" s="60"/>
      <c r="U3360" s="112"/>
    </row>
    <row r="3361" spans="4:21" s="110" customFormat="1" ht="15.75" customHeight="1">
      <c r="D3361" s="113"/>
      <c r="E3361" s="60"/>
      <c r="F3361" s="60"/>
      <c r="G3361" s="60"/>
      <c r="H3361" s="60"/>
      <c r="I3361" s="60"/>
      <c r="J3361" s="114"/>
      <c r="K3361" s="60"/>
      <c r="L3361" s="109"/>
      <c r="M3361" s="109"/>
      <c r="N3361" s="109"/>
      <c r="O3361" s="109"/>
      <c r="P3361" s="109"/>
      <c r="Q3361" s="109"/>
      <c r="S3361" s="111"/>
      <c r="T3361" s="60"/>
      <c r="U3361" s="112"/>
    </row>
    <row r="3362" spans="4:21" s="110" customFormat="1" ht="15.75" customHeight="1">
      <c r="D3362" s="113"/>
      <c r="E3362" s="60"/>
      <c r="F3362" s="60"/>
      <c r="G3362" s="60"/>
      <c r="H3362" s="60"/>
      <c r="I3362" s="60"/>
      <c r="J3362" s="114"/>
      <c r="K3362" s="60"/>
      <c r="L3362" s="109"/>
      <c r="M3362" s="109"/>
      <c r="N3362" s="109"/>
      <c r="O3362" s="109"/>
      <c r="P3362" s="109"/>
      <c r="Q3362" s="109"/>
      <c r="S3362" s="111"/>
      <c r="T3362" s="60"/>
      <c r="U3362" s="112"/>
    </row>
    <row r="3363" spans="4:21" s="110" customFormat="1" ht="15.75" customHeight="1">
      <c r="D3363" s="113"/>
      <c r="E3363" s="60"/>
      <c r="F3363" s="60"/>
      <c r="G3363" s="60"/>
      <c r="H3363" s="60"/>
      <c r="I3363" s="60"/>
      <c r="J3363" s="114"/>
      <c r="K3363" s="60"/>
      <c r="L3363" s="109"/>
      <c r="M3363" s="109"/>
      <c r="N3363" s="109"/>
      <c r="O3363" s="109"/>
      <c r="P3363" s="109"/>
      <c r="Q3363" s="109"/>
      <c r="S3363" s="111"/>
      <c r="T3363" s="60"/>
      <c r="U3363" s="112"/>
    </row>
    <row r="3364" spans="4:21" s="110" customFormat="1" ht="15.75" customHeight="1">
      <c r="D3364" s="113"/>
      <c r="E3364" s="60"/>
      <c r="F3364" s="60"/>
      <c r="G3364" s="60"/>
      <c r="H3364" s="60"/>
      <c r="I3364" s="60"/>
      <c r="J3364" s="114"/>
      <c r="K3364" s="60"/>
      <c r="L3364" s="109"/>
      <c r="M3364" s="109"/>
      <c r="N3364" s="109"/>
      <c r="O3364" s="109"/>
      <c r="P3364" s="109"/>
      <c r="Q3364" s="109"/>
      <c r="S3364" s="111"/>
      <c r="T3364" s="60"/>
      <c r="U3364" s="112"/>
    </row>
    <row r="3365" spans="4:21" s="110" customFormat="1" ht="15.75" customHeight="1">
      <c r="D3365" s="113"/>
      <c r="E3365" s="60"/>
      <c r="F3365" s="60"/>
      <c r="G3365" s="60"/>
      <c r="H3365" s="60"/>
      <c r="I3365" s="60"/>
      <c r="J3365" s="114"/>
      <c r="K3365" s="60"/>
      <c r="L3365" s="109"/>
      <c r="M3365" s="109"/>
      <c r="N3365" s="109"/>
      <c r="O3365" s="109"/>
      <c r="P3365" s="109"/>
      <c r="Q3365" s="109"/>
      <c r="S3365" s="111"/>
      <c r="T3365" s="60"/>
      <c r="U3365" s="112"/>
    </row>
    <row r="3366" spans="4:21" s="110" customFormat="1" ht="15.75" customHeight="1">
      <c r="D3366" s="113"/>
      <c r="E3366" s="60"/>
      <c r="F3366" s="60"/>
      <c r="G3366" s="60"/>
      <c r="H3366" s="60"/>
      <c r="I3366" s="60"/>
      <c r="J3366" s="114"/>
      <c r="K3366" s="60"/>
      <c r="L3366" s="109"/>
      <c r="M3366" s="109"/>
      <c r="N3366" s="109"/>
      <c r="O3366" s="109"/>
      <c r="P3366" s="109"/>
      <c r="Q3366" s="109"/>
      <c r="S3366" s="111"/>
      <c r="T3366" s="60"/>
      <c r="U3366" s="112"/>
    </row>
    <row r="3367" spans="4:21" s="110" customFormat="1" ht="15.75" customHeight="1">
      <c r="D3367" s="113"/>
      <c r="E3367" s="60"/>
      <c r="F3367" s="60"/>
      <c r="G3367" s="60"/>
      <c r="H3367" s="60"/>
      <c r="I3367" s="60"/>
      <c r="J3367" s="114"/>
      <c r="K3367" s="60"/>
      <c r="L3367" s="109"/>
      <c r="M3367" s="109"/>
      <c r="N3367" s="109"/>
      <c r="O3367" s="109"/>
      <c r="P3367" s="109"/>
      <c r="Q3367" s="109"/>
      <c r="S3367" s="111"/>
      <c r="T3367" s="60"/>
      <c r="U3367" s="112"/>
    </row>
    <row r="3368" spans="4:21" s="110" customFormat="1" ht="15.75" customHeight="1">
      <c r="D3368" s="113"/>
      <c r="E3368" s="60"/>
      <c r="F3368" s="60"/>
      <c r="G3368" s="60"/>
      <c r="H3368" s="60"/>
      <c r="I3368" s="60"/>
      <c r="J3368" s="114"/>
      <c r="K3368" s="60"/>
      <c r="L3368" s="109"/>
      <c r="M3368" s="109"/>
      <c r="N3368" s="109"/>
      <c r="O3368" s="109"/>
      <c r="P3368" s="109"/>
      <c r="Q3368" s="109"/>
      <c r="S3368" s="111"/>
      <c r="T3368" s="60"/>
      <c r="U3368" s="112"/>
    </row>
    <row r="3369" spans="4:21" s="110" customFormat="1" ht="15.75" customHeight="1">
      <c r="D3369" s="113"/>
      <c r="E3369" s="60"/>
      <c r="F3369" s="60"/>
      <c r="G3369" s="60"/>
      <c r="H3369" s="60"/>
      <c r="I3369" s="60"/>
      <c r="J3369" s="114"/>
      <c r="K3369" s="60"/>
      <c r="L3369" s="109"/>
      <c r="M3369" s="109"/>
      <c r="N3369" s="109"/>
      <c r="O3369" s="109"/>
      <c r="P3369" s="109"/>
      <c r="Q3369" s="109"/>
      <c r="S3369" s="111"/>
      <c r="T3369" s="60"/>
      <c r="U3369" s="112"/>
    </row>
    <row r="3370" spans="4:21" s="110" customFormat="1" ht="15.75" customHeight="1">
      <c r="D3370" s="113"/>
      <c r="E3370" s="60"/>
      <c r="F3370" s="60"/>
      <c r="G3370" s="60"/>
      <c r="H3370" s="60"/>
      <c r="I3370" s="60"/>
      <c r="J3370" s="114"/>
      <c r="K3370" s="60"/>
      <c r="L3370" s="109"/>
      <c r="M3370" s="109"/>
      <c r="N3370" s="109"/>
      <c r="O3370" s="109"/>
      <c r="P3370" s="109"/>
      <c r="Q3370" s="109"/>
      <c r="S3370" s="111"/>
      <c r="T3370" s="60"/>
      <c r="U3370" s="112"/>
    </row>
    <row r="3371" spans="4:21" s="110" customFormat="1" ht="15.75" customHeight="1">
      <c r="D3371" s="113"/>
      <c r="E3371" s="60"/>
      <c r="F3371" s="60"/>
      <c r="G3371" s="60"/>
      <c r="H3371" s="60"/>
      <c r="I3371" s="60"/>
      <c r="J3371" s="114"/>
      <c r="K3371" s="60"/>
      <c r="L3371" s="109"/>
      <c r="M3371" s="109"/>
      <c r="N3371" s="109"/>
      <c r="O3371" s="109"/>
      <c r="P3371" s="109"/>
      <c r="Q3371" s="109"/>
      <c r="S3371" s="111"/>
      <c r="T3371" s="60"/>
      <c r="U3371" s="112"/>
    </row>
    <row r="3372" spans="4:21" s="110" customFormat="1" ht="15.75" customHeight="1">
      <c r="D3372" s="113"/>
      <c r="E3372" s="60"/>
      <c r="F3372" s="60"/>
      <c r="G3372" s="60"/>
      <c r="H3372" s="60"/>
      <c r="I3372" s="60"/>
      <c r="J3372" s="114"/>
      <c r="K3372" s="60"/>
      <c r="L3372" s="109"/>
      <c r="M3372" s="109"/>
      <c r="N3372" s="109"/>
      <c r="O3372" s="109"/>
      <c r="P3372" s="109"/>
      <c r="Q3372" s="109"/>
      <c r="S3372" s="111"/>
      <c r="T3372" s="60"/>
      <c r="U3372" s="112"/>
    </row>
    <row r="3373" spans="4:21" s="110" customFormat="1" ht="15.75" customHeight="1">
      <c r="D3373" s="113"/>
      <c r="E3373" s="60"/>
      <c r="F3373" s="60"/>
      <c r="G3373" s="60"/>
      <c r="H3373" s="60"/>
      <c r="I3373" s="60"/>
      <c r="J3373" s="114"/>
      <c r="K3373" s="60"/>
      <c r="L3373" s="109"/>
      <c r="M3373" s="109"/>
      <c r="N3373" s="109"/>
      <c r="O3373" s="109"/>
      <c r="P3373" s="109"/>
      <c r="Q3373" s="109"/>
      <c r="S3373" s="111"/>
      <c r="T3373" s="60"/>
      <c r="U3373" s="112"/>
    </row>
    <row r="3374" spans="4:21" s="110" customFormat="1" ht="15.75" customHeight="1">
      <c r="D3374" s="113"/>
      <c r="E3374" s="60"/>
      <c r="F3374" s="60"/>
      <c r="G3374" s="60"/>
      <c r="H3374" s="60"/>
      <c r="I3374" s="60"/>
      <c r="J3374" s="114"/>
      <c r="K3374" s="60"/>
      <c r="L3374" s="109"/>
      <c r="M3374" s="109"/>
      <c r="N3374" s="109"/>
      <c r="O3374" s="109"/>
      <c r="P3374" s="109"/>
      <c r="Q3374" s="109"/>
      <c r="S3374" s="111"/>
      <c r="T3374" s="60"/>
      <c r="U3374" s="112"/>
    </row>
    <row r="3375" spans="4:21" s="110" customFormat="1" ht="15.75" customHeight="1">
      <c r="D3375" s="113"/>
      <c r="E3375" s="60"/>
      <c r="F3375" s="60"/>
      <c r="G3375" s="60"/>
      <c r="H3375" s="60"/>
      <c r="I3375" s="60"/>
      <c r="J3375" s="114"/>
      <c r="K3375" s="60"/>
      <c r="L3375" s="109"/>
      <c r="M3375" s="109"/>
      <c r="N3375" s="109"/>
      <c r="O3375" s="109"/>
      <c r="P3375" s="109"/>
      <c r="Q3375" s="109"/>
      <c r="S3375" s="111"/>
      <c r="T3375" s="60"/>
      <c r="U3375" s="112"/>
    </row>
    <row r="3376" spans="4:21" s="110" customFormat="1" ht="15.75" customHeight="1">
      <c r="D3376" s="113"/>
      <c r="E3376" s="60"/>
      <c r="F3376" s="60"/>
      <c r="G3376" s="60"/>
      <c r="H3376" s="60"/>
      <c r="I3376" s="60"/>
      <c r="J3376" s="114"/>
      <c r="K3376" s="60"/>
      <c r="L3376" s="109"/>
      <c r="M3376" s="109"/>
      <c r="N3376" s="109"/>
      <c r="O3376" s="109"/>
      <c r="P3376" s="109"/>
      <c r="Q3376" s="109"/>
      <c r="S3376" s="111"/>
      <c r="T3376" s="60"/>
      <c r="U3376" s="112"/>
    </row>
    <row r="3377" spans="4:21" s="110" customFormat="1" ht="15.75" customHeight="1">
      <c r="D3377" s="113"/>
      <c r="E3377" s="60"/>
      <c r="F3377" s="60"/>
      <c r="G3377" s="60"/>
      <c r="H3377" s="60"/>
      <c r="I3377" s="60"/>
      <c r="J3377" s="114"/>
      <c r="K3377" s="60"/>
      <c r="L3377" s="109"/>
      <c r="M3377" s="109"/>
      <c r="N3377" s="109"/>
      <c r="O3377" s="109"/>
      <c r="P3377" s="109"/>
      <c r="Q3377" s="109"/>
      <c r="S3377" s="111"/>
      <c r="T3377" s="60"/>
      <c r="U3377" s="112"/>
    </row>
    <row r="3378" spans="4:21" s="110" customFormat="1" ht="15.75" customHeight="1">
      <c r="D3378" s="113"/>
      <c r="E3378" s="60"/>
      <c r="F3378" s="60"/>
      <c r="G3378" s="60"/>
      <c r="H3378" s="60"/>
      <c r="I3378" s="60"/>
      <c r="J3378" s="114"/>
      <c r="K3378" s="60"/>
      <c r="L3378" s="109"/>
      <c r="M3378" s="109"/>
      <c r="N3378" s="109"/>
      <c r="O3378" s="109"/>
      <c r="P3378" s="109"/>
      <c r="Q3378" s="109"/>
      <c r="S3378" s="111"/>
      <c r="T3378" s="60"/>
      <c r="U3378" s="112"/>
    </row>
    <row r="3379" spans="4:21" s="110" customFormat="1" ht="15.75" customHeight="1">
      <c r="D3379" s="113"/>
      <c r="E3379" s="60"/>
      <c r="F3379" s="60"/>
      <c r="G3379" s="60"/>
      <c r="H3379" s="60"/>
      <c r="I3379" s="60"/>
      <c r="J3379" s="114"/>
      <c r="K3379" s="60"/>
      <c r="L3379" s="109"/>
      <c r="M3379" s="109"/>
      <c r="N3379" s="109"/>
      <c r="O3379" s="109"/>
      <c r="P3379" s="109"/>
      <c r="Q3379" s="109"/>
      <c r="S3379" s="111"/>
      <c r="T3379" s="60"/>
      <c r="U3379" s="112"/>
    </row>
    <row r="3380" spans="4:21" s="110" customFormat="1" ht="15.75" customHeight="1">
      <c r="D3380" s="113"/>
      <c r="E3380" s="60"/>
      <c r="F3380" s="60"/>
      <c r="G3380" s="60"/>
      <c r="H3380" s="60"/>
      <c r="I3380" s="60"/>
      <c r="J3380" s="114"/>
      <c r="K3380" s="60"/>
      <c r="L3380" s="109"/>
      <c r="M3380" s="109"/>
      <c r="N3380" s="109"/>
      <c r="O3380" s="109"/>
      <c r="P3380" s="109"/>
      <c r="Q3380" s="109"/>
      <c r="S3380" s="111"/>
      <c r="T3380" s="60"/>
      <c r="U3380" s="112"/>
    </row>
    <row r="3381" spans="4:21" s="110" customFormat="1" ht="15.75" customHeight="1">
      <c r="D3381" s="113"/>
      <c r="E3381" s="60"/>
      <c r="F3381" s="60"/>
      <c r="G3381" s="60"/>
      <c r="H3381" s="60"/>
      <c r="I3381" s="60"/>
      <c r="J3381" s="114"/>
      <c r="K3381" s="60"/>
      <c r="L3381" s="109"/>
      <c r="M3381" s="109"/>
      <c r="N3381" s="109"/>
      <c r="O3381" s="109"/>
      <c r="P3381" s="109"/>
      <c r="Q3381" s="109"/>
      <c r="S3381" s="111"/>
      <c r="T3381" s="60"/>
      <c r="U3381" s="112"/>
    </row>
    <row r="3382" spans="4:21" s="110" customFormat="1" ht="15.75" customHeight="1">
      <c r="D3382" s="113"/>
      <c r="E3382" s="60"/>
      <c r="F3382" s="60"/>
      <c r="G3382" s="60"/>
      <c r="H3382" s="60"/>
      <c r="I3382" s="60"/>
      <c r="J3382" s="114"/>
      <c r="K3382" s="60"/>
      <c r="L3382" s="109"/>
      <c r="M3382" s="109"/>
      <c r="N3382" s="109"/>
      <c r="O3382" s="109"/>
      <c r="P3382" s="109"/>
      <c r="Q3382" s="109"/>
      <c r="S3382" s="111"/>
      <c r="T3382" s="60"/>
      <c r="U3382" s="112"/>
    </row>
    <row r="3383" spans="4:21" s="110" customFormat="1" ht="15.75" customHeight="1">
      <c r="D3383" s="113"/>
      <c r="E3383" s="60"/>
      <c r="F3383" s="60"/>
      <c r="G3383" s="60"/>
      <c r="H3383" s="60"/>
      <c r="I3383" s="60"/>
      <c r="J3383" s="114"/>
      <c r="K3383" s="60"/>
      <c r="L3383" s="109"/>
      <c r="M3383" s="109"/>
      <c r="N3383" s="109"/>
      <c r="O3383" s="109"/>
      <c r="P3383" s="109"/>
      <c r="Q3383" s="109"/>
      <c r="S3383" s="111"/>
      <c r="T3383" s="60"/>
      <c r="U3383" s="112"/>
    </row>
    <row r="3384" spans="4:21" s="110" customFormat="1" ht="15.75" customHeight="1">
      <c r="D3384" s="113"/>
      <c r="E3384" s="60"/>
      <c r="F3384" s="60"/>
      <c r="G3384" s="60"/>
      <c r="H3384" s="60"/>
      <c r="I3384" s="60"/>
      <c r="J3384" s="114"/>
      <c r="K3384" s="60"/>
      <c r="L3384" s="109"/>
      <c r="M3384" s="109"/>
      <c r="N3384" s="109"/>
      <c r="O3384" s="109"/>
      <c r="P3384" s="109"/>
      <c r="Q3384" s="109"/>
      <c r="S3384" s="111"/>
      <c r="T3384" s="60"/>
      <c r="U3384" s="112"/>
    </row>
    <row r="3385" spans="4:21" s="110" customFormat="1" ht="15.75" customHeight="1">
      <c r="D3385" s="113"/>
      <c r="E3385" s="60"/>
      <c r="F3385" s="60"/>
      <c r="G3385" s="60"/>
      <c r="H3385" s="60"/>
      <c r="I3385" s="60"/>
      <c r="J3385" s="114"/>
      <c r="K3385" s="60"/>
      <c r="L3385" s="109"/>
      <c r="M3385" s="109"/>
      <c r="N3385" s="109"/>
      <c r="O3385" s="109"/>
      <c r="P3385" s="109"/>
      <c r="Q3385" s="109"/>
      <c r="S3385" s="111"/>
      <c r="T3385" s="60"/>
      <c r="U3385" s="112"/>
    </row>
    <row r="3386" spans="4:21" s="110" customFormat="1" ht="15.75" customHeight="1">
      <c r="D3386" s="113"/>
      <c r="E3386" s="60"/>
      <c r="F3386" s="60"/>
      <c r="G3386" s="60"/>
      <c r="H3386" s="60"/>
      <c r="I3386" s="60"/>
      <c r="J3386" s="114"/>
      <c r="K3386" s="60"/>
      <c r="L3386" s="109"/>
      <c r="M3386" s="109"/>
      <c r="N3386" s="109"/>
      <c r="O3386" s="109"/>
      <c r="P3386" s="109"/>
      <c r="Q3386" s="109"/>
      <c r="S3386" s="111"/>
      <c r="T3386" s="60"/>
      <c r="U3386" s="112"/>
    </row>
    <row r="3387" spans="4:21" s="110" customFormat="1" ht="15.75" customHeight="1">
      <c r="D3387" s="113"/>
      <c r="E3387" s="60"/>
      <c r="F3387" s="60"/>
      <c r="G3387" s="60"/>
      <c r="H3387" s="60"/>
      <c r="I3387" s="60"/>
      <c r="J3387" s="114"/>
      <c r="K3387" s="60"/>
      <c r="L3387" s="109"/>
      <c r="M3387" s="109"/>
      <c r="N3387" s="109"/>
      <c r="O3387" s="109"/>
      <c r="P3387" s="109"/>
      <c r="Q3387" s="109"/>
      <c r="S3387" s="111"/>
      <c r="T3387" s="60"/>
      <c r="U3387" s="112"/>
    </row>
    <row r="3388" spans="4:21" s="110" customFormat="1" ht="15.75" customHeight="1">
      <c r="D3388" s="113"/>
      <c r="E3388" s="60"/>
      <c r="F3388" s="60"/>
      <c r="G3388" s="60"/>
      <c r="H3388" s="60"/>
      <c r="I3388" s="60"/>
      <c r="J3388" s="114"/>
      <c r="K3388" s="60"/>
      <c r="L3388" s="109"/>
      <c r="M3388" s="109"/>
      <c r="N3388" s="109"/>
      <c r="O3388" s="109"/>
      <c r="P3388" s="109"/>
      <c r="Q3388" s="109"/>
      <c r="S3388" s="111"/>
      <c r="T3388" s="60"/>
      <c r="U3388" s="112"/>
    </row>
    <row r="3389" spans="4:21" s="110" customFormat="1" ht="15.75" customHeight="1">
      <c r="D3389" s="113"/>
      <c r="E3389" s="60"/>
      <c r="F3389" s="60"/>
      <c r="G3389" s="60"/>
      <c r="H3389" s="60"/>
      <c r="I3389" s="60"/>
      <c r="J3389" s="114"/>
      <c r="K3389" s="60"/>
      <c r="L3389" s="109"/>
      <c r="M3389" s="109"/>
      <c r="N3389" s="109"/>
      <c r="O3389" s="109"/>
      <c r="P3389" s="109"/>
      <c r="Q3389" s="109"/>
      <c r="S3389" s="111"/>
      <c r="T3389" s="60"/>
      <c r="U3389" s="112"/>
    </row>
    <row r="3390" spans="4:21" s="110" customFormat="1" ht="15.75" customHeight="1">
      <c r="D3390" s="113"/>
      <c r="E3390" s="60"/>
      <c r="F3390" s="60"/>
      <c r="G3390" s="60"/>
      <c r="H3390" s="60"/>
      <c r="I3390" s="60"/>
      <c r="J3390" s="114"/>
      <c r="K3390" s="60"/>
      <c r="L3390" s="109"/>
      <c r="M3390" s="109"/>
      <c r="N3390" s="109"/>
      <c r="O3390" s="109"/>
      <c r="P3390" s="109"/>
      <c r="Q3390" s="109"/>
      <c r="S3390" s="111"/>
      <c r="T3390" s="60"/>
      <c r="U3390" s="112"/>
    </row>
    <row r="3391" spans="4:21" s="110" customFormat="1" ht="15.75" customHeight="1">
      <c r="D3391" s="113"/>
      <c r="E3391" s="60"/>
      <c r="F3391" s="60"/>
      <c r="G3391" s="60"/>
      <c r="H3391" s="60"/>
      <c r="I3391" s="60"/>
      <c r="J3391" s="114"/>
      <c r="K3391" s="60"/>
      <c r="L3391" s="109"/>
      <c r="M3391" s="109"/>
      <c r="N3391" s="109"/>
      <c r="O3391" s="109"/>
      <c r="P3391" s="109"/>
      <c r="Q3391" s="109"/>
      <c r="S3391" s="111"/>
      <c r="T3391" s="60"/>
      <c r="U3391" s="112"/>
    </row>
    <row r="3392" spans="4:21" s="110" customFormat="1" ht="15.75" customHeight="1">
      <c r="D3392" s="113"/>
      <c r="E3392" s="60"/>
      <c r="F3392" s="60"/>
      <c r="G3392" s="60"/>
      <c r="H3392" s="60"/>
      <c r="I3392" s="60"/>
      <c r="J3392" s="114"/>
      <c r="K3392" s="60"/>
      <c r="L3392" s="109"/>
      <c r="M3392" s="109"/>
      <c r="N3392" s="109"/>
      <c r="O3392" s="109"/>
      <c r="P3392" s="109"/>
      <c r="Q3392" s="109"/>
      <c r="S3392" s="111"/>
      <c r="T3392" s="60"/>
      <c r="U3392" s="112"/>
    </row>
    <row r="3393" spans="4:21" s="110" customFormat="1" ht="15.75" customHeight="1">
      <c r="D3393" s="113"/>
      <c r="E3393" s="60"/>
      <c r="F3393" s="60"/>
      <c r="G3393" s="60"/>
      <c r="H3393" s="60"/>
      <c r="I3393" s="60"/>
      <c r="J3393" s="114"/>
      <c r="K3393" s="60"/>
      <c r="L3393" s="109"/>
      <c r="M3393" s="109"/>
      <c r="N3393" s="109"/>
      <c r="O3393" s="109"/>
      <c r="P3393" s="109"/>
      <c r="Q3393" s="109"/>
      <c r="S3393" s="111"/>
      <c r="T3393" s="60"/>
      <c r="U3393" s="112"/>
    </row>
    <row r="3394" spans="4:21" s="110" customFormat="1" ht="15.75" customHeight="1">
      <c r="D3394" s="113"/>
      <c r="E3394" s="60"/>
      <c r="F3394" s="60"/>
      <c r="G3394" s="60"/>
      <c r="H3394" s="60"/>
      <c r="I3394" s="60"/>
      <c r="J3394" s="114"/>
      <c r="K3394" s="60"/>
      <c r="L3394" s="109"/>
      <c r="M3394" s="109"/>
      <c r="N3394" s="109"/>
      <c r="O3394" s="109"/>
      <c r="P3394" s="109"/>
      <c r="Q3394" s="109"/>
      <c r="S3394" s="111"/>
      <c r="T3394" s="60"/>
      <c r="U3394" s="112"/>
    </row>
    <row r="3395" spans="4:21" s="110" customFormat="1" ht="15.75" customHeight="1">
      <c r="D3395" s="113"/>
      <c r="E3395" s="60"/>
      <c r="F3395" s="60"/>
      <c r="G3395" s="60"/>
      <c r="H3395" s="60"/>
      <c r="I3395" s="60"/>
      <c r="J3395" s="114"/>
      <c r="K3395" s="60"/>
      <c r="L3395" s="109"/>
      <c r="M3395" s="109"/>
      <c r="N3395" s="109"/>
      <c r="O3395" s="109"/>
      <c r="P3395" s="109"/>
      <c r="Q3395" s="109"/>
      <c r="S3395" s="111"/>
      <c r="T3395" s="60"/>
      <c r="U3395" s="112"/>
    </row>
    <row r="3396" spans="4:21" s="110" customFormat="1" ht="15.75" customHeight="1">
      <c r="D3396" s="113"/>
      <c r="E3396" s="60"/>
      <c r="F3396" s="60"/>
      <c r="G3396" s="60"/>
      <c r="H3396" s="60"/>
      <c r="I3396" s="60"/>
      <c r="J3396" s="114"/>
      <c r="K3396" s="60"/>
      <c r="L3396" s="109"/>
      <c r="M3396" s="109"/>
      <c r="N3396" s="109"/>
      <c r="O3396" s="109"/>
      <c r="P3396" s="109"/>
      <c r="Q3396" s="109"/>
      <c r="S3396" s="111"/>
      <c r="T3396" s="60"/>
      <c r="U3396" s="112"/>
    </row>
    <row r="3397" spans="4:21" s="110" customFormat="1" ht="15.75" customHeight="1">
      <c r="D3397" s="113"/>
      <c r="E3397" s="60"/>
      <c r="F3397" s="60"/>
      <c r="G3397" s="60"/>
      <c r="H3397" s="60"/>
      <c r="I3397" s="60"/>
      <c r="J3397" s="114"/>
      <c r="K3397" s="60"/>
      <c r="L3397" s="109"/>
      <c r="M3397" s="109"/>
      <c r="N3397" s="109"/>
      <c r="O3397" s="109"/>
      <c r="P3397" s="109"/>
      <c r="Q3397" s="109"/>
      <c r="S3397" s="111"/>
      <c r="T3397" s="60"/>
      <c r="U3397" s="112"/>
    </row>
    <row r="3398" spans="4:21" s="110" customFormat="1" ht="15.75" customHeight="1">
      <c r="D3398" s="113"/>
      <c r="E3398" s="60"/>
      <c r="F3398" s="60"/>
      <c r="G3398" s="60"/>
      <c r="H3398" s="60"/>
      <c r="I3398" s="60"/>
      <c r="J3398" s="114"/>
      <c r="K3398" s="60"/>
      <c r="L3398" s="109"/>
      <c r="M3398" s="109"/>
      <c r="N3398" s="109"/>
      <c r="O3398" s="109"/>
      <c r="P3398" s="109"/>
      <c r="Q3398" s="109"/>
      <c r="S3398" s="111"/>
      <c r="T3398" s="60"/>
      <c r="U3398" s="112"/>
    </row>
    <row r="3399" spans="4:21" s="110" customFormat="1" ht="15.75" customHeight="1">
      <c r="D3399" s="113"/>
      <c r="E3399" s="60"/>
      <c r="F3399" s="60"/>
      <c r="G3399" s="60"/>
      <c r="H3399" s="60"/>
      <c r="I3399" s="60"/>
      <c r="J3399" s="114"/>
      <c r="K3399" s="60"/>
      <c r="L3399" s="109"/>
      <c r="M3399" s="109"/>
      <c r="N3399" s="109"/>
      <c r="O3399" s="109"/>
      <c r="P3399" s="109"/>
      <c r="Q3399" s="109"/>
      <c r="S3399" s="111"/>
      <c r="T3399" s="60"/>
      <c r="U3399" s="112"/>
    </row>
    <row r="3400" spans="4:21" s="110" customFormat="1" ht="15.75" customHeight="1">
      <c r="D3400" s="113"/>
      <c r="E3400" s="60"/>
      <c r="F3400" s="60"/>
      <c r="G3400" s="60"/>
      <c r="H3400" s="60"/>
      <c r="I3400" s="60"/>
      <c r="J3400" s="114"/>
      <c r="K3400" s="60"/>
      <c r="L3400" s="109"/>
      <c r="M3400" s="109"/>
      <c r="N3400" s="109"/>
      <c r="O3400" s="109"/>
      <c r="P3400" s="109"/>
      <c r="Q3400" s="109"/>
      <c r="S3400" s="111"/>
      <c r="T3400" s="60"/>
      <c r="U3400" s="112"/>
    </row>
    <row r="3401" spans="4:21" s="110" customFormat="1" ht="15.75" customHeight="1">
      <c r="D3401" s="113"/>
      <c r="E3401" s="60"/>
      <c r="F3401" s="60"/>
      <c r="G3401" s="60"/>
      <c r="H3401" s="60"/>
      <c r="I3401" s="60"/>
      <c r="J3401" s="114"/>
      <c r="K3401" s="60"/>
      <c r="L3401" s="109"/>
      <c r="M3401" s="109"/>
      <c r="N3401" s="109"/>
      <c r="O3401" s="109"/>
      <c r="P3401" s="109"/>
      <c r="Q3401" s="109"/>
      <c r="S3401" s="111"/>
      <c r="T3401" s="60"/>
      <c r="U3401" s="112"/>
    </row>
    <row r="3402" spans="4:21" s="110" customFormat="1" ht="15.75" customHeight="1">
      <c r="D3402" s="113"/>
      <c r="E3402" s="60"/>
      <c r="F3402" s="60"/>
      <c r="G3402" s="60"/>
      <c r="H3402" s="60"/>
      <c r="I3402" s="60"/>
      <c r="J3402" s="114"/>
      <c r="K3402" s="60"/>
      <c r="L3402" s="109"/>
      <c r="M3402" s="109"/>
      <c r="N3402" s="109"/>
      <c r="O3402" s="109"/>
      <c r="P3402" s="109"/>
      <c r="Q3402" s="109"/>
      <c r="S3402" s="111"/>
      <c r="T3402" s="60"/>
      <c r="U3402" s="112"/>
    </row>
    <row r="3403" spans="4:21" s="110" customFormat="1" ht="15.75" customHeight="1">
      <c r="D3403" s="113"/>
      <c r="E3403" s="60"/>
      <c r="F3403" s="60"/>
      <c r="G3403" s="60"/>
      <c r="H3403" s="60"/>
      <c r="I3403" s="60"/>
      <c r="J3403" s="114"/>
      <c r="K3403" s="60"/>
      <c r="L3403" s="109"/>
      <c r="M3403" s="109"/>
      <c r="N3403" s="109"/>
      <c r="O3403" s="109"/>
      <c r="P3403" s="109"/>
      <c r="Q3403" s="109"/>
      <c r="S3403" s="111"/>
      <c r="T3403" s="60"/>
      <c r="U3403" s="112"/>
    </row>
    <row r="3404" spans="4:21" s="110" customFormat="1" ht="15.75" customHeight="1">
      <c r="D3404" s="113"/>
      <c r="E3404" s="60"/>
      <c r="F3404" s="60"/>
      <c r="G3404" s="60"/>
      <c r="H3404" s="60"/>
      <c r="I3404" s="60"/>
      <c r="J3404" s="114"/>
      <c r="K3404" s="60"/>
      <c r="L3404" s="109"/>
      <c r="M3404" s="109"/>
      <c r="N3404" s="109"/>
      <c r="O3404" s="109"/>
      <c r="P3404" s="109"/>
      <c r="Q3404" s="109"/>
      <c r="S3404" s="111"/>
      <c r="T3404" s="60"/>
      <c r="U3404" s="112"/>
    </row>
    <row r="3405" spans="4:21" s="110" customFormat="1" ht="15.75" customHeight="1">
      <c r="D3405" s="113"/>
      <c r="E3405" s="60"/>
      <c r="F3405" s="60"/>
      <c r="G3405" s="60"/>
      <c r="H3405" s="60"/>
      <c r="I3405" s="60"/>
      <c r="J3405" s="114"/>
      <c r="K3405" s="60"/>
      <c r="L3405" s="109"/>
      <c r="M3405" s="109"/>
      <c r="N3405" s="109"/>
      <c r="O3405" s="109"/>
      <c r="P3405" s="109"/>
      <c r="Q3405" s="109"/>
      <c r="S3405" s="111"/>
      <c r="T3405" s="60"/>
      <c r="U3405" s="112"/>
    </row>
    <row r="3406" spans="4:21" s="110" customFormat="1" ht="15.75" customHeight="1">
      <c r="D3406" s="113"/>
      <c r="E3406" s="60"/>
      <c r="F3406" s="60"/>
      <c r="G3406" s="60"/>
      <c r="H3406" s="60"/>
      <c r="I3406" s="60"/>
      <c r="J3406" s="114"/>
      <c r="K3406" s="60"/>
      <c r="L3406" s="109"/>
      <c r="M3406" s="109"/>
      <c r="N3406" s="109"/>
      <c r="O3406" s="109"/>
      <c r="P3406" s="109"/>
      <c r="Q3406" s="109"/>
      <c r="S3406" s="111"/>
      <c r="T3406" s="60"/>
      <c r="U3406" s="112"/>
    </row>
    <row r="3407" spans="4:21" s="110" customFormat="1" ht="15.75" customHeight="1">
      <c r="D3407" s="113"/>
      <c r="E3407" s="60"/>
      <c r="F3407" s="60"/>
      <c r="G3407" s="60"/>
      <c r="H3407" s="60"/>
      <c r="I3407" s="60"/>
      <c r="J3407" s="114"/>
      <c r="K3407" s="60"/>
      <c r="L3407" s="109"/>
      <c r="M3407" s="109"/>
      <c r="N3407" s="109"/>
      <c r="O3407" s="109"/>
      <c r="P3407" s="109"/>
      <c r="Q3407" s="109"/>
      <c r="S3407" s="111"/>
      <c r="T3407" s="60"/>
      <c r="U3407" s="112"/>
    </row>
    <row r="3408" spans="4:21" s="110" customFormat="1" ht="15.75" customHeight="1">
      <c r="D3408" s="113"/>
      <c r="E3408" s="60"/>
      <c r="F3408" s="60"/>
      <c r="G3408" s="60"/>
      <c r="H3408" s="60"/>
      <c r="I3408" s="60"/>
      <c r="J3408" s="114"/>
      <c r="K3408" s="60"/>
      <c r="L3408" s="109"/>
      <c r="M3408" s="109"/>
      <c r="N3408" s="109"/>
      <c r="O3408" s="109"/>
      <c r="P3408" s="109"/>
      <c r="Q3408" s="109"/>
      <c r="S3408" s="111"/>
      <c r="T3408" s="60"/>
      <c r="U3408" s="112"/>
    </row>
    <row r="3409" spans="4:21" s="110" customFormat="1" ht="15.75" customHeight="1">
      <c r="D3409" s="113"/>
      <c r="E3409" s="60"/>
      <c r="F3409" s="60"/>
      <c r="G3409" s="60"/>
      <c r="H3409" s="60"/>
      <c r="I3409" s="60"/>
      <c r="J3409" s="114"/>
      <c r="K3409" s="60"/>
      <c r="L3409" s="109"/>
      <c r="M3409" s="109"/>
      <c r="N3409" s="109"/>
      <c r="O3409" s="109"/>
      <c r="P3409" s="109"/>
      <c r="Q3409" s="109"/>
      <c r="S3409" s="111"/>
      <c r="T3409" s="60"/>
      <c r="U3409" s="112"/>
    </row>
    <row r="3410" spans="4:21" s="110" customFormat="1" ht="15.75" customHeight="1">
      <c r="D3410" s="113"/>
      <c r="E3410" s="60"/>
      <c r="F3410" s="60"/>
      <c r="G3410" s="60"/>
      <c r="H3410" s="60"/>
      <c r="I3410" s="60"/>
      <c r="J3410" s="114"/>
      <c r="K3410" s="60"/>
      <c r="L3410" s="109"/>
      <c r="M3410" s="109"/>
      <c r="N3410" s="109"/>
      <c r="O3410" s="109"/>
      <c r="P3410" s="109"/>
      <c r="Q3410" s="109"/>
      <c r="S3410" s="111"/>
      <c r="T3410" s="60"/>
      <c r="U3410" s="112"/>
    </row>
    <row r="3411" spans="4:21" s="110" customFormat="1" ht="15.75" customHeight="1">
      <c r="D3411" s="113"/>
      <c r="E3411" s="60"/>
      <c r="F3411" s="60"/>
      <c r="G3411" s="60"/>
      <c r="H3411" s="60"/>
      <c r="I3411" s="60"/>
      <c r="J3411" s="114"/>
      <c r="K3411" s="60"/>
      <c r="L3411" s="109"/>
      <c r="M3411" s="109"/>
      <c r="N3411" s="109"/>
      <c r="O3411" s="109"/>
      <c r="P3411" s="109"/>
      <c r="Q3411" s="109"/>
      <c r="S3411" s="111"/>
      <c r="T3411" s="60"/>
      <c r="U3411" s="112"/>
    </row>
    <row r="3412" spans="4:21" s="110" customFormat="1" ht="15.75" customHeight="1">
      <c r="D3412" s="113"/>
      <c r="E3412" s="60"/>
      <c r="F3412" s="60"/>
      <c r="G3412" s="60"/>
      <c r="H3412" s="60"/>
      <c r="I3412" s="60"/>
      <c r="J3412" s="114"/>
      <c r="K3412" s="60"/>
      <c r="L3412" s="109"/>
      <c r="M3412" s="109"/>
      <c r="N3412" s="109"/>
      <c r="O3412" s="109"/>
      <c r="P3412" s="109"/>
      <c r="Q3412" s="109"/>
      <c r="S3412" s="111"/>
      <c r="T3412" s="60"/>
      <c r="U3412" s="112"/>
    </row>
    <row r="3413" spans="4:21" s="110" customFormat="1" ht="15.75" customHeight="1">
      <c r="D3413" s="113"/>
      <c r="E3413" s="60"/>
      <c r="F3413" s="60"/>
      <c r="G3413" s="60"/>
      <c r="H3413" s="60"/>
      <c r="I3413" s="60"/>
      <c r="J3413" s="114"/>
      <c r="K3413" s="60"/>
      <c r="L3413" s="109"/>
      <c r="M3413" s="109"/>
      <c r="N3413" s="109"/>
      <c r="O3413" s="109"/>
      <c r="P3413" s="109"/>
      <c r="Q3413" s="109"/>
      <c r="S3413" s="111"/>
      <c r="T3413" s="60"/>
      <c r="U3413" s="112"/>
    </row>
    <row r="3414" spans="4:21" s="110" customFormat="1" ht="15.75" customHeight="1">
      <c r="D3414" s="113"/>
      <c r="E3414" s="60"/>
      <c r="F3414" s="60"/>
      <c r="G3414" s="60"/>
      <c r="H3414" s="60"/>
      <c r="I3414" s="60"/>
      <c r="J3414" s="114"/>
      <c r="K3414" s="60"/>
      <c r="L3414" s="109"/>
      <c r="M3414" s="109"/>
      <c r="N3414" s="109"/>
      <c r="O3414" s="109"/>
      <c r="P3414" s="109"/>
      <c r="Q3414" s="109"/>
      <c r="S3414" s="111"/>
      <c r="T3414" s="60"/>
      <c r="U3414" s="112"/>
    </row>
    <row r="3415" spans="4:21" s="110" customFormat="1" ht="15.75" customHeight="1">
      <c r="D3415" s="113"/>
      <c r="E3415" s="60"/>
      <c r="F3415" s="60"/>
      <c r="G3415" s="60"/>
      <c r="H3415" s="60"/>
      <c r="I3415" s="60"/>
      <c r="J3415" s="114"/>
      <c r="K3415" s="60"/>
      <c r="L3415" s="109"/>
      <c r="M3415" s="109"/>
      <c r="N3415" s="109"/>
      <c r="O3415" s="109"/>
      <c r="P3415" s="109"/>
      <c r="Q3415" s="109"/>
      <c r="S3415" s="111"/>
      <c r="T3415" s="60"/>
      <c r="U3415" s="112"/>
    </row>
    <row r="3416" spans="4:21" s="110" customFormat="1" ht="15.75" customHeight="1">
      <c r="D3416" s="113"/>
      <c r="E3416" s="60"/>
      <c r="F3416" s="60"/>
      <c r="G3416" s="60"/>
      <c r="H3416" s="60"/>
      <c r="I3416" s="60"/>
      <c r="J3416" s="114"/>
      <c r="K3416" s="60"/>
      <c r="L3416" s="109"/>
      <c r="M3416" s="109"/>
      <c r="N3416" s="109"/>
      <c r="O3416" s="109"/>
      <c r="P3416" s="109"/>
      <c r="Q3416" s="109"/>
      <c r="S3416" s="111"/>
      <c r="T3416" s="60"/>
      <c r="U3416" s="112"/>
    </row>
    <row r="3417" spans="4:21" s="110" customFormat="1" ht="15.75" customHeight="1">
      <c r="D3417" s="113"/>
      <c r="E3417" s="60"/>
      <c r="F3417" s="60"/>
      <c r="G3417" s="60"/>
      <c r="H3417" s="60"/>
      <c r="I3417" s="60"/>
      <c r="J3417" s="114"/>
      <c r="K3417" s="60"/>
      <c r="L3417" s="109"/>
      <c r="M3417" s="109"/>
      <c r="N3417" s="109"/>
      <c r="O3417" s="109"/>
      <c r="P3417" s="109"/>
      <c r="Q3417" s="109"/>
      <c r="S3417" s="111"/>
      <c r="T3417" s="60"/>
      <c r="U3417" s="112"/>
    </row>
    <row r="3418" spans="4:21" s="110" customFormat="1" ht="15.75" customHeight="1">
      <c r="D3418" s="113"/>
      <c r="E3418" s="60"/>
      <c r="F3418" s="60"/>
      <c r="G3418" s="60"/>
      <c r="H3418" s="60"/>
      <c r="I3418" s="60"/>
      <c r="J3418" s="114"/>
      <c r="K3418" s="60"/>
      <c r="L3418" s="109"/>
      <c r="M3418" s="109"/>
      <c r="N3418" s="109"/>
      <c r="O3418" s="109"/>
      <c r="P3418" s="109"/>
      <c r="Q3418" s="109"/>
      <c r="S3418" s="111"/>
      <c r="T3418" s="60"/>
      <c r="U3418" s="112"/>
    </row>
    <row r="3419" spans="4:21" s="110" customFormat="1" ht="15.75" customHeight="1">
      <c r="D3419" s="113"/>
      <c r="E3419" s="60"/>
      <c r="F3419" s="60"/>
      <c r="G3419" s="60"/>
      <c r="H3419" s="60"/>
      <c r="I3419" s="60"/>
      <c r="J3419" s="114"/>
      <c r="K3419" s="60"/>
      <c r="L3419" s="109"/>
      <c r="M3419" s="109"/>
      <c r="N3419" s="109"/>
      <c r="O3419" s="109"/>
      <c r="P3419" s="109"/>
      <c r="Q3419" s="109"/>
      <c r="S3419" s="111"/>
      <c r="T3419" s="60"/>
      <c r="U3419" s="112"/>
    </row>
    <row r="3420" spans="4:21" s="110" customFormat="1" ht="15.75" customHeight="1">
      <c r="D3420" s="113"/>
      <c r="E3420" s="60"/>
      <c r="F3420" s="60"/>
      <c r="G3420" s="60"/>
      <c r="H3420" s="60"/>
      <c r="I3420" s="60"/>
      <c r="J3420" s="114"/>
      <c r="K3420" s="60"/>
      <c r="L3420" s="109"/>
      <c r="M3420" s="109"/>
      <c r="N3420" s="109"/>
      <c r="O3420" s="109"/>
      <c r="P3420" s="109"/>
      <c r="Q3420" s="109"/>
      <c r="S3420" s="111"/>
      <c r="T3420" s="60"/>
      <c r="U3420" s="112"/>
    </row>
    <row r="3421" spans="4:21" s="110" customFormat="1" ht="15.75" customHeight="1">
      <c r="D3421" s="113"/>
      <c r="E3421" s="60"/>
      <c r="F3421" s="60"/>
      <c r="G3421" s="60"/>
      <c r="H3421" s="60"/>
      <c r="I3421" s="60"/>
      <c r="J3421" s="114"/>
      <c r="K3421" s="60"/>
      <c r="L3421" s="109"/>
      <c r="M3421" s="109"/>
      <c r="N3421" s="109"/>
      <c r="O3421" s="109"/>
      <c r="P3421" s="109"/>
      <c r="Q3421" s="109"/>
      <c r="S3421" s="111"/>
      <c r="T3421" s="60"/>
      <c r="U3421" s="112"/>
    </row>
    <row r="3422" spans="4:21" s="110" customFormat="1" ht="15.75" customHeight="1">
      <c r="D3422" s="113"/>
      <c r="E3422" s="60"/>
      <c r="F3422" s="60"/>
      <c r="G3422" s="60"/>
      <c r="H3422" s="60"/>
      <c r="I3422" s="60"/>
      <c r="J3422" s="114"/>
      <c r="K3422" s="60"/>
      <c r="L3422" s="109"/>
      <c r="M3422" s="109"/>
      <c r="N3422" s="109"/>
      <c r="O3422" s="109"/>
      <c r="P3422" s="109"/>
      <c r="Q3422" s="109"/>
      <c r="S3422" s="111"/>
      <c r="T3422" s="60"/>
      <c r="U3422" s="112"/>
    </row>
    <row r="3423" spans="4:21" s="110" customFormat="1" ht="15.75" customHeight="1">
      <c r="D3423" s="113"/>
      <c r="E3423" s="60"/>
      <c r="F3423" s="60"/>
      <c r="G3423" s="60"/>
      <c r="H3423" s="60"/>
      <c r="I3423" s="60"/>
      <c r="J3423" s="114"/>
      <c r="K3423" s="60"/>
      <c r="L3423" s="109"/>
      <c r="M3423" s="109"/>
      <c r="N3423" s="109"/>
      <c r="O3423" s="109"/>
      <c r="P3423" s="109"/>
      <c r="Q3423" s="109"/>
      <c r="S3423" s="111"/>
      <c r="T3423" s="60"/>
      <c r="U3423" s="112"/>
    </row>
    <row r="3424" spans="4:21" s="110" customFormat="1" ht="15.75" customHeight="1">
      <c r="D3424" s="113"/>
      <c r="E3424" s="60"/>
      <c r="F3424" s="60"/>
      <c r="G3424" s="60"/>
      <c r="H3424" s="60"/>
      <c r="I3424" s="60"/>
      <c r="J3424" s="114"/>
      <c r="K3424" s="60"/>
      <c r="L3424" s="109"/>
      <c r="M3424" s="109"/>
      <c r="N3424" s="109"/>
      <c r="O3424" s="109"/>
      <c r="P3424" s="109"/>
      <c r="Q3424" s="109"/>
      <c r="S3424" s="111"/>
      <c r="T3424" s="60"/>
      <c r="U3424" s="112"/>
    </row>
    <row r="3425" spans="4:21" s="110" customFormat="1" ht="15.75" customHeight="1">
      <c r="D3425" s="113"/>
      <c r="E3425" s="60"/>
      <c r="F3425" s="60"/>
      <c r="G3425" s="60"/>
      <c r="H3425" s="60"/>
      <c r="I3425" s="60"/>
      <c r="J3425" s="114"/>
      <c r="K3425" s="60"/>
      <c r="L3425" s="109"/>
      <c r="M3425" s="109"/>
      <c r="N3425" s="109"/>
      <c r="O3425" s="109"/>
      <c r="P3425" s="109"/>
      <c r="Q3425" s="109"/>
      <c r="S3425" s="111"/>
      <c r="T3425" s="60"/>
      <c r="U3425" s="112"/>
    </row>
    <row r="3426" spans="4:21" s="110" customFormat="1" ht="15.75" customHeight="1">
      <c r="D3426" s="113"/>
      <c r="E3426" s="60"/>
      <c r="F3426" s="60"/>
      <c r="G3426" s="60"/>
      <c r="H3426" s="60"/>
      <c r="I3426" s="60"/>
      <c r="J3426" s="114"/>
      <c r="K3426" s="60"/>
      <c r="L3426" s="109"/>
      <c r="M3426" s="109"/>
      <c r="N3426" s="109"/>
      <c r="O3426" s="109"/>
      <c r="P3426" s="109"/>
      <c r="Q3426" s="109"/>
      <c r="S3426" s="111"/>
      <c r="T3426" s="60"/>
      <c r="U3426" s="112"/>
    </row>
    <row r="3427" spans="4:21" s="110" customFormat="1" ht="15.75" customHeight="1">
      <c r="D3427" s="113"/>
      <c r="E3427" s="60"/>
      <c r="F3427" s="60"/>
      <c r="G3427" s="60"/>
      <c r="H3427" s="60"/>
      <c r="I3427" s="60"/>
      <c r="J3427" s="114"/>
      <c r="K3427" s="60"/>
      <c r="L3427" s="109"/>
      <c r="M3427" s="109"/>
      <c r="N3427" s="109"/>
      <c r="O3427" s="109"/>
      <c r="P3427" s="109"/>
      <c r="Q3427" s="109"/>
      <c r="S3427" s="111"/>
      <c r="T3427" s="60"/>
      <c r="U3427" s="112"/>
    </row>
    <row r="3428" spans="4:21" s="110" customFormat="1" ht="15.75" customHeight="1">
      <c r="D3428" s="113"/>
      <c r="E3428" s="60"/>
      <c r="F3428" s="60"/>
      <c r="G3428" s="60"/>
      <c r="H3428" s="60"/>
      <c r="I3428" s="60"/>
      <c r="J3428" s="114"/>
      <c r="K3428" s="60"/>
      <c r="L3428" s="109"/>
      <c r="M3428" s="109"/>
      <c r="N3428" s="109"/>
      <c r="O3428" s="109"/>
      <c r="P3428" s="109"/>
      <c r="Q3428" s="109"/>
      <c r="S3428" s="111"/>
      <c r="T3428" s="60"/>
      <c r="U3428" s="112"/>
    </row>
    <row r="3429" spans="4:21" s="110" customFormat="1" ht="15.75" customHeight="1">
      <c r="D3429" s="113"/>
      <c r="E3429" s="60"/>
      <c r="F3429" s="60"/>
      <c r="G3429" s="60"/>
      <c r="H3429" s="60"/>
      <c r="I3429" s="60"/>
      <c r="J3429" s="114"/>
      <c r="K3429" s="60"/>
      <c r="L3429" s="109"/>
      <c r="M3429" s="109"/>
      <c r="N3429" s="109"/>
      <c r="O3429" s="109"/>
      <c r="P3429" s="109"/>
      <c r="Q3429" s="109"/>
      <c r="S3429" s="111"/>
      <c r="T3429" s="60"/>
      <c r="U3429" s="112"/>
    </row>
    <row r="3430" spans="4:21" s="110" customFormat="1" ht="15.75" customHeight="1">
      <c r="D3430" s="113"/>
      <c r="E3430" s="60"/>
      <c r="F3430" s="60"/>
      <c r="G3430" s="60"/>
      <c r="H3430" s="60"/>
      <c r="I3430" s="60"/>
      <c r="J3430" s="114"/>
      <c r="K3430" s="60"/>
      <c r="L3430" s="109"/>
      <c r="M3430" s="109"/>
      <c r="N3430" s="109"/>
      <c r="O3430" s="109"/>
      <c r="P3430" s="109"/>
      <c r="Q3430" s="109"/>
      <c r="S3430" s="111"/>
      <c r="T3430" s="60"/>
      <c r="U3430" s="112"/>
    </row>
    <row r="3431" spans="4:21" s="110" customFormat="1" ht="15.75" customHeight="1">
      <c r="D3431" s="113"/>
      <c r="E3431" s="60"/>
      <c r="F3431" s="60"/>
      <c r="G3431" s="60"/>
      <c r="H3431" s="60"/>
      <c r="I3431" s="60"/>
      <c r="J3431" s="114"/>
      <c r="K3431" s="60"/>
      <c r="L3431" s="109"/>
      <c r="M3431" s="109"/>
      <c r="N3431" s="109"/>
      <c r="O3431" s="109"/>
      <c r="P3431" s="109"/>
      <c r="Q3431" s="109"/>
      <c r="S3431" s="111"/>
      <c r="T3431" s="60"/>
      <c r="U3431" s="112"/>
    </row>
    <row r="3432" spans="4:21" s="110" customFormat="1" ht="15.75" customHeight="1">
      <c r="D3432" s="113"/>
      <c r="E3432" s="60"/>
      <c r="F3432" s="60"/>
      <c r="G3432" s="60"/>
      <c r="H3432" s="60"/>
      <c r="I3432" s="60"/>
      <c r="J3432" s="114"/>
      <c r="K3432" s="60"/>
      <c r="L3432" s="109"/>
      <c r="M3432" s="109"/>
      <c r="N3432" s="109"/>
      <c r="O3432" s="109"/>
      <c r="P3432" s="109"/>
      <c r="Q3432" s="109"/>
      <c r="S3432" s="111"/>
      <c r="T3432" s="60"/>
      <c r="U3432" s="112"/>
    </row>
    <row r="3433" spans="4:21" s="110" customFormat="1" ht="15.75" customHeight="1">
      <c r="D3433" s="113"/>
      <c r="E3433" s="60"/>
      <c r="F3433" s="60"/>
      <c r="G3433" s="60"/>
      <c r="H3433" s="60"/>
      <c r="I3433" s="60"/>
      <c r="J3433" s="114"/>
      <c r="K3433" s="60"/>
      <c r="L3433" s="109"/>
      <c r="M3433" s="109"/>
      <c r="N3433" s="109"/>
      <c r="O3433" s="109"/>
      <c r="P3433" s="109"/>
      <c r="Q3433" s="109"/>
      <c r="S3433" s="111"/>
      <c r="T3433" s="60"/>
      <c r="U3433" s="112"/>
    </row>
    <row r="3434" spans="4:21" s="110" customFormat="1" ht="15.75" customHeight="1">
      <c r="D3434" s="113"/>
      <c r="E3434" s="60"/>
      <c r="F3434" s="60"/>
      <c r="G3434" s="60"/>
      <c r="H3434" s="60"/>
      <c r="I3434" s="60"/>
      <c r="J3434" s="114"/>
      <c r="K3434" s="60"/>
      <c r="L3434" s="109"/>
      <c r="M3434" s="109"/>
      <c r="N3434" s="109"/>
      <c r="O3434" s="109"/>
      <c r="P3434" s="109"/>
      <c r="Q3434" s="109"/>
      <c r="S3434" s="111"/>
      <c r="T3434" s="60"/>
      <c r="U3434" s="112"/>
    </row>
    <row r="3435" spans="4:21" s="110" customFormat="1" ht="15.75" customHeight="1">
      <c r="D3435" s="113"/>
      <c r="E3435" s="60"/>
      <c r="F3435" s="60"/>
      <c r="G3435" s="60"/>
      <c r="H3435" s="60"/>
      <c r="I3435" s="60"/>
      <c r="J3435" s="114"/>
      <c r="K3435" s="60"/>
      <c r="L3435" s="109"/>
      <c r="M3435" s="109"/>
      <c r="N3435" s="109"/>
      <c r="O3435" s="109"/>
      <c r="P3435" s="109"/>
      <c r="Q3435" s="109"/>
      <c r="S3435" s="111"/>
      <c r="T3435" s="60"/>
      <c r="U3435" s="112"/>
    </row>
    <row r="3436" spans="4:21" s="110" customFormat="1" ht="15.75" customHeight="1">
      <c r="D3436" s="113"/>
      <c r="E3436" s="60"/>
      <c r="F3436" s="60"/>
      <c r="G3436" s="60"/>
      <c r="H3436" s="60"/>
      <c r="I3436" s="60"/>
      <c r="J3436" s="114"/>
      <c r="K3436" s="60"/>
      <c r="L3436" s="109"/>
      <c r="M3436" s="109"/>
      <c r="N3436" s="109"/>
      <c r="O3436" s="109"/>
      <c r="P3436" s="109"/>
      <c r="Q3436" s="109"/>
      <c r="S3436" s="111"/>
      <c r="T3436" s="60"/>
      <c r="U3436" s="112"/>
    </row>
    <row r="3437" spans="4:21" s="110" customFormat="1" ht="15.75" customHeight="1">
      <c r="D3437" s="113"/>
      <c r="E3437" s="60"/>
      <c r="F3437" s="60"/>
      <c r="G3437" s="60"/>
      <c r="H3437" s="60"/>
      <c r="I3437" s="60"/>
      <c r="J3437" s="114"/>
      <c r="K3437" s="60"/>
      <c r="L3437" s="109"/>
      <c r="M3437" s="109"/>
      <c r="N3437" s="109"/>
      <c r="O3437" s="109"/>
      <c r="P3437" s="109"/>
      <c r="Q3437" s="109"/>
      <c r="S3437" s="111"/>
      <c r="T3437" s="60"/>
      <c r="U3437" s="112"/>
    </row>
    <row r="3438" spans="4:21" s="110" customFormat="1" ht="15.75" customHeight="1">
      <c r="D3438" s="113"/>
      <c r="E3438" s="60"/>
      <c r="F3438" s="60"/>
      <c r="G3438" s="60"/>
      <c r="H3438" s="60"/>
      <c r="I3438" s="60"/>
      <c r="J3438" s="114"/>
      <c r="K3438" s="60"/>
      <c r="L3438" s="109"/>
      <c r="M3438" s="109"/>
      <c r="N3438" s="109"/>
      <c r="O3438" s="109"/>
      <c r="P3438" s="109"/>
      <c r="Q3438" s="109"/>
      <c r="S3438" s="111"/>
      <c r="T3438" s="60"/>
      <c r="U3438" s="112"/>
    </row>
    <row r="3439" spans="4:21" s="110" customFormat="1" ht="15.75" customHeight="1">
      <c r="D3439" s="113"/>
      <c r="E3439" s="60"/>
      <c r="F3439" s="60"/>
      <c r="G3439" s="60"/>
      <c r="H3439" s="60"/>
      <c r="I3439" s="60"/>
      <c r="J3439" s="114"/>
      <c r="K3439" s="60"/>
      <c r="L3439" s="109"/>
      <c r="M3439" s="109"/>
      <c r="N3439" s="109"/>
      <c r="O3439" s="109"/>
      <c r="P3439" s="109"/>
      <c r="Q3439" s="109"/>
      <c r="S3439" s="111"/>
      <c r="T3439" s="60"/>
      <c r="U3439" s="112"/>
    </row>
    <row r="3440" spans="4:21" s="110" customFormat="1" ht="15.75" customHeight="1">
      <c r="D3440" s="113"/>
      <c r="E3440" s="60"/>
      <c r="F3440" s="60"/>
      <c r="G3440" s="60"/>
      <c r="H3440" s="60"/>
      <c r="I3440" s="60"/>
      <c r="J3440" s="114"/>
      <c r="K3440" s="60"/>
      <c r="L3440" s="109"/>
      <c r="M3440" s="109"/>
      <c r="N3440" s="109"/>
      <c r="O3440" s="109"/>
      <c r="P3440" s="109"/>
      <c r="Q3440" s="109"/>
      <c r="S3440" s="111"/>
      <c r="T3440" s="60"/>
      <c r="U3440" s="112"/>
    </row>
    <row r="3441" spans="4:21" s="110" customFormat="1" ht="15.75" customHeight="1">
      <c r="D3441" s="113"/>
      <c r="E3441" s="60"/>
      <c r="F3441" s="60"/>
      <c r="G3441" s="60"/>
      <c r="H3441" s="60"/>
      <c r="I3441" s="60"/>
      <c r="J3441" s="114"/>
      <c r="K3441" s="60"/>
      <c r="L3441" s="109"/>
      <c r="M3441" s="109"/>
      <c r="N3441" s="109"/>
      <c r="O3441" s="109"/>
      <c r="P3441" s="109"/>
      <c r="Q3441" s="109"/>
      <c r="S3441" s="111"/>
      <c r="T3441" s="60"/>
      <c r="U3441" s="112"/>
    </row>
  </sheetData>
  <conditionalFormatting sqref="A2:R2 S2:W301 A3:P3 R3:R63 Q3:Q301 B4:P14 A4:A301 J15:P16 B15:I17 J17 K17:P301 B18:J301">
    <cfRule type="expression" dxfId="76" priority="2">
      <formula>$G2=#REF!</formula>
    </cfRule>
  </conditionalFormatting>
  <conditionalFormatting sqref="R64:R301 V64:V301">
    <cfRule type="expression" dxfId="75" priority="1">
      <formula>$F64=#REF!</formula>
    </cfRule>
  </conditionalFormatting>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4F74-259F-41E1-8B48-6A6059D97583}">
  <sheetPr codeName="Sheet4"/>
  <dimension ref="A2:AC44"/>
  <sheetViews>
    <sheetView tabSelected="1" zoomScale="73" zoomScaleNormal="73" workbookViewId="0">
      <selection activeCell="H53" sqref="H53"/>
    </sheetView>
  </sheetViews>
  <sheetFormatPr defaultRowHeight="14.25"/>
  <cols>
    <col min="1" max="3" width="9" style="136"/>
    <col min="4" max="4" width="8.75" style="136"/>
    <col min="5" max="5" width="1.25" style="137" customWidth="1"/>
    <col min="6" max="6" width="20.125" customWidth="1"/>
    <col min="9" max="9" width="22" customWidth="1"/>
    <col min="10" max="10" width="14" customWidth="1"/>
    <col min="14" max="14" width="7.25" customWidth="1"/>
    <col min="15" max="15" width="27.875" customWidth="1"/>
  </cols>
  <sheetData>
    <row r="2" spans="1:29" ht="15">
      <c r="H2" s="133"/>
      <c r="I2" s="133"/>
      <c r="J2" s="146" t="s">
        <v>1107</v>
      </c>
      <c r="K2" s="145">
        <f>GETPIVOTDATA("Sum of Net Salary",Pivot!$A$3)</f>
        <v>1242807.3600000001</v>
      </c>
      <c r="L2" s="146" t="s">
        <v>1106</v>
      </c>
      <c r="M2" s="146"/>
      <c r="N2" s="145">
        <f>GETPIVOTDATA("Count of ID",Pivot!$A$3)</f>
        <v>300</v>
      </c>
      <c r="P2" s="146" t="s">
        <v>1108</v>
      </c>
      <c r="Q2" s="146"/>
      <c r="R2" s="146"/>
      <c r="S2" s="145">
        <f>GETPIVOTDATA("Average of Experience Year",Pivot!$A$3)</f>
        <v>19.146666666666668</v>
      </c>
    </row>
    <row r="3" spans="1:29" ht="15">
      <c r="H3" s="133"/>
      <c r="I3" s="133"/>
      <c r="J3" s="146"/>
      <c r="K3" s="145"/>
      <c r="L3" s="146"/>
      <c r="M3" s="146"/>
      <c r="N3" s="145"/>
      <c r="P3" s="146"/>
      <c r="Q3" s="146"/>
      <c r="R3" s="146"/>
      <c r="S3" s="145"/>
    </row>
    <row r="4" spans="1:29" ht="15">
      <c r="D4" s="143"/>
      <c r="F4" s="134"/>
      <c r="G4" s="134"/>
      <c r="H4" s="134"/>
      <c r="I4" s="134"/>
      <c r="J4" s="134"/>
      <c r="K4" s="134"/>
      <c r="L4" s="134"/>
      <c r="M4" s="134"/>
      <c r="N4" s="134"/>
      <c r="O4" s="134"/>
      <c r="P4" s="134"/>
      <c r="Q4" s="134"/>
      <c r="R4" s="134"/>
      <c r="S4" s="134"/>
      <c r="T4" s="134"/>
      <c r="U4" s="134"/>
      <c r="V4" s="134"/>
      <c r="W4" s="142"/>
      <c r="X4" s="142"/>
      <c r="Y4" s="142"/>
      <c r="Z4" s="142"/>
      <c r="AA4" s="142"/>
      <c r="AB4" s="142"/>
      <c r="AC4" s="142"/>
    </row>
    <row r="5" spans="1:29" ht="26.25">
      <c r="A5" s="147" t="s">
        <v>1109</v>
      </c>
      <c r="B5" s="144"/>
      <c r="C5" s="144"/>
      <c r="D5" s="144"/>
      <c r="F5" s="135"/>
      <c r="G5" s="135"/>
      <c r="H5" s="135"/>
      <c r="I5" s="135"/>
      <c r="J5" s="135"/>
      <c r="K5" s="135"/>
      <c r="L5" s="135"/>
      <c r="M5" s="135"/>
      <c r="N5" s="135"/>
      <c r="O5" s="135"/>
      <c r="P5" s="135"/>
      <c r="Q5" s="135"/>
      <c r="R5" s="135"/>
      <c r="S5" s="135"/>
      <c r="T5" s="135"/>
      <c r="U5" s="135"/>
      <c r="V5" s="135"/>
      <c r="W5" s="142"/>
      <c r="X5" s="142"/>
      <c r="Y5" s="142"/>
      <c r="Z5" s="142"/>
      <c r="AA5" s="142"/>
      <c r="AB5" s="142"/>
      <c r="AC5" s="142"/>
    </row>
    <row r="6" spans="1:29">
      <c r="F6" s="134"/>
      <c r="G6" s="135"/>
      <c r="H6" s="135"/>
      <c r="I6" s="135"/>
      <c r="J6" s="135"/>
      <c r="K6" s="135"/>
      <c r="L6" s="135"/>
      <c r="M6" s="135"/>
      <c r="N6" s="135"/>
      <c r="O6" s="135"/>
      <c r="P6" s="135"/>
      <c r="Q6" s="135"/>
      <c r="R6" s="135"/>
      <c r="S6" s="135"/>
      <c r="T6" s="135"/>
      <c r="U6" s="135"/>
      <c r="V6" s="135"/>
      <c r="W6" s="142"/>
      <c r="X6" s="142"/>
      <c r="Y6" s="142"/>
      <c r="Z6" s="142"/>
      <c r="AA6" s="142"/>
      <c r="AB6" s="142"/>
      <c r="AC6" s="142"/>
    </row>
    <row r="7" spans="1:29">
      <c r="F7" s="135"/>
      <c r="G7" s="135"/>
      <c r="H7" s="135"/>
      <c r="I7" s="135"/>
      <c r="J7" s="135"/>
      <c r="K7" s="135"/>
      <c r="L7" s="135"/>
      <c r="M7" s="135"/>
      <c r="N7" s="135"/>
      <c r="O7" s="135"/>
      <c r="P7" s="135"/>
      <c r="Q7" s="135"/>
      <c r="R7" s="135"/>
      <c r="S7" s="135"/>
      <c r="T7" s="135"/>
      <c r="U7" s="135"/>
      <c r="V7" s="135"/>
      <c r="W7" s="142"/>
      <c r="X7" s="142"/>
      <c r="Y7" s="142"/>
      <c r="Z7" s="142"/>
      <c r="AA7" s="142"/>
      <c r="AB7" s="142"/>
      <c r="AC7" s="142"/>
    </row>
    <row r="8" spans="1:29">
      <c r="F8" s="135"/>
      <c r="G8" s="135"/>
      <c r="H8" s="135"/>
      <c r="I8" s="135"/>
      <c r="J8" s="135"/>
      <c r="K8" s="135"/>
      <c r="L8" s="135"/>
      <c r="M8" s="135"/>
      <c r="N8" s="135"/>
      <c r="O8" s="135"/>
      <c r="P8" s="135"/>
      <c r="Q8" s="135"/>
      <c r="R8" s="135"/>
      <c r="S8" s="135"/>
      <c r="T8" s="135"/>
      <c r="U8" s="135"/>
      <c r="V8" s="135"/>
      <c r="W8" s="142"/>
      <c r="X8" s="142"/>
      <c r="Y8" s="142"/>
      <c r="Z8" s="142"/>
      <c r="AA8" s="142"/>
      <c r="AB8" s="142"/>
      <c r="AC8" s="142"/>
    </row>
    <row r="9" spans="1:29">
      <c r="F9" s="135"/>
      <c r="G9" s="135"/>
      <c r="H9" s="135"/>
      <c r="I9" s="135"/>
      <c r="J9" s="135"/>
      <c r="K9" s="135"/>
      <c r="L9" s="135"/>
      <c r="M9" s="135"/>
      <c r="N9" s="135"/>
      <c r="O9" s="135"/>
      <c r="P9" s="135"/>
      <c r="Q9" s="135"/>
      <c r="R9" s="135"/>
      <c r="S9" s="135"/>
      <c r="T9" s="135"/>
      <c r="U9" s="135"/>
      <c r="V9" s="135"/>
      <c r="W9" s="142"/>
      <c r="X9" s="142"/>
      <c r="Y9" s="142"/>
      <c r="Z9" s="142"/>
      <c r="AA9" s="142"/>
      <c r="AB9" s="142"/>
      <c r="AC9" s="142"/>
    </row>
    <row r="10" spans="1:29">
      <c r="F10" s="135"/>
      <c r="G10" s="135"/>
      <c r="H10" s="135"/>
      <c r="I10" s="135"/>
      <c r="J10" s="135"/>
      <c r="K10" s="135"/>
      <c r="L10" s="135"/>
      <c r="M10" s="135"/>
      <c r="N10" s="135"/>
      <c r="O10" s="134"/>
      <c r="P10" s="135"/>
      <c r="Q10" s="135"/>
      <c r="R10" s="135"/>
      <c r="S10" s="135"/>
      <c r="T10" s="135"/>
      <c r="U10" s="135"/>
      <c r="V10" s="135"/>
      <c r="W10" s="142"/>
      <c r="X10" s="142"/>
      <c r="Y10" s="142"/>
      <c r="Z10" s="142"/>
      <c r="AA10" s="142"/>
      <c r="AB10" s="142"/>
      <c r="AC10" s="142"/>
    </row>
    <row r="11" spans="1:29">
      <c r="F11" s="135"/>
      <c r="G11" s="135"/>
      <c r="H11" s="135"/>
      <c r="I11" s="135"/>
      <c r="J11" s="135"/>
      <c r="K11" s="135"/>
      <c r="L11" s="135"/>
      <c r="M11" s="135"/>
      <c r="N11" s="135"/>
      <c r="O11" s="135"/>
      <c r="P11" s="135"/>
      <c r="Q11" s="135"/>
      <c r="R11" s="135"/>
      <c r="S11" s="135"/>
      <c r="T11" s="135"/>
      <c r="U11" s="135"/>
      <c r="V11" s="135"/>
      <c r="W11" s="142"/>
      <c r="X11" s="142"/>
      <c r="Y11" s="142"/>
      <c r="Z11" s="142"/>
      <c r="AA11" s="142"/>
      <c r="AB11" s="142"/>
      <c r="AC11" s="142"/>
    </row>
    <row r="12" spans="1:29">
      <c r="F12" s="135"/>
      <c r="G12" s="135"/>
      <c r="H12" s="135"/>
      <c r="I12" s="135"/>
      <c r="J12" s="135"/>
      <c r="K12" s="135"/>
      <c r="L12" s="135"/>
      <c r="M12" s="135"/>
      <c r="N12" s="135"/>
      <c r="O12" s="135"/>
      <c r="P12" s="135"/>
      <c r="Q12" s="135"/>
      <c r="R12" s="135"/>
      <c r="S12" s="135"/>
      <c r="T12" s="135"/>
      <c r="U12" s="135"/>
      <c r="V12" s="135"/>
      <c r="W12" s="142"/>
      <c r="X12" s="142"/>
      <c r="Y12" s="142"/>
      <c r="Z12" s="142"/>
      <c r="AA12" s="142"/>
      <c r="AB12" s="142"/>
      <c r="AC12" s="142"/>
    </row>
    <row r="13" spans="1:29">
      <c r="F13" s="135"/>
      <c r="G13" s="135"/>
      <c r="H13" s="135"/>
      <c r="I13" s="135"/>
      <c r="J13" s="135"/>
      <c r="K13" s="135"/>
      <c r="L13" s="135"/>
      <c r="M13" s="135"/>
      <c r="N13" s="135"/>
      <c r="O13" s="135"/>
      <c r="P13" s="135"/>
      <c r="Q13" s="135"/>
      <c r="R13" s="135"/>
      <c r="S13" s="135"/>
      <c r="T13" s="135"/>
      <c r="U13" s="135"/>
      <c r="V13" s="135"/>
      <c r="W13" s="142"/>
      <c r="X13" s="142"/>
      <c r="Y13" s="142"/>
      <c r="Z13" s="142"/>
      <c r="AA13" s="142"/>
      <c r="AB13" s="142"/>
      <c r="AC13" s="142"/>
    </row>
    <row r="14" spans="1:29">
      <c r="F14" s="135"/>
      <c r="G14" s="135"/>
      <c r="H14" s="135"/>
      <c r="I14" s="135"/>
      <c r="J14" s="135"/>
      <c r="K14" s="135"/>
      <c r="L14" s="135"/>
      <c r="M14" s="135"/>
      <c r="N14" s="135"/>
      <c r="O14" s="135"/>
      <c r="P14" s="135"/>
      <c r="Q14" s="135"/>
      <c r="R14" s="135"/>
      <c r="S14" s="135"/>
      <c r="T14" s="135"/>
      <c r="U14" s="135"/>
      <c r="V14" s="135"/>
      <c r="W14" s="142"/>
      <c r="X14" s="142"/>
      <c r="Y14" s="142"/>
      <c r="Z14" s="142"/>
      <c r="AA14" s="142"/>
      <c r="AB14" s="142"/>
      <c r="AC14" s="142"/>
    </row>
    <row r="15" spans="1:29">
      <c r="F15" s="135"/>
      <c r="G15" s="135"/>
      <c r="H15" s="135"/>
      <c r="I15" s="135"/>
      <c r="J15" s="135"/>
      <c r="K15" s="135"/>
      <c r="L15" s="135"/>
      <c r="M15" s="135"/>
      <c r="N15" s="135"/>
      <c r="O15" s="135"/>
      <c r="P15" s="135"/>
      <c r="Q15" s="135"/>
      <c r="R15" s="135"/>
      <c r="S15" s="135"/>
      <c r="T15" s="135"/>
      <c r="U15" s="135"/>
      <c r="V15" s="135"/>
      <c r="W15" s="142"/>
      <c r="X15" s="142"/>
      <c r="Y15" s="142"/>
      <c r="Z15" s="142"/>
      <c r="AA15" s="142"/>
      <c r="AB15" s="142"/>
      <c r="AC15" s="142"/>
    </row>
    <row r="16" spans="1:29">
      <c r="F16" s="135"/>
      <c r="G16" s="135"/>
      <c r="H16" s="135"/>
      <c r="I16" s="135"/>
      <c r="J16" s="135"/>
      <c r="K16" s="135"/>
      <c r="L16" s="135"/>
      <c r="M16" s="135"/>
      <c r="N16" s="135"/>
      <c r="O16" s="135"/>
      <c r="P16" s="135"/>
      <c r="Q16" s="135"/>
      <c r="R16" s="135"/>
      <c r="S16" s="135"/>
      <c r="T16" s="135"/>
      <c r="U16" s="135"/>
      <c r="V16" s="135"/>
      <c r="W16" s="142"/>
      <c r="X16" s="142"/>
      <c r="Y16" s="142"/>
      <c r="Z16" s="142"/>
      <c r="AA16" s="142"/>
      <c r="AB16" s="142"/>
      <c r="AC16" s="142"/>
    </row>
    <row r="17" spans="6:29">
      <c r="F17" s="135"/>
      <c r="G17" s="135"/>
      <c r="H17" s="135"/>
      <c r="I17" s="135"/>
      <c r="J17" s="135"/>
      <c r="K17" s="135"/>
      <c r="L17" s="135"/>
      <c r="M17" s="135"/>
      <c r="N17" s="135"/>
      <c r="O17" s="135"/>
      <c r="P17" s="135"/>
      <c r="Q17" s="135"/>
      <c r="R17" s="135"/>
      <c r="S17" s="135"/>
      <c r="T17" s="135"/>
      <c r="U17" s="135"/>
      <c r="V17" s="135"/>
      <c r="W17" s="142"/>
      <c r="X17" s="142"/>
      <c r="Y17" s="142"/>
      <c r="Z17" s="142"/>
      <c r="AA17" s="142"/>
      <c r="AB17" s="142"/>
      <c r="AC17" s="142"/>
    </row>
    <row r="18" spans="6:29">
      <c r="F18" s="135"/>
      <c r="G18" s="135"/>
      <c r="H18" s="135"/>
      <c r="I18" s="135"/>
      <c r="J18" s="135"/>
      <c r="K18" s="135"/>
      <c r="L18" s="135"/>
      <c r="M18" s="135"/>
      <c r="N18" s="135"/>
      <c r="O18" s="135"/>
      <c r="P18" s="135"/>
      <c r="Q18" s="135"/>
      <c r="R18" s="135"/>
      <c r="S18" s="135"/>
      <c r="T18" s="135"/>
      <c r="U18" s="135"/>
      <c r="V18" s="135"/>
      <c r="W18" s="142"/>
      <c r="X18" s="142"/>
      <c r="Y18" s="142"/>
      <c r="Z18" s="142"/>
      <c r="AA18" s="142"/>
      <c r="AB18" s="142"/>
      <c r="AC18" s="142"/>
    </row>
    <row r="19" spans="6:29">
      <c r="F19" s="135"/>
      <c r="G19" s="135"/>
      <c r="H19" s="135"/>
      <c r="I19" s="135"/>
      <c r="J19" s="135"/>
      <c r="K19" s="135"/>
      <c r="L19" s="135"/>
      <c r="M19" s="135"/>
      <c r="N19" s="135"/>
      <c r="O19" s="135"/>
      <c r="P19" s="135"/>
      <c r="Q19" s="135"/>
      <c r="R19" s="135"/>
      <c r="S19" s="135"/>
      <c r="T19" s="135"/>
      <c r="U19" s="135"/>
      <c r="V19" s="135"/>
      <c r="W19" s="142"/>
      <c r="X19" s="142"/>
      <c r="Y19" s="142"/>
      <c r="Z19" s="142"/>
      <c r="AA19" s="142"/>
      <c r="AB19" s="142"/>
      <c r="AC19" s="142"/>
    </row>
    <row r="20" spans="6:29">
      <c r="F20" s="135"/>
      <c r="G20" s="135"/>
      <c r="H20" s="135"/>
      <c r="I20" s="135"/>
      <c r="J20" s="135"/>
      <c r="K20" s="135"/>
      <c r="L20" s="135"/>
      <c r="M20" s="135"/>
      <c r="N20" s="135"/>
      <c r="O20" s="135"/>
      <c r="P20" s="135"/>
      <c r="Q20" s="135"/>
      <c r="R20" s="135"/>
      <c r="S20" s="135"/>
      <c r="T20" s="135"/>
      <c r="U20" s="135"/>
      <c r="V20" s="135"/>
      <c r="W20" s="142"/>
      <c r="X20" s="142"/>
      <c r="Y20" s="142"/>
      <c r="Z20" s="142"/>
      <c r="AA20" s="142"/>
      <c r="AB20" s="142"/>
      <c r="AC20" s="142"/>
    </row>
    <row r="21" spans="6:29">
      <c r="F21" s="135"/>
      <c r="G21" s="135"/>
      <c r="H21" s="135"/>
      <c r="I21" s="135"/>
      <c r="J21" s="135"/>
      <c r="K21" s="135"/>
      <c r="L21" s="135"/>
      <c r="M21" s="135"/>
      <c r="N21" s="135"/>
      <c r="O21" s="135"/>
      <c r="P21" s="135"/>
      <c r="Q21" s="135"/>
      <c r="R21" s="135"/>
      <c r="S21" s="135"/>
      <c r="T21" s="135"/>
      <c r="U21" s="135"/>
      <c r="V21" s="135"/>
      <c r="W21" s="142"/>
      <c r="X21" s="142"/>
      <c r="Y21" s="142"/>
      <c r="Z21" s="142"/>
      <c r="AA21" s="142"/>
      <c r="AB21" s="142"/>
      <c r="AC21" s="142"/>
    </row>
    <row r="22" spans="6:29">
      <c r="F22" s="135"/>
      <c r="G22" s="135"/>
      <c r="H22" s="135"/>
      <c r="I22" s="135"/>
      <c r="J22" s="135"/>
      <c r="K22" s="135"/>
      <c r="L22" s="135"/>
      <c r="M22" s="135"/>
      <c r="N22" s="135"/>
      <c r="O22" s="135"/>
      <c r="P22" s="135"/>
      <c r="Q22" s="135"/>
      <c r="R22" s="135"/>
      <c r="S22" s="135"/>
      <c r="T22" s="135"/>
      <c r="U22" s="135"/>
      <c r="V22" s="135"/>
      <c r="W22" s="142"/>
      <c r="X22" s="142"/>
      <c r="Y22" s="142"/>
      <c r="Z22" s="142"/>
      <c r="AA22" s="142"/>
      <c r="AB22" s="142"/>
      <c r="AC22" s="142"/>
    </row>
    <row r="23" spans="6:29">
      <c r="F23" s="135"/>
      <c r="G23" s="135"/>
      <c r="H23" s="135"/>
      <c r="I23" s="135"/>
      <c r="J23" s="135"/>
      <c r="K23" s="135"/>
      <c r="L23" s="135"/>
      <c r="M23" s="135"/>
      <c r="N23" s="135"/>
      <c r="O23" s="135"/>
      <c r="P23" s="135"/>
      <c r="Q23" s="135"/>
      <c r="R23" s="135"/>
      <c r="S23" s="135"/>
      <c r="T23" s="135"/>
      <c r="U23" s="135"/>
      <c r="V23" s="135"/>
      <c r="W23" s="142"/>
      <c r="X23" s="142"/>
      <c r="Y23" s="142"/>
      <c r="Z23" s="142"/>
      <c r="AA23" s="142"/>
      <c r="AB23" s="142"/>
      <c r="AC23" s="142"/>
    </row>
    <row r="24" spans="6:29">
      <c r="F24" s="135"/>
      <c r="G24" s="135"/>
      <c r="H24" s="135"/>
      <c r="I24" s="135"/>
      <c r="J24" s="135"/>
      <c r="K24" s="135"/>
      <c r="L24" s="135"/>
      <c r="M24" s="135"/>
      <c r="N24" s="135"/>
      <c r="O24" s="135"/>
      <c r="P24" s="135"/>
      <c r="Q24" s="135"/>
      <c r="R24" s="135"/>
      <c r="S24" s="135"/>
      <c r="T24" s="135"/>
      <c r="U24" s="135"/>
      <c r="V24" s="135"/>
      <c r="W24" s="142"/>
      <c r="X24" s="142"/>
      <c r="Y24" s="142"/>
      <c r="Z24" s="142"/>
      <c r="AA24" s="142"/>
      <c r="AB24" s="142"/>
      <c r="AC24" s="142"/>
    </row>
    <row r="25" spans="6:29">
      <c r="F25" s="135"/>
      <c r="G25" s="135"/>
      <c r="H25" s="135"/>
      <c r="I25" s="135"/>
      <c r="J25" s="135"/>
      <c r="K25" s="135"/>
      <c r="L25" s="135"/>
      <c r="M25" s="135"/>
      <c r="N25" s="135"/>
      <c r="O25" s="135"/>
      <c r="P25" s="135"/>
      <c r="Q25" s="135"/>
      <c r="R25" s="135"/>
      <c r="S25" s="135"/>
      <c r="T25" s="135"/>
      <c r="U25" s="135"/>
      <c r="V25" s="135"/>
      <c r="W25" s="142"/>
      <c r="X25" s="142"/>
      <c r="Y25" s="142"/>
      <c r="Z25" s="142"/>
      <c r="AA25" s="142"/>
      <c r="AB25" s="142"/>
      <c r="AC25" s="142"/>
    </row>
    <row r="26" spans="6:29">
      <c r="F26" s="135"/>
      <c r="G26" s="135"/>
      <c r="H26" s="135"/>
      <c r="I26" s="135"/>
      <c r="J26" s="135"/>
      <c r="K26" s="135"/>
      <c r="L26" s="135"/>
      <c r="M26" s="135"/>
      <c r="N26" s="135"/>
      <c r="O26" s="135"/>
      <c r="P26" s="135"/>
      <c r="Q26" s="135"/>
      <c r="R26" s="135"/>
      <c r="S26" s="135"/>
      <c r="T26" s="135"/>
      <c r="U26" s="135"/>
      <c r="V26" s="135"/>
      <c r="W26" s="142"/>
      <c r="X26" s="142"/>
      <c r="Y26" s="142"/>
      <c r="Z26" s="142"/>
      <c r="AA26" s="142"/>
      <c r="AB26" s="142"/>
      <c r="AC26" s="142"/>
    </row>
    <row r="27" spans="6:29">
      <c r="F27" s="135"/>
      <c r="G27" s="135"/>
      <c r="H27" s="135"/>
      <c r="I27" s="135"/>
      <c r="J27" s="135"/>
      <c r="K27" s="135"/>
      <c r="L27" s="135"/>
      <c r="M27" s="135"/>
      <c r="N27" s="135"/>
      <c r="O27" s="135"/>
      <c r="P27" s="135"/>
      <c r="Q27" s="135"/>
      <c r="R27" s="135"/>
      <c r="S27" s="135"/>
      <c r="T27" s="135"/>
      <c r="U27" s="135"/>
      <c r="V27" s="135"/>
      <c r="W27" s="142"/>
      <c r="X27" s="142"/>
      <c r="Y27" s="142"/>
      <c r="Z27" s="142"/>
      <c r="AA27" s="142"/>
      <c r="AB27" s="142"/>
      <c r="AC27" s="142"/>
    </row>
    <row r="28" spans="6:29">
      <c r="F28" s="135"/>
      <c r="G28" s="135"/>
      <c r="H28" s="135"/>
      <c r="I28" s="135"/>
      <c r="J28" s="135"/>
      <c r="K28" s="135"/>
      <c r="L28" s="135"/>
      <c r="M28" s="135"/>
      <c r="N28" s="135"/>
      <c r="O28" s="135"/>
      <c r="P28" s="135"/>
      <c r="Q28" s="135"/>
      <c r="R28" s="135"/>
      <c r="S28" s="135"/>
      <c r="T28" s="135"/>
      <c r="U28" s="135"/>
      <c r="V28" s="135"/>
      <c r="W28" s="142"/>
      <c r="X28" s="142"/>
      <c r="Y28" s="142"/>
      <c r="Z28" s="142"/>
      <c r="AA28" s="142"/>
      <c r="AB28" s="142"/>
      <c r="AC28" s="142"/>
    </row>
    <row r="29" spans="6:29">
      <c r="F29" s="135"/>
      <c r="G29" s="135"/>
      <c r="H29" s="135"/>
      <c r="I29" s="135"/>
      <c r="J29" s="135"/>
      <c r="K29" s="135"/>
      <c r="L29" s="135"/>
      <c r="M29" s="135"/>
      <c r="N29" s="135"/>
      <c r="O29" s="135"/>
      <c r="P29" s="135"/>
      <c r="Q29" s="135"/>
      <c r="R29" s="135"/>
      <c r="S29" s="135"/>
      <c r="T29" s="135"/>
      <c r="U29" s="135"/>
      <c r="V29" s="135"/>
      <c r="W29" s="142"/>
      <c r="X29" s="142"/>
      <c r="Y29" s="142"/>
      <c r="Z29" s="142"/>
      <c r="AA29" s="142"/>
      <c r="AB29" s="142"/>
      <c r="AC29" s="142"/>
    </row>
    <row r="30" spans="6:29">
      <c r="F30" s="135"/>
      <c r="G30" s="135"/>
      <c r="H30" s="135"/>
      <c r="I30" s="135"/>
      <c r="J30" s="135"/>
      <c r="K30" s="135"/>
      <c r="L30" s="135"/>
      <c r="M30" s="135"/>
      <c r="N30" s="135"/>
      <c r="O30" s="135"/>
      <c r="P30" s="135"/>
      <c r="Q30" s="135"/>
      <c r="R30" s="135"/>
      <c r="S30" s="135"/>
      <c r="T30" s="135"/>
      <c r="U30" s="135"/>
      <c r="V30" s="135"/>
      <c r="W30" s="142"/>
      <c r="X30" s="142"/>
      <c r="Y30" s="142"/>
      <c r="Z30" s="142"/>
      <c r="AA30" s="142"/>
      <c r="AB30" s="142"/>
      <c r="AC30" s="142"/>
    </row>
    <row r="31" spans="6:29">
      <c r="F31" s="135"/>
      <c r="G31" s="135"/>
      <c r="H31" s="135"/>
      <c r="I31" s="135"/>
      <c r="J31" s="135"/>
      <c r="K31" s="135"/>
      <c r="L31" s="135"/>
      <c r="M31" s="135"/>
      <c r="N31" s="135"/>
      <c r="O31" s="135"/>
      <c r="P31" s="135"/>
      <c r="Q31" s="135"/>
      <c r="R31" s="135"/>
      <c r="S31" s="135"/>
      <c r="T31" s="135"/>
      <c r="U31" s="135"/>
      <c r="V31" s="135"/>
      <c r="W31" s="142"/>
      <c r="X31" s="142"/>
      <c r="Y31" s="142"/>
      <c r="Z31" s="142"/>
      <c r="AA31" s="142"/>
      <c r="AB31" s="142"/>
      <c r="AC31" s="142"/>
    </row>
    <row r="32" spans="6:29">
      <c r="F32" s="135"/>
      <c r="G32" s="135"/>
      <c r="H32" s="135"/>
      <c r="I32" s="135"/>
      <c r="J32" s="135"/>
      <c r="K32" s="135"/>
      <c r="L32" s="135"/>
      <c r="M32" s="135"/>
      <c r="N32" s="135"/>
      <c r="O32" s="135"/>
      <c r="P32" s="135"/>
      <c r="Q32" s="135"/>
      <c r="R32" s="135"/>
      <c r="S32" s="135"/>
      <c r="T32" s="135"/>
      <c r="U32" s="135"/>
      <c r="V32" s="135"/>
      <c r="W32" s="142"/>
      <c r="X32" s="142"/>
      <c r="Y32" s="142"/>
      <c r="Z32" s="142"/>
      <c r="AA32" s="142"/>
      <c r="AB32" s="142"/>
      <c r="AC32" s="142"/>
    </row>
    <row r="33" spans="6:29">
      <c r="F33" s="135"/>
      <c r="G33" s="135"/>
      <c r="H33" s="135"/>
      <c r="I33" s="135"/>
      <c r="J33" s="135"/>
      <c r="K33" s="135"/>
      <c r="L33" s="135"/>
      <c r="M33" s="135"/>
      <c r="N33" s="135"/>
      <c r="O33" s="135"/>
      <c r="P33" s="135"/>
      <c r="Q33" s="135"/>
      <c r="R33" s="135"/>
      <c r="S33" s="135"/>
      <c r="T33" s="135"/>
      <c r="U33" s="135"/>
      <c r="V33" s="135"/>
      <c r="W33" s="142"/>
      <c r="X33" s="142"/>
      <c r="Y33" s="142"/>
      <c r="Z33" s="142"/>
      <c r="AA33" s="142"/>
      <c r="AB33" s="142"/>
      <c r="AC33" s="142"/>
    </row>
    <row r="34" spans="6:29">
      <c r="F34" s="135"/>
      <c r="G34" s="135"/>
      <c r="H34" s="135"/>
      <c r="I34" s="135"/>
      <c r="J34" s="135"/>
      <c r="K34" s="135"/>
      <c r="L34" s="135"/>
      <c r="M34" s="135"/>
      <c r="N34" s="135"/>
      <c r="O34" s="135"/>
      <c r="P34" s="135"/>
      <c r="Q34" s="135"/>
      <c r="R34" s="135"/>
      <c r="S34" s="135"/>
      <c r="T34" s="135"/>
      <c r="U34" s="135"/>
      <c r="V34" s="135"/>
      <c r="W34" s="142"/>
      <c r="X34" s="142"/>
      <c r="Y34" s="142"/>
      <c r="Z34" s="142"/>
      <c r="AA34" s="142"/>
      <c r="AB34" s="142"/>
      <c r="AC34" s="142"/>
    </row>
    <row r="35" spans="6:29">
      <c r="F35" s="135"/>
      <c r="G35" s="135"/>
      <c r="H35" s="135"/>
      <c r="I35" s="135"/>
      <c r="J35" s="135"/>
      <c r="K35" s="135"/>
      <c r="L35" s="135"/>
      <c r="M35" s="135"/>
      <c r="N35" s="135"/>
      <c r="O35" s="135"/>
      <c r="P35" s="135"/>
      <c r="Q35" s="135"/>
      <c r="R35" s="135"/>
      <c r="S35" s="135"/>
      <c r="T35" s="135"/>
      <c r="U35" s="135"/>
      <c r="V35" s="135"/>
      <c r="W35" s="142"/>
      <c r="X35" s="142"/>
      <c r="Y35" s="142"/>
      <c r="Z35" s="142"/>
      <c r="AA35" s="142"/>
      <c r="AB35" s="142"/>
      <c r="AC35" s="142"/>
    </row>
    <row r="36" spans="6:29">
      <c r="F36" s="135"/>
      <c r="G36" s="135"/>
      <c r="H36" s="135"/>
      <c r="I36" s="135"/>
      <c r="J36" s="135"/>
      <c r="K36" s="135"/>
      <c r="L36" s="135"/>
      <c r="M36" s="135"/>
      <c r="N36" s="135"/>
      <c r="O36" s="135"/>
      <c r="P36" s="135"/>
      <c r="Q36" s="135"/>
      <c r="R36" s="135"/>
      <c r="S36" s="135"/>
      <c r="T36" s="135"/>
      <c r="U36" s="135"/>
      <c r="V36" s="135"/>
      <c r="W36" s="142"/>
      <c r="X36" s="142"/>
      <c r="Y36" s="142"/>
      <c r="Z36" s="142"/>
      <c r="AA36" s="142"/>
      <c r="AB36" s="142"/>
      <c r="AC36" s="142"/>
    </row>
    <row r="37" spans="6:29">
      <c r="F37" s="134"/>
      <c r="G37" s="134"/>
      <c r="H37" s="134"/>
      <c r="I37" s="134"/>
      <c r="J37" s="134"/>
      <c r="K37" s="134"/>
      <c r="L37" s="134"/>
      <c r="M37" s="134"/>
      <c r="N37" s="134"/>
      <c r="O37" s="134"/>
      <c r="P37" s="134"/>
      <c r="Q37" s="134"/>
      <c r="R37" s="134"/>
      <c r="S37" s="134"/>
      <c r="T37" s="134"/>
      <c r="U37" s="134"/>
      <c r="V37" s="134"/>
      <c r="W37" s="142"/>
      <c r="X37" s="142"/>
      <c r="Y37" s="142"/>
      <c r="Z37" s="142"/>
      <c r="AA37" s="142"/>
      <c r="AB37" s="142"/>
      <c r="AC37" s="142"/>
    </row>
    <row r="38" spans="6:29">
      <c r="F38" s="134"/>
      <c r="G38" s="134"/>
      <c r="H38" s="134"/>
      <c r="I38" s="134"/>
      <c r="J38" s="134"/>
      <c r="K38" s="134"/>
      <c r="L38" s="134"/>
      <c r="M38" s="134"/>
      <c r="N38" s="134"/>
      <c r="O38" s="134"/>
      <c r="P38" s="134"/>
      <c r="Q38" s="134"/>
      <c r="R38" s="134"/>
      <c r="S38" s="134"/>
      <c r="T38" s="134"/>
      <c r="U38" s="134"/>
      <c r="V38" s="134"/>
      <c r="W38" s="142"/>
      <c r="X38" s="142"/>
      <c r="Y38" s="142"/>
      <c r="Z38" s="142"/>
      <c r="AA38" s="142"/>
      <c r="AB38" s="142"/>
      <c r="AC38" s="142"/>
    </row>
    <row r="39" spans="6:29">
      <c r="F39" s="134"/>
      <c r="G39" s="134"/>
      <c r="H39" s="134"/>
      <c r="I39" s="134"/>
      <c r="J39" s="134"/>
      <c r="K39" s="134"/>
      <c r="L39" s="134"/>
      <c r="M39" s="134"/>
      <c r="N39" s="134"/>
      <c r="O39" s="134"/>
      <c r="P39" s="134"/>
      <c r="Q39" s="134"/>
      <c r="R39" s="134"/>
      <c r="S39" s="134"/>
      <c r="T39" s="134"/>
      <c r="U39" s="134"/>
      <c r="V39" s="134"/>
      <c r="W39" s="142"/>
      <c r="X39" s="142"/>
      <c r="Y39" s="142"/>
      <c r="Z39" s="142"/>
      <c r="AA39" s="142"/>
      <c r="AB39" s="142"/>
      <c r="AC39" s="142"/>
    </row>
    <row r="40" spans="6:29">
      <c r="F40" s="134"/>
      <c r="G40" s="134"/>
      <c r="H40" s="134"/>
      <c r="I40" s="134"/>
      <c r="J40" s="134"/>
      <c r="K40" s="134"/>
      <c r="L40" s="134"/>
      <c r="M40" s="134"/>
      <c r="N40" s="134"/>
      <c r="O40" s="134"/>
      <c r="P40" s="134"/>
      <c r="Q40" s="134"/>
      <c r="R40" s="134"/>
      <c r="S40" s="134"/>
      <c r="T40" s="134"/>
      <c r="U40" s="134"/>
      <c r="V40" s="134"/>
      <c r="W40" s="142"/>
      <c r="X40" s="142"/>
      <c r="Y40" s="142"/>
      <c r="Z40" s="142"/>
      <c r="AA40" s="142"/>
      <c r="AB40" s="142"/>
      <c r="AC40" s="142"/>
    </row>
    <row r="41" spans="6:29">
      <c r="F41" s="134"/>
      <c r="G41" s="134"/>
      <c r="H41" s="134"/>
      <c r="I41" s="134"/>
      <c r="J41" s="134"/>
      <c r="K41" s="134"/>
      <c r="L41" s="134"/>
      <c r="M41" s="134"/>
      <c r="N41" s="134"/>
      <c r="O41" s="134"/>
      <c r="P41" s="134"/>
      <c r="Q41" s="134"/>
      <c r="R41" s="134"/>
      <c r="S41" s="134"/>
      <c r="T41" s="134"/>
      <c r="U41" s="134"/>
      <c r="V41" s="134"/>
      <c r="W41" s="142"/>
      <c r="X41" s="142"/>
      <c r="Y41" s="142"/>
      <c r="Z41" s="142"/>
      <c r="AA41" s="142"/>
      <c r="AB41" s="142"/>
      <c r="AC41" s="142"/>
    </row>
    <row r="42" spans="6:29">
      <c r="F42" s="134"/>
      <c r="G42" s="134"/>
      <c r="H42" s="134"/>
      <c r="I42" s="134"/>
      <c r="J42" s="134"/>
      <c r="K42" s="134"/>
      <c r="L42" s="134"/>
      <c r="M42" s="134"/>
      <c r="N42" s="134"/>
      <c r="O42" s="134"/>
      <c r="P42" s="134"/>
      <c r="Q42" s="134"/>
      <c r="R42" s="134"/>
      <c r="S42" s="134"/>
      <c r="T42" s="134"/>
      <c r="U42" s="134"/>
      <c r="V42" s="134"/>
      <c r="W42" s="142"/>
      <c r="X42" s="142"/>
      <c r="Y42" s="142"/>
      <c r="Z42" s="142"/>
      <c r="AA42" s="142"/>
      <c r="AB42" s="142"/>
      <c r="AC42" s="142"/>
    </row>
    <row r="43" spans="6:29">
      <c r="F43" s="134"/>
      <c r="G43" s="134"/>
      <c r="H43" s="134"/>
      <c r="I43" s="134"/>
      <c r="J43" s="134"/>
      <c r="K43" s="134"/>
      <c r="L43" s="134"/>
      <c r="M43" s="134"/>
      <c r="N43" s="134"/>
      <c r="O43" s="134"/>
      <c r="P43" s="134"/>
      <c r="Q43" s="134"/>
      <c r="R43" s="134"/>
      <c r="S43" s="134"/>
      <c r="T43" s="134"/>
      <c r="U43" s="134"/>
      <c r="V43" s="134"/>
      <c r="W43" s="134"/>
      <c r="X43" s="134"/>
      <c r="Y43" s="134"/>
      <c r="Z43" s="134"/>
      <c r="AA43" s="134"/>
      <c r="AB43" s="134"/>
      <c r="AC43" s="134"/>
    </row>
    <row r="44" spans="6:29">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row>
  </sheetData>
  <mergeCells count="7">
    <mergeCell ref="A5:D5"/>
    <mergeCell ref="S2:S3"/>
    <mergeCell ref="P2:R3"/>
    <mergeCell ref="N2:N3"/>
    <mergeCell ref="J2:J3"/>
    <mergeCell ref="K2:K3"/>
    <mergeCell ref="L2: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E178F-FCFE-4FF3-9D80-838AEE22F4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vt:lpstr>
      <vt:lpstr>Pivot</vt:lpstr>
      <vt:lpstr>Range</vt:lpstr>
      <vt:lpstr>Report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fatma spe</cp:lastModifiedBy>
  <dcterms:created xsi:type="dcterms:W3CDTF">2024-06-03T16:02:57Z</dcterms:created>
  <dcterms:modified xsi:type="dcterms:W3CDTF">2026-02-18T10:31:07Z</dcterms:modified>
</cp:coreProperties>
</file>